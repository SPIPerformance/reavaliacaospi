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rvengenhariasa-my.sharepoint.com/personal/laura_storari_mrv_com_br/Documents/Área de Trabalho/"/>
    </mc:Choice>
  </mc:AlternateContent>
  <xr:revisionPtr revIDLastSave="1" documentId="8_{58668CDC-447D-47BC-AA1D-C04BA0C36841}" xr6:coauthVersionLast="47" xr6:coauthVersionMax="47" xr10:uidLastSave="{1C620FD8-2C6A-4124-ACC5-A64FF500E4D4}"/>
  <bookViews>
    <workbookView xWindow="-110" yWindow="-110" windowWidth="19420" windowHeight="10300" xr2:uid="{110133DD-D9A6-4E3D-BB8B-D7E8CEAD3893}"/>
  </bookViews>
  <sheets>
    <sheet name="CONTROLE" sheetId="1" r:id="rId1"/>
  </sheets>
  <externalReferences>
    <externalReference r:id="rId2"/>
  </externalReferences>
  <definedNames>
    <definedName name="_xlnm._FilterDatabase" localSheetId="0" hidden="1">CONTROLE!$A$6:$U$2588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2588" i="1" l="1"/>
  <c r="U2587" i="1"/>
  <c r="U2586" i="1"/>
  <c r="U2585" i="1"/>
  <c r="U2584" i="1"/>
  <c r="U2583" i="1"/>
  <c r="U2582" i="1"/>
  <c r="U2581" i="1"/>
  <c r="U2580" i="1"/>
  <c r="U2579" i="1"/>
  <c r="U2578" i="1"/>
  <c r="U2577" i="1"/>
  <c r="U2576" i="1"/>
  <c r="U2575" i="1"/>
  <c r="U2574" i="1"/>
  <c r="U2573" i="1"/>
  <c r="U2572" i="1"/>
  <c r="U2571" i="1"/>
  <c r="U2570" i="1"/>
  <c r="U2569" i="1"/>
  <c r="U2568" i="1"/>
  <c r="U2567" i="1"/>
  <c r="U2566" i="1"/>
  <c r="U2565" i="1"/>
  <c r="U2564" i="1"/>
  <c r="U2563" i="1"/>
  <c r="U2562" i="1"/>
  <c r="U2561" i="1"/>
  <c r="U2560" i="1"/>
  <c r="U2559" i="1"/>
  <c r="U2558" i="1"/>
  <c r="U2557" i="1"/>
  <c r="U2556" i="1"/>
  <c r="U2555" i="1"/>
  <c r="U2554" i="1"/>
  <c r="U2553" i="1"/>
  <c r="U2552" i="1"/>
  <c r="U2551" i="1"/>
  <c r="U2550" i="1"/>
  <c r="U2549" i="1"/>
  <c r="U2548" i="1"/>
  <c r="U2547" i="1"/>
  <c r="U2546" i="1"/>
  <c r="U2545" i="1"/>
  <c r="U2544" i="1"/>
  <c r="U2543" i="1"/>
  <c r="U2542" i="1"/>
  <c r="U2541" i="1"/>
  <c r="U2540" i="1"/>
  <c r="U2539" i="1"/>
  <c r="U2538" i="1"/>
  <c r="U2537" i="1"/>
  <c r="U2536" i="1"/>
  <c r="U2535" i="1"/>
  <c r="U2534" i="1"/>
  <c r="U2533" i="1"/>
  <c r="U2532" i="1"/>
  <c r="U2531" i="1"/>
  <c r="U2530" i="1"/>
  <c r="U2529" i="1"/>
  <c r="U2528" i="1"/>
  <c r="U2527" i="1"/>
  <c r="U2526" i="1"/>
  <c r="U2525" i="1"/>
  <c r="U2524" i="1"/>
  <c r="U2523" i="1"/>
  <c r="U2522" i="1"/>
  <c r="U2521" i="1"/>
  <c r="U2520" i="1"/>
  <c r="U2519" i="1"/>
  <c r="U2518" i="1"/>
  <c r="U2517" i="1"/>
  <c r="U2516" i="1"/>
  <c r="U2515" i="1"/>
  <c r="U2514" i="1"/>
  <c r="U2513" i="1"/>
  <c r="U2512" i="1"/>
  <c r="U2511" i="1"/>
  <c r="U2510" i="1"/>
  <c r="U2509" i="1"/>
  <c r="U2508" i="1"/>
  <c r="U2507" i="1"/>
  <c r="U2506" i="1"/>
  <c r="U2505" i="1"/>
  <c r="U2504" i="1"/>
  <c r="U2503" i="1"/>
  <c r="U2502" i="1"/>
  <c r="U2501" i="1"/>
  <c r="U2500" i="1"/>
  <c r="U2499" i="1"/>
  <c r="U2498" i="1"/>
  <c r="U2497" i="1"/>
  <c r="U2496" i="1"/>
  <c r="U2495" i="1"/>
  <c r="U2494" i="1"/>
  <c r="U2493" i="1"/>
  <c r="U2492" i="1"/>
  <c r="U2491" i="1"/>
  <c r="U2490" i="1"/>
  <c r="U2489" i="1"/>
  <c r="U2488" i="1"/>
  <c r="U2487" i="1"/>
  <c r="U2486" i="1"/>
  <c r="U2485" i="1"/>
  <c r="U2484" i="1"/>
  <c r="U2483" i="1"/>
  <c r="U2482" i="1"/>
  <c r="U2481" i="1"/>
  <c r="U2480" i="1"/>
  <c r="U2479" i="1"/>
  <c r="U2478" i="1"/>
  <c r="U2477" i="1"/>
  <c r="U2476" i="1"/>
  <c r="U2475" i="1"/>
  <c r="U2474" i="1"/>
  <c r="U2473" i="1"/>
  <c r="U2472" i="1"/>
  <c r="U2471" i="1"/>
  <c r="U2470" i="1"/>
  <c r="U2469" i="1"/>
  <c r="U2468" i="1"/>
  <c r="U2467" i="1"/>
  <c r="U2466" i="1"/>
  <c r="U2465" i="1"/>
  <c r="U2464" i="1"/>
  <c r="U2463" i="1"/>
  <c r="U2462" i="1"/>
  <c r="U2461" i="1"/>
  <c r="U2460" i="1"/>
  <c r="U2459" i="1"/>
  <c r="U2458" i="1"/>
  <c r="U2457" i="1"/>
  <c r="U2456" i="1"/>
  <c r="U2455" i="1"/>
  <c r="U2454" i="1"/>
  <c r="U2453" i="1"/>
  <c r="U2452" i="1"/>
  <c r="U2451" i="1"/>
  <c r="U2450" i="1"/>
  <c r="U2449" i="1"/>
  <c r="U2448" i="1"/>
  <c r="U2447" i="1"/>
  <c r="U2446" i="1"/>
  <c r="U2445" i="1"/>
  <c r="U2444" i="1"/>
  <c r="U2443" i="1"/>
  <c r="U2442" i="1"/>
  <c r="U2441" i="1"/>
  <c r="U2440" i="1"/>
  <c r="U2439" i="1"/>
  <c r="U2438" i="1"/>
  <c r="U2437" i="1"/>
  <c r="U2436" i="1"/>
  <c r="U2435" i="1"/>
  <c r="U2434" i="1"/>
  <c r="U2433" i="1"/>
  <c r="U2432" i="1"/>
  <c r="U2431" i="1"/>
  <c r="U2430" i="1"/>
  <c r="U2429" i="1"/>
  <c r="U2428" i="1"/>
  <c r="U2427" i="1"/>
  <c r="U2426" i="1"/>
  <c r="U2425" i="1"/>
  <c r="U2424" i="1"/>
  <c r="U2423" i="1"/>
  <c r="U2422" i="1"/>
  <c r="U2421" i="1"/>
  <c r="U2420" i="1"/>
  <c r="U2419" i="1"/>
  <c r="U2418" i="1"/>
  <c r="U2417" i="1"/>
  <c r="U2416" i="1"/>
  <c r="U2415" i="1"/>
  <c r="U2414" i="1"/>
  <c r="U2413" i="1"/>
  <c r="U2412" i="1"/>
  <c r="U2411" i="1"/>
  <c r="U2410" i="1"/>
  <c r="U2409" i="1"/>
  <c r="U2408" i="1"/>
  <c r="U2407" i="1"/>
  <c r="U2406" i="1"/>
  <c r="U2405" i="1"/>
  <c r="U2404" i="1"/>
  <c r="U2403" i="1"/>
  <c r="U2402" i="1"/>
  <c r="U2401" i="1"/>
  <c r="U2400" i="1"/>
  <c r="U2399" i="1"/>
  <c r="U2398" i="1"/>
  <c r="U2397" i="1"/>
  <c r="U2396" i="1"/>
  <c r="U2395" i="1"/>
  <c r="U2394" i="1"/>
  <c r="U2393" i="1"/>
  <c r="U2392" i="1"/>
  <c r="U2391" i="1"/>
  <c r="U2390" i="1"/>
  <c r="U2389" i="1"/>
  <c r="U2388" i="1"/>
  <c r="U2387" i="1"/>
  <c r="U2386" i="1"/>
  <c r="U2385" i="1"/>
  <c r="U2384" i="1"/>
  <c r="U2383" i="1"/>
  <c r="U2382" i="1"/>
  <c r="U2381" i="1"/>
  <c r="U2380" i="1"/>
  <c r="U2379" i="1"/>
  <c r="U2378" i="1"/>
  <c r="U2377" i="1"/>
  <c r="U2376" i="1"/>
  <c r="U2375" i="1"/>
  <c r="U2374" i="1"/>
  <c r="U2373" i="1"/>
  <c r="U2372" i="1"/>
  <c r="U2371" i="1"/>
  <c r="U2370" i="1"/>
  <c r="U2369" i="1"/>
  <c r="U2368" i="1"/>
  <c r="U2367" i="1"/>
  <c r="U2366" i="1"/>
  <c r="U2365" i="1"/>
  <c r="U2364" i="1"/>
  <c r="U2363" i="1"/>
  <c r="U2362" i="1"/>
  <c r="U2361" i="1"/>
  <c r="U2360" i="1"/>
  <c r="U2359" i="1"/>
  <c r="U2358" i="1"/>
  <c r="U2357" i="1"/>
  <c r="U2356" i="1"/>
  <c r="U2355" i="1"/>
  <c r="U2354" i="1"/>
  <c r="U2353" i="1"/>
  <c r="U2352" i="1"/>
  <c r="U2351" i="1"/>
  <c r="U2350" i="1"/>
  <c r="U2349" i="1"/>
  <c r="U2348" i="1"/>
  <c r="U2347" i="1"/>
  <c r="U2346" i="1"/>
  <c r="U2345" i="1"/>
  <c r="U2344" i="1"/>
  <c r="U2343" i="1"/>
  <c r="U2342" i="1"/>
  <c r="U2341" i="1"/>
  <c r="U2340" i="1"/>
  <c r="U2339" i="1"/>
  <c r="U2338" i="1"/>
  <c r="U2337" i="1"/>
  <c r="U2336" i="1"/>
  <c r="U2335" i="1"/>
  <c r="U2334" i="1"/>
  <c r="U2333" i="1"/>
  <c r="U2332" i="1"/>
  <c r="U2331" i="1"/>
  <c r="U2330" i="1"/>
  <c r="U2329" i="1"/>
  <c r="U2328" i="1"/>
  <c r="U2327" i="1"/>
  <c r="U2326" i="1"/>
  <c r="U2325" i="1"/>
  <c r="U2324" i="1"/>
  <c r="U2323" i="1"/>
  <c r="U2322" i="1"/>
  <c r="U2321" i="1"/>
  <c r="U2320" i="1"/>
  <c r="U2319" i="1"/>
  <c r="U2318" i="1"/>
  <c r="U2317" i="1"/>
  <c r="U2316" i="1"/>
  <c r="U2315" i="1"/>
  <c r="U2314" i="1"/>
  <c r="U2313" i="1"/>
  <c r="U2312" i="1"/>
  <c r="U2311" i="1"/>
  <c r="U2310" i="1"/>
  <c r="U2309" i="1"/>
  <c r="U2308" i="1"/>
  <c r="U2307" i="1"/>
  <c r="U2306" i="1"/>
  <c r="U2305" i="1"/>
  <c r="U2304" i="1"/>
  <c r="U2303" i="1"/>
  <c r="U2302" i="1"/>
  <c r="U2301" i="1"/>
  <c r="U2300" i="1"/>
  <c r="U2299" i="1"/>
  <c r="U2298" i="1"/>
  <c r="U2297" i="1"/>
  <c r="U2296" i="1"/>
  <c r="U2295" i="1"/>
  <c r="U2294" i="1"/>
  <c r="U2293" i="1"/>
  <c r="U2292" i="1"/>
  <c r="U2291" i="1"/>
  <c r="U2290" i="1"/>
  <c r="U2289" i="1"/>
  <c r="U2288" i="1"/>
  <c r="U2287" i="1"/>
  <c r="U2286" i="1"/>
  <c r="U2285" i="1"/>
  <c r="U2284" i="1"/>
  <c r="U2283" i="1"/>
  <c r="U2282" i="1"/>
  <c r="U2281" i="1"/>
  <c r="U2280" i="1"/>
  <c r="U2279" i="1"/>
  <c r="U2278" i="1"/>
  <c r="U2277" i="1"/>
  <c r="U2276" i="1"/>
  <c r="U2275" i="1"/>
  <c r="U2274" i="1"/>
  <c r="U2273" i="1"/>
  <c r="U2272" i="1"/>
  <c r="U2271" i="1"/>
  <c r="U2270" i="1"/>
  <c r="U2269" i="1"/>
  <c r="U2268" i="1"/>
  <c r="U2267" i="1"/>
  <c r="U2266" i="1"/>
  <c r="U2265" i="1"/>
  <c r="U2264" i="1"/>
  <c r="U2263" i="1"/>
  <c r="U2262" i="1"/>
  <c r="U2261" i="1"/>
  <c r="U2260" i="1"/>
  <c r="U2259" i="1"/>
  <c r="U2258" i="1"/>
  <c r="U2257" i="1"/>
  <c r="U2256" i="1"/>
  <c r="U2255" i="1"/>
  <c r="U2254" i="1"/>
  <c r="U2253" i="1"/>
  <c r="U2252" i="1"/>
  <c r="U2251" i="1"/>
  <c r="U2250" i="1"/>
  <c r="U2249" i="1"/>
  <c r="U2248" i="1"/>
  <c r="U2247" i="1"/>
  <c r="U2246" i="1"/>
  <c r="U2245" i="1"/>
  <c r="U2244" i="1"/>
  <c r="U2243" i="1"/>
  <c r="U2242" i="1"/>
  <c r="U2241" i="1"/>
  <c r="U2240" i="1"/>
  <c r="U2239" i="1"/>
  <c r="U2238" i="1"/>
  <c r="U2237" i="1"/>
  <c r="U2236" i="1"/>
  <c r="U2235" i="1"/>
  <c r="U2234" i="1"/>
  <c r="U2233" i="1"/>
  <c r="U2232" i="1"/>
  <c r="U2231" i="1"/>
  <c r="U2230" i="1"/>
  <c r="U2229" i="1"/>
  <c r="U2228" i="1"/>
  <c r="U2227" i="1"/>
  <c r="U2226" i="1"/>
  <c r="U2225" i="1"/>
  <c r="U2224" i="1"/>
  <c r="U2223" i="1"/>
  <c r="U2222" i="1"/>
  <c r="U2221" i="1"/>
  <c r="U2220" i="1"/>
  <c r="U2219" i="1"/>
  <c r="U2218" i="1"/>
  <c r="U2217" i="1"/>
  <c r="U2216" i="1"/>
  <c r="U2215" i="1"/>
  <c r="U2214" i="1"/>
  <c r="U2213" i="1"/>
  <c r="U2212" i="1"/>
  <c r="U2211" i="1"/>
  <c r="U2210" i="1"/>
  <c r="U2209" i="1"/>
  <c r="U2208" i="1"/>
  <c r="U2207" i="1"/>
  <c r="U2206" i="1"/>
  <c r="U2205" i="1"/>
  <c r="U2204" i="1"/>
  <c r="U2203" i="1"/>
  <c r="U2202" i="1"/>
  <c r="U2201" i="1"/>
  <c r="U2200" i="1"/>
  <c r="U2199" i="1"/>
  <c r="U2198" i="1"/>
  <c r="U2197" i="1"/>
  <c r="U2196" i="1"/>
  <c r="U2195" i="1"/>
  <c r="U2194" i="1"/>
  <c r="U2193" i="1"/>
  <c r="U2192" i="1"/>
  <c r="U2191" i="1"/>
  <c r="U2190" i="1"/>
  <c r="U2189" i="1"/>
  <c r="U2188" i="1"/>
  <c r="U2187" i="1"/>
  <c r="U2186" i="1"/>
  <c r="U2185" i="1"/>
  <c r="U2184" i="1"/>
  <c r="U2183" i="1"/>
  <c r="U2182" i="1"/>
  <c r="U2181" i="1"/>
  <c r="U2180" i="1"/>
  <c r="U2179" i="1"/>
  <c r="U2178" i="1"/>
  <c r="U2177" i="1"/>
  <c r="U2176" i="1"/>
  <c r="U2175" i="1"/>
  <c r="U2174" i="1"/>
  <c r="U2173" i="1"/>
  <c r="U2172" i="1"/>
  <c r="U2171" i="1"/>
  <c r="U2170" i="1"/>
  <c r="U2169" i="1"/>
  <c r="U2168" i="1"/>
  <c r="U2167" i="1"/>
  <c r="U2166" i="1"/>
  <c r="U2165" i="1"/>
  <c r="U2164" i="1"/>
  <c r="U2163" i="1"/>
  <c r="U2162" i="1"/>
  <c r="U2161" i="1"/>
  <c r="U2160" i="1"/>
  <c r="U2159" i="1"/>
  <c r="U2158" i="1"/>
  <c r="U2157" i="1"/>
  <c r="U2156" i="1"/>
  <c r="U2155" i="1"/>
  <c r="U2154" i="1"/>
  <c r="U2153" i="1"/>
  <c r="U2152" i="1"/>
  <c r="U2151" i="1"/>
  <c r="U2150" i="1"/>
  <c r="U2149" i="1"/>
  <c r="U2148" i="1"/>
  <c r="U2147" i="1"/>
  <c r="U2146" i="1"/>
  <c r="U2145" i="1"/>
  <c r="U2144" i="1"/>
  <c r="U2143" i="1"/>
  <c r="U2142" i="1"/>
  <c r="U2141" i="1"/>
  <c r="U2140" i="1"/>
  <c r="U2139" i="1"/>
  <c r="U2138" i="1"/>
  <c r="U2137" i="1"/>
  <c r="U2136" i="1"/>
  <c r="U2135" i="1"/>
  <c r="U2134" i="1"/>
  <c r="U2133" i="1"/>
  <c r="U2132" i="1"/>
  <c r="U2131" i="1"/>
  <c r="U2130" i="1"/>
  <c r="U2129" i="1"/>
  <c r="U2128" i="1"/>
  <c r="U2127" i="1"/>
  <c r="U2126" i="1"/>
  <c r="U2125" i="1"/>
  <c r="U2124" i="1"/>
  <c r="U2123" i="1"/>
  <c r="U2122" i="1"/>
  <c r="U2121" i="1"/>
  <c r="U2120" i="1"/>
  <c r="U2119" i="1"/>
  <c r="U2118" i="1"/>
  <c r="U2117" i="1"/>
  <c r="U2116" i="1"/>
  <c r="U2115" i="1"/>
  <c r="U2114" i="1"/>
  <c r="U2113" i="1"/>
  <c r="U2112" i="1"/>
  <c r="U2111" i="1"/>
  <c r="U2110" i="1"/>
  <c r="U2109" i="1"/>
  <c r="U2108" i="1"/>
  <c r="U2107" i="1"/>
  <c r="U2106" i="1"/>
  <c r="U2105" i="1"/>
  <c r="U2104" i="1"/>
  <c r="U2103" i="1"/>
  <c r="U2102" i="1"/>
  <c r="U2101" i="1"/>
  <c r="U2100" i="1"/>
  <c r="U2099" i="1"/>
  <c r="U2098" i="1"/>
  <c r="U2097" i="1"/>
  <c r="U2096" i="1"/>
  <c r="U2095" i="1"/>
  <c r="U2094" i="1"/>
  <c r="U2093" i="1"/>
  <c r="U2092" i="1"/>
  <c r="U2091" i="1"/>
  <c r="U2090" i="1"/>
  <c r="U2089" i="1"/>
  <c r="U2088" i="1"/>
  <c r="U2087" i="1"/>
  <c r="U2086" i="1"/>
  <c r="U2085" i="1"/>
  <c r="U2084" i="1"/>
  <c r="U2083" i="1"/>
  <c r="U2082" i="1"/>
  <c r="U2081" i="1"/>
  <c r="U2080" i="1"/>
  <c r="U2079" i="1"/>
  <c r="U2078" i="1"/>
  <c r="U2077" i="1"/>
  <c r="U2076" i="1"/>
  <c r="U2075" i="1"/>
  <c r="U2074" i="1"/>
  <c r="U2073" i="1"/>
  <c r="U2072" i="1"/>
  <c r="U2071" i="1"/>
  <c r="U2070" i="1"/>
  <c r="U2069" i="1"/>
  <c r="U2068" i="1"/>
  <c r="U2067" i="1"/>
  <c r="U2066" i="1"/>
  <c r="U2065" i="1"/>
  <c r="U2064" i="1"/>
  <c r="U2063" i="1"/>
  <c r="U2062" i="1"/>
  <c r="U2061" i="1"/>
  <c r="U2060" i="1"/>
  <c r="U2059" i="1"/>
  <c r="U2058" i="1"/>
  <c r="U2057" i="1"/>
  <c r="U2056" i="1"/>
  <c r="U2055" i="1"/>
  <c r="U2054" i="1"/>
  <c r="U2053" i="1"/>
  <c r="U2052" i="1"/>
  <c r="U2051" i="1"/>
  <c r="U2050" i="1"/>
  <c r="U2049" i="1"/>
  <c r="U2048" i="1"/>
  <c r="U2047" i="1"/>
  <c r="U2046" i="1"/>
  <c r="U2045" i="1"/>
  <c r="U2044" i="1"/>
  <c r="U2043" i="1"/>
  <c r="U2042" i="1"/>
  <c r="U2041" i="1"/>
  <c r="U2040" i="1"/>
  <c r="U2039" i="1"/>
  <c r="U2038" i="1"/>
  <c r="U2037" i="1"/>
  <c r="U2036" i="1"/>
  <c r="U2035" i="1"/>
  <c r="U2034" i="1"/>
  <c r="U2033" i="1"/>
  <c r="U2032" i="1"/>
  <c r="U2031" i="1"/>
  <c r="U2030" i="1"/>
  <c r="U2029" i="1"/>
  <c r="U2028" i="1"/>
  <c r="U2027" i="1"/>
  <c r="U2026" i="1"/>
  <c r="U2025" i="1"/>
  <c r="U2024" i="1"/>
  <c r="U2023" i="1"/>
  <c r="U2022" i="1"/>
  <c r="U2021" i="1"/>
  <c r="U2020" i="1"/>
  <c r="U2019" i="1"/>
  <c r="U2018" i="1"/>
  <c r="U2017" i="1"/>
  <c r="U2016" i="1"/>
  <c r="U2015" i="1"/>
  <c r="U2014" i="1"/>
  <c r="U2013" i="1"/>
  <c r="U2012" i="1"/>
  <c r="U2011" i="1"/>
  <c r="U2010" i="1"/>
  <c r="U2009" i="1"/>
  <c r="U2008" i="1"/>
  <c r="U2007" i="1"/>
  <c r="U2006" i="1"/>
  <c r="U2005" i="1"/>
  <c r="U2004" i="1"/>
  <c r="U2003" i="1"/>
  <c r="U2002" i="1"/>
  <c r="U2001" i="1"/>
  <c r="U2000" i="1"/>
  <c r="U1999" i="1"/>
  <c r="U1998" i="1"/>
  <c r="U1997" i="1"/>
  <c r="U1996" i="1"/>
  <c r="U1995" i="1"/>
  <c r="U1994" i="1"/>
  <c r="U1993" i="1"/>
  <c r="U1992" i="1"/>
  <c r="U1991" i="1"/>
  <c r="U1990" i="1"/>
  <c r="U1989" i="1"/>
  <c r="U1988" i="1"/>
  <c r="U1987" i="1"/>
  <c r="U1986" i="1"/>
  <c r="U1985" i="1"/>
  <c r="U1984" i="1"/>
  <c r="U1983" i="1"/>
  <c r="U1982" i="1"/>
  <c r="U1981" i="1"/>
  <c r="U1980" i="1"/>
  <c r="U1979" i="1"/>
  <c r="U1978" i="1"/>
  <c r="U1977" i="1"/>
  <c r="U1976" i="1"/>
  <c r="U1975" i="1"/>
  <c r="U1974" i="1"/>
  <c r="U1973" i="1"/>
  <c r="U1972" i="1"/>
  <c r="U1971" i="1"/>
  <c r="U1970" i="1"/>
  <c r="U1969" i="1"/>
  <c r="U1968" i="1"/>
  <c r="U1967" i="1"/>
  <c r="U1966" i="1"/>
  <c r="U1965" i="1"/>
  <c r="U1964" i="1"/>
  <c r="U1963" i="1"/>
  <c r="U1962" i="1"/>
  <c r="U1961" i="1"/>
  <c r="U1960" i="1"/>
  <c r="U1959" i="1"/>
  <c r="U1958" i="1"/>
  <c r="U1957" i="1"/>
  <c r="U1956" i="1"/>
  <c r="U1955" i="1"/>
  <c r="U1954" i="1"/>
  <c r="U1953" i="1"/>
  <c r="U1952" i="1"/>
  <c r="U1951" i="1"/>
  <c r="U1950" i="1"/>
  <c r="U1949" i="1"/>
  <c r="U1948" i="1"/>
  <c r="U1947" i="1"/>
  <c r="U1946" i="1"/>
  <c r="U1945" i="1"/>
  <c r="U1944" i="1"/>
  <c r="U1943" i="1"/>
  <c r="U1942" i="1"/>
  <c r="U1941" i="1"/>
  <c r="U1940" i="1"/>
  <c r="U1939" i="1"/>
  <c r="U1938" i="1"/>
  <c r="U1937" i="1"/>
  <c r="U1936" i="1"/>
  <c r="U1935" i="1"/>
  <c r="U1934" i="1"/>
  <c r="U1933" i="1"/>
  <c r="U1932" i="1"/>
  <c r="U1931" i="1"/>
  <c r="U1930" i="1"/>
  <c r="U1929" i="1"/>
  <c r="U1928" i="1"/>
  <c r="U1927" i="1"/>
  <c r="U1926" i="1"/>
  <c r="U1925" i="1"/>
  <c r="U1924" i="1"/>
  <c r="U1923" i="1"/>
  <c r="U1922" i="1"/>
  <c r="U1921" i="1"/>
  <c r="U1920" i="1"/>
  <c r="U1919" i="1"/>
  <c r="U1918" i="1"/>
  <c r="U1917" i="1"/>
  <c r="U1916" i="1"/>
  <c r="U1915" i="1"/>
  <c r="U1914" i="1"/>
  <c r="U1913" i="1"/>
  <c r="U1912" i="1"/>
  <c r="U1911" i="1"/>
  <c r="U1910" i="1"/>
  <c r="U1909" i="1"/>
  <c r="U1908" i="1"/>
  <c r="U1907" i="1"/>
  <c r="U1906" i="1"/>
  <c r="U1905" i="1"/>
  <c r="U1904" i="1"/>
  <c r="U1903" i="1"/>
  <c r="U1902" i="1"/>
  <c r="U1901" i="1"/>
  <c r="U1900" i="1"/>
  <c r="U1899" i="1"/>
  <c r="U1898" i="1"/>
  <c r="U1897" i="1"/>
  <c r="U1896" i="1"/>
  <c r="U1895" i="1"/>
  <c r="U1894" i="1"/>
  <c r="U1893" i="1"/>
  <c r="U1892" i="1"/>
  <c r="U1891" i="1"/>
  <c r="U1890" i="1"/>
  <c r="U1889" i="1"/>
  <c r="U1888" i="1"/>
  <c r="U1887" i="1"/>
  <c r="U1886" i="1"/>
  <c r="U1885" i="1"/>
  <c r="U1884" i="1"/>
  <c r="U1883" i="1"/>
  <c r="U1882" i="1"/>
  <c r="U1881" i="1"/>
  <c r="U1880" i="1"/>
  <c r="U1879" i="1"/>
  <c r="U1878" i="1"/>
  <c r="U1877" i="1"/>
  <c r="U1876" i="1"/>
  <c r="U1875" i="1"/>
  <c r="U1874" i="1"/>
  <c r="U1873" i="1"/>
  <c r="U1872" i="1"/>
  <c r="U1871" i="1"/>
  <c r="U1870" i="1"/>
  <c r="U1869" i="1"/>
  <c r="U1868" i="1"/>
  <c r="U1867" i="1"/>
  <c r="U1866" i="1"/>
  <c r="U1865" i="1"/>
  <c r="U1864" i="1"/>
  <c r="U1863" i="1"/>
  <c r="U1862" i="1"/>
  <c r="U1861" i="1"/>
  <c r="U1860" i="1"/>
  <c r="U1859" i="1"/>
  <c r="U1858" i="1"/>
  <c r="U1857" i="1"/>
  <c r="U1856" i="1"/>
  <c r="U1855" i="1"/>
  <c r="U1854" i="1"/>
  <c r="U1853" i="1"/>
  <c r="U1852" i="1"/>
  <c r="U1851" i="1"/>
  <c r="U1850" i="1"/>
  <c r="U1849" i="1"/>
  <c r="U1848" i="1"/>
  <c r="U1847" i="1"/>
  <c r="U1846" i="1"/>
  <c r="U1845" i="1"/>
  <c r="U1844" i="1"/>
  <c r="U1843" i="1"/>
  <c r="U1842" i="1"/>
  <c r="U1841" i="1"/>
  <c r="U1840" i="1"/>
  <c r="U1839" i="1"/>
  <c r="U1838" i="1"/>
  <c r="U1837" i="1"/>
  <c r="U1836" i="1"/>
  <c r="U1835" i="1"/>
  <c r="U1834" i="1"/>
  <c r="U1833" i="1"/>
  <c r="U1832" i="1"/>
  <c r="U1831" i="1"/>
  <c r="U1830" i="1"/>
  <c r="U1829" i="1"/>
  <c r="U1828" i="1"/>
  <c r="U1827" i="1"/>
  <c r="U1826" i="1"/>
  <c r="U1825" i="1"/>
  <c r="U1824" i="1"/>
  <c r="U1823" i="1"/>
  <c r="U1822" i="1"/>
  <c r="U1821" i="1"/>
  <c r="U1820" i="1"/>
  <c r="U1819" i="1"/>
  <c r="U1818" i="1"/>
  <c r="U1817" i="1"/>
  <c r="U1816" i="1"/>
  <c r="U1815" i="1"/>
  <c r="U1814" i="1"/>
  <c r="U1813" i="1"/>
  <c r="U1812" i="1"/>
  <c r="U1811" i="1"/>
  <c r="U1810" i="1"/>
  <c r="U1809" i="1"/>
  <c r="U1808" i="1"/>
  <c r="U1807" i="1"/>
  <c r="U1806" i="1"/>
  <c r="U1805" i="1"/>
  <c r="U1804" i="1"/>
  <c r="U1803" i="1"/>
  <c r="U1802" i="1"/>
  <c r="U1801" i="1"/>
  <c r="U1800" i="1"/>
  <c r="U1799" i="1"/>
  <c r="U1798" i="1"/>
  <c r="U1797" i="1"/>
  <c r="U1796" i="1"/>
  <c r="U1795" i="1"/>
  <c r="U1794" i="1"/>
  <c r="U1793" i="1"/>
  <c r="U1792" i="1"/>
  <c r="U1791" i="1"/>
  <c r="U1790" i="1"/>
  <c r="U1789" i="1"/>
  <c r="U1788" i="1"/>
  <c r="U1787" i="1"/>
  <c r="U1786" i="1"/>
  <c r="U1785" i="1"/>
  <c r="I1785" i="1"/>
  <c r="C1785" i="1"/>
  <c r="U1784" i="1"/>
  <c r="I1784" i="1"/>
  <c r="C1784" i="1"/>
  <c r="U1783" i="1"/>
  <c r="I1783" i="1"/>
  <c r="C1783" i="1"/>
  <c r="U1782" i="1"/>
  <c r="I1782" i="1"/>
  <c r="C1782" i="1"/>
  <c r="U1781" i="1"/>
  <c r="I1781" i="1"/>
  <c r="C1781" i="1"/>
  <c r="U1780" i="1"/>
  <c r="I1780" i="1"/>
  <c r="C1780" i="1"/>
  <c r="U1779" i="1"/>
  <c r="I1779" i="1"/>
  <c r="C1779" i="1"/>
  <c r="U1778" i="1"/>
  <c r="I1778" i="1"/>
  <c r="C1778" i="1"/>
  <c r="U1777" i="1"/>
  <c r="I1777" i="1"/>
  <c r="C1777" i="1"/>
  <c r="U1776" i="1"/>
  <c r="I1776" i="1"/>
  <c r="C1776" i="1"/>
  <c r="U1775" i="1"/>
  <c r="I1775" i="1"/>
  <c r="C1775" i="1"/>
  <c r="U1774" i="1"/>
  <c r="I1774" i="1"/>
  <c r="C1774" i="1"/>
  <c r="U1773" i="1"/>
  <c r="I1773" i="1"/>
  <c r="C1773" i="1"/>
  <c r="U1772" i="1"/>
  <c r="I1772" i="1"/>
  <c r="C1772" i="1"/>
  <c r="U1771" i="1"/>
  <c r="I1771" i="1"/>
  <c r="C1771" i="1"/>
  <c r="U1770" i="1"/>
  <c r="I1770" i="1"/>
  <c r="C1770" i="1"/>
  <c r="U1769" i="1"/>
  <c r="I1769" i="1"/>
  <c r="C1769" i="1"/>
  <c r="U1768" i="1"/>
  <c r="I1768" i="1"/>
  <c r="C1768" i="1"/>
  <c r="U1767" i="1"/>
  <c r="I1767" i="1"/>
  <c r="C1767" i="1"/>
  <c r="U1766" i="1"/>
  <c r="I1766" i="1"/>
  <c r="C1766" i="1"/>
  <c r="U1765" i="1"/>
  <c r="I1765" i="1"/>
  <c r="C1765" i="1"/>
  <c r="U1764" i="1"/>
  <c r="I1764" i="1"/>
  <c r="C1764" i="1"/>
  <c r="U1763" i="1"/>
  <c r="I1763" i="1"/>
  <c r="C1763" i="1"/>
  <c r="U1762" i="1"/>
  <c r="I1762" i="1"/>
  <c r="C1762" i="1"/>
  <c r="U1761" i="1"/>
  <c r="I1761" i="1"/>
  <c r="C1761" i="1"/>
  <c r="U1760" i="1"/>
  <c r="I1760" i="1"/>
  <c r="C1760" i="1"/>
  <c r="U1759" i="1"/>
  <c r="I1759" i="1"/>
  <c r="C1759" i="1"/>
  <c r="U1758" i="1"/>
  <c r="I1758" i="1"/>
  <c r="C1758" i="1"/>
  <c r="U1757" i="1"/>
  <c r="I1757" i="1"/>
  <c r="C1757" i="1"/>
  <c r="U1756" i="1"/>
  <c r="I1756" i="1"/>
  <c r="C1756" i="1"/>
  <c r="U1755" i="1"/>
  <c r="I1755" i="1"/>
  <c r="C1755" i="1"/>
  <c r="B1755" i="1" s="1"/>
  <c r="A1755" i="1"/>
  <c r="U1754" i="1"/>
  <c r="I1754" i="1"/>
  <c r="C1754" i="1"/>
  <c r="B1754" i="1"/>
  <c r="A1754" i="1"/>
  <c r="U1753" i="1"/>
  <c r="I1753" i="1"/>
  <c r="C1753" i="1"/>
  <c r="B1753" i="1"/>
  <c r="A1753" i="1"/>
  <c r="U1752" i="1"/>
  <c r="I1752" i="1"/>
  <c r="C1752" i="1"/>
  <c r="B1752" i="1"/>
  <c r="A1752" i="1"/>
  <c r="U1751" i="1"/>
  <c r="I1751" i="1"/>
  <c r="C1751" i="1"/>
  <c r="B1751" i="1"/>
  <c r="A1751" i="1"/>
  <c r="U1750" i="1"/>
  <c r="I1750" i="1"/>
  <c r="C1750" i="1"/>
  <c r="B1750" i="1"/>
  <c r="A1750" i="1"/>
  <c r="U1749" i="1"/>
  <c r="I1749" i="1"/>
  <c r="C1749" i="1"/>
  <c r="B1749" i="1"/>
  <c r="A1749" i="1"/>
  <c r="U1748" i="1"/>
  <c r="I1748" i="1"/>
  <c r="C1748" i="1"/>
  <c r="B1748" i="1"/>
  <c r="A1748" i="1"/>
  <c r="U1747" i="1"/>
  <c r="I1747" i="1"/>
  <c r="C1747" i="1"/>
  <c r="B1747" i="1"/>
  <c r="A1747" i="1"/>
  <c r="U1746" i="1"/>
  <c r="I1746" i="1"/>
  <c r="C1746" i="1"/>
  <c r="B1746" i="1"/>
  <c r="A1746" i="1"/>
  <c r="U1745" i="1"/>
  <c r="I1745" i="1"/>
  <c r="C1745" i="1"/>
  <c r="B1745" i="1"/>
  <c r="A1745" i="1"/>
  <c r="U1744" i="1"/>
  <c r="I1744" i="1"/>
  <c r="C1744" i="1"/>
  <c r="B1744" i="1"/>
  <c r="A1744" i="1"/>
  <c r="U1743" i="1"/>
  <c r="I1743" i="1"/>
  <c r="C1743" i="1"/>
  <c r="B1743" i="1"/>
  <c r="A1743" i="1"/>
  <c r="U1742" i="1"/>
  <c r="I1742" i="1"/>
  <c r="C1742" i="1"/>
  <c r="B1742" i="1"/>
  <c r="A1742" i="1"/>
  <c r="U1741" i="1"/>
  <c r="I1741" i="1"/>
  <c r="C1741" i="1"/>
  <c r="B1741" i="1"/>
  <c r="A1741" i="1"/>
  <c r="U1740" i="1"/>
  <c r="I1740" i="1"/>
  <c r="C1740" i="1"/>
  <c r="B1740" i="1"/>
  <c r="A1740" i="1"/>
  <c r="U1739" i="1"/>
  <c r="I1739" i="1"/>
  <c r="C1739" i="1"/>
  <c r="B1739" i="1"/>
  <c r="A1739" i="1"/>
  <c r="U1738" i="1"/>
  <c r="I1738" i="1"/>
  <c r="C1738" i="1"/>
  <c r="B1738" i="1"/>
  <c r="A1738" i="1"/>
  <c r="U1737" i="1"/>
  <c r="I1737" i="1"/>
  <c r="C1737" i="1"/>
  <c r="B1737" i="1"/>
  <c r="A1737" i="1"/>
  <c r="U1736" i="1"/>
  <c r="I1736" i="1"/>
  <c r="C1736" i="1"/>
  <c r="B1736" i="1"/>
  <c r="A1736" i="1"/>
  <c r="U1735" i="1"/>
  <c r="I1735" i="1"/>
  <c r="C1735" i="1"/>
  <c r="B1735" i="1"/>
  <c r="A1735" i="1"/>
  <c r="U1734" i="1"/>
  <c r="I1734" i="1"/>
  <c r="C1734" i="1"/>
  <c r="B1734" i="1"/>
  <c r="A1734" i="1"/>
  <c r="U1733" i="1"/>
  <c r="I1733" i="1"/>
  <c r="C1733" i="1"/>
  <c r="B1733" i="1"/>
  <c r="A1733" i="1"/>
  <c r="U1732" i="1"/>
  <c r="I1732" i="1"/>
  <c r="C1732" i="1"/>
  <c r="B1732" i="1"/>
  <c r="A1732" i="1"/>
  <c r="U1731" i="1"/>
  <c r="I1731" i="1"/>
  <c r="C1731" i="1"/>
  <c r="B1731" i="1"/>
  <c r="A1731" i="1"/>
  <c r="U1730" i="1"/>
  <c r="I1730" i="1"/>
  <c r="C1730" i="1"/>
  <c r="B1730" i="1"/>
  <c r="A1730" i="1"/>
  <c r="U1729" i="1"/>
  <c r="I1729" i="1"/>
  <c r="C1729" i="1"/>
  <c r="B1729" i="1"/>
  <c r="A1729" i="1"/>
  <c r="U1728" i="1"/>
  <c r="I1728" i="1"/>
  <c r="C1728" i="1"/>
  <c r="B1728" i="1"/>
  <c r="A1728" i="1"/>
  <c r="U1727" i="1"/>
  <c r="I1727" i="1"/>
  <c r="C1727" i="1"/>
  <c r="B1727" i="1"/>
  <c r="A1727" i="1"/>
  <c r="U1726" i="1"/>
  <c r="I1726" i="1"/>
  <c r="C1726" i="1"/>
  <c r="B1726" i="1"/>
  <c r="A1726" i="1"/>
  <c r="U1725" i="1"/>
  <c r="I1725" i="1"/>
  <c r="C1725" i="1"/>
  <c r="B1725" i="1"/>
  <c r="A1725" i="1"/>
  <c r="U1724" i="1"/>
  <c r="I1724" i="1"/>
  <c r="C1724" i="1"/>
  <c r="B1724" i="1"/>
  <c r="A1724" i="1"/>
  <c r="U1723" i="1"/>
  <c r="I1723" i="1"/>
  <c r="C1723" i="1"/>
  <c r="B1723" i="1"/>
  <c r="A1723" i="1"/>
  <c r="U1722" i="1"/>
  <c r="I1722" i="1"/>
  <c r="C1722" i="1"/>
  <c r="B1722" i="1"/>
  <c r="A1722" i="1"/>
  <c r="U1721" i="1"/>
  <c r="I1721" i="1"/>
  <c r="C1721" i="1"/>
  <c r="B1721" i="1"/>
  <c r="A1721" i="1"/>
  <c r="U1720" i="1"/>
  <c r="I1720" i="1"/>
  <c r="C1720" i="1"/>
  <c r="B1720" i="1"/>
  <c r="A1720" i="1"/>
  <c r="U1719" i="1"/>
  <c r="I1719" i="1"/>
  <c r="C1719" i="1"/>
  <c r="U1718" i="1"/>
  <c r="I1718" i="1"/>
  <c r="C1718" i="1"/>
  <c r="U1717" i="1"/>
  <c r="I1717" i="1"/>
  <c r="C1717" i="1"/>
  <c r="U1716" i="1"/>
  <c r="I1716" i="1"/>
  <c r="C1716" i="1"/>
  <c r="U1715" i="1"/>
  <c r="I1715" i="1"/>
  <c r="C1715" i="1"/>
  <c r="U1714" i="1"/>
  <c r="I1714" i="1"/>
  <c r="C1714" i="1"/>
  <c r="U1713" i="1"/>
  <c r="I1713" i="1"/>
  <c r="C1713" i="1"/>
  <c r="U1712" i="1"/>
  <c r="I1712" i="1"/>
  <c r="C1712" i="1"/>
  <c r="U1711" i="1"/>
  <c r="I1711" i="1"/>
  <c r="C1711" i="1"/>
  <c r="U1710" i="1"/>
  <c r="I1710" i="1"/>
  <c r="C1710" i="1"/>
  <c r="U1709" i="1"/>
  <c r="I1709" i="1"/>
  <c r="C1709" i="1"/>
  <c r="U1708" i="1"/>
  <c r="I1708" i="1"/>
  <c r="C1708" i="1"/>
  <c r="U1707" i="1"/>
  <c r="I1707" i="1"/>
  <c r="C1707" i="1"/>
  <c r="U1706" i="1"/>
  <c r="I1706" i="1"/>
  <c r="C1706" i="1"/>
  <c r="U1705" i="1"/>
  <c r="I1705" i="1"/>
  <c r="C1705" i="1"/>
  <c r="U1704" i="1"/>
  <c r="I1704" i="1"/>
  <c r="C1704" i="1"/>
  <c r="U1703" i="1"/>
  <c r="I1703" i="1"/>
  <c r="C1703" i="1"/>
  <c r="U1702" i="1"/>
  <c r="I1702" i="1"/>
  <c r="C1702" i="1"/>
  <c r="U1701" i="1"/>
  <c r="I1701" i="1"/>
  <c r="C1701" i="1"/>
  <c r="U1700" i="1"/>
  <c r="I1700" i="1"/>
  <c r="C1700" i="1"/>
  <c r="U1699" i="1"/>
  <c r="I1699" i="1"/>
  <c r="C1699" i="1"/>
  <c r="U1698" i="1"/>
  <c r="I1698" i="1"/>
  <c r="C1698" i="1"/>
  <c r="B1698" i="1"/>
  <c r="A1698" i="1"/>
  <c r="U1697" i="1"/>
  <c r="I1697" i="1"/>
  <c r="C1697" i="1"/>
  <c r="B1697" i="1"/>
  <c r="A1697" i="1"/>
  <c r="U1696" i="1"/>
  <c r="I1696" i="1"/>
  <c r="C1696" i="1"/>
  <c r="B1696" i="1"/>
  <c r="A1696" i="1"/>
  <c r="U1695" i="1"/>
  <c r="I1695" i="1"/>
  <c r="C1695" i="1"/>
  <c r="B1695" i="1"/>
  <c r="A1695" i="1"/>
  <c r="U1694" i="1"/>
  <c r="I1694" i="1"/>
  <c r="C1694" i="1"/>
  <c r="B1694" i="1"/>
  <c r="A1694" i="1"/>
  <c r="U1693" i="1"/>
  <c r="I1693" i="1"/>
  <c r="C1693" i="1"/>
  <c r="B1693" i="1"/>
  <c r="A1693" i="1"/>
  <c r="U1692" i="1"/>
  <c r="I1692" i="1"/>
  <c r="C1692" i="1"/>
  <c r="B1692" i="1"/>
  <c r="A1692" i="1"/>
  <c r="U1691" i="1"/>
  <c r="I1691" i="1"/>
  <c r="C1691" i="1"/>
  <c r="B1691" i="1"/>
  <c r="A1691" i="1"/>
  <c r="U1690" i="1"/>
  <c r="I1690" i="1"/>
  <c r="C1690" i="1"/>
  <c r="B1690" i="1"/>
  <c r="A1690" i="1"/>
  <c r="U1689" i="1"/>
  <c r="I1689" i="1"/>
  <c r="C1689" i="1"/>
  <c r="B1689" i="1"/>
  <c r="A1689" i="1"/>
  <c r="U1688" i="1"/>
  <c r="I1688" i="1"/>
  <c r="C1688" i="1"/>
  <c r="B1688" i="1"/>
  <c r="A1688" i="1"/>
  <c r="U1687" i="1"/>
  <c r="I1687" i="1"/>
  <c r="C1687" i="1"/>
  <c r="B1687" i="1"/>
  <c r="A1687" i="1"/>
  <c r="U1686" i="1"/>
  <c r="I1686" i="1"/>
  <c r="C1686" i="1"/>
  <c r="B1686" i="1"/>
  <c r="A1686" i="1"/>
  <c r="U1685" i="1"/>
  <c r="I1685" i="1"/>
  <c r="C1685" i="1"/>
  <c r="B1685" i="1"/>
  <c r="A1685" i="1"/>
  <c r="U1684" i="1"/>
  <c r="I1684" i="1"/>
  <c r="C1684" i="1"/>
  <c r="B1684" i="1"/>
  <c r="A1684" i="1"/>
  <c r="U1683" i="1"/>
  <c r="I1683" i="1"/>
  <c r="C1683" i="1"/>
  <c r="B1683" i="1"/>
  <c r="A1683" i="1"/>
  <c r="U1682" i="1"/>
  <c r="I1682" i="1"/>
  <c r="C1682" i="1"/>
  <c r="B1682" i="1"/>
  <c r="A1682" i="1"/>
  <c r="U1681" i="1"/>
  <c r="I1681" i="1"/>
  <c r="C1681" i="1"/>
  <c r="B1681" i="1"/>
  <c r="A1681" i="1"/>
  <c r="U1680" i="1"/>
  <c r="I1680" i="1"/>
  <c r="C1680" i="1"/>
  <c r="B1680" i="1"/>
  <c r="A1680" i="1"/>
  <c r="U1679" i="1"/>
  <c r="I1679" i="1"/>
  <c r="C1679" i="1"/>
  <c r="B1679" i="1"/>
  <c r="A1679" i="1"/>
  <c r="U1678" i="1"/>
  <c r="I1678" i="1"/>
  <c r="C1678" i="1"/>
  <c r="B1678" i="1"/>
  <c r="A1678" i="1"/>
  <c r="U1677" i="1"/>
  <c r="I1677" i="1"/>
  <c r="C1677" i="1"/>
  <c r="B1677" i="1"/>
  <c r="A1677" i="1"/>
  <c r="U1676" i="1"/>
  <c r="I1676" i="1"/>
  <c r="C1676" i="1"/>
  <c r="B1676" i="1"/>
  <c r="A1676" i="1"/>
  <c r="U1675" i="1"/>
  <c r="I1675" i="1"/>
  <c r="C1675" i="1"/>
  <c r="B1675" i="1"/>
  <c r="A1675" i="1"/>
  <c r="U1674" i="1"/>
  <c r="I1674" i="1"/>
  <c r="C1674" i="1"/>
  <c r="B1674" i="1"/>
  <c r="A1674" i="1"/>
  <c r="U1673" i="1"/>
  <c r="I1673" i="1"/>
  <c r="C1673" i="1"/>
  <c r="B1673" i="1"/>
  <c r="A1673" i="1"/>
  <c r="U1672" i="1"/>
  <c r="I1672" i="1"/>
  <c r="C1672" i="1"/>
  <c r="B1672" i="1"/>
  <c r="A1672" i="1"/>
  <c r="U1671" i="1"/>
  <c r="I1671" i="1"/>
  <c r="C1671" i="1"/>
  <c r="B1671" i="1"/>
  <c r="A1671" i="1"/>
  <c r="U1670" i="1"/>
  <c r="I1670" i="1"/>
  <c r="C1670" i="1"/>
  <c r="B1670" i="1"/>
  <c r="A1670" i="1"/>
  <c r="U1669" i="1"/>
  <c r="I1669" i="1"/>
  <c r="C1669" i="1"/>
  <c r="B1669" i="1"/>
  <c r="A1669" i="1"/>
  <c r="U1668" i="1"/>
  <c r="I1668" i="1"/>
  <c r="C1668" i="1"/>
  <c r="B1668" i="1"/>
  <c r="A1668" i="1"/>
  <c r="U1667" i="1"/>
  <c r="I1667" i="1"/>
  <c r="C1667" i="1"/>
  <c r="B1667" i="1"/>
  <c r="A1667" i="1"/>
  <c r="U1666" i="1"/>
  <c r="I1666" i="1"/>
  <c r="C1666" i="1"/>
  <c r="B1666" i="1"/>
  <c r="A1666" i="1"/>
  <c r="U1665" i="1"/>
  <c r="I1665" i="1"/>
  <c r="C1665" i="1"/>
  <c r="B1665" i="1"/>
  <c r="A1665" i="1"/>
  <c r="U1664" i="1"/>
  <c r="I1664" i="1"/>
  <c r="C1664" i="1"/>
  <c r="B1664" i="1"/>
  <c r="A1664" i="1"/>
  <c r="U1663" i="1"/>
  <c r="I1663" i="1"/>
  <c r="C1663" i="1"/>
  <c r="B1663" i="1"/>
  <c r="A1663" i="1"/>
  <c r="U1662" i="1"/>
  <c r="I1662" i="1"/>
  <c r="C1662" i="1"/>
  <c r="B1662" i="1"/>
  <c r="A1662" i="1"/>
  <c r="U1661" i="1"/>
  <c r="I1661" i="1"/>
  <c r="C1661" i="1"/>
  <c r="B1661" i="1"/>
  <c r="A1661" i="1"/>
  <c r="U1660" i="1"/>
  <c r="I1660" i="1"/>
  <c r="C1660" i="1"/>
  <c r="B1660" i="1"/>
  <c r="A1660" i="1"/>
  <c r="U1659" i="1"/>
  <c r="I1659" i="1"/>
  <c r="C1659" i="1"/>
  <c r="B1659" i="1"/>
  <c r="A1659" i="1"/>
  <c r="U1658" i="1"/>
  <c r="I1658" i="1"/>
  <c r="C1658" i="1"/>
  <c r="B1658" i="1"/>
  <c r="A1658" i="1"/>
  <c r="U1657" i="1"/>
  <c r="I1657" i="1"/>
  <c r="C1657" i="1"/>
  <c r="B1657" i="1"/>
  <c r="A1657" i="1"/>
  <c r="U1656" i="1"/>
  <c r="I1656" i="1"/>
  <c r="C1656" i="1"/>
  <c r="B1656" i="1"/>
  <c r="A1656" i="1"/>
  <c r="U1655" i="1"/>
  <c r="I1655" i="1"/>
  <c r="C1655" i="1"/>
  <c r="B1655" i="1"/>
  <c r="A1655" i="1"/>
  <c r="U1654" i="1"/>
  <c r="I1654" i="1"/>
  <c r="C1654" i="1"/>
  <c r="B1654" i="1"/>
  <c r="A1654" i="1"/>
  <c r="U1653" i="1"/>
  <c r="I1653" i="1"/>
  <c r="C1653" i="1"/>
  <c r="B1653" i="1"/>
  <c r="A1653" i="1"/>
  <c r="U1652" i="1"/>
  <c r="I1652" i="1"/>
  <c r="C1652" i="1"/>
  <c r="B1652" i="1"/>
  <c r="A1652" i="1"/>
  <c r="U1651" i="1"/>
  <c r="I1651" i="1"/>
  <c r="C1651" i="1"/>
  <c r="B1651" i="1"/>
  <c r="A1651" i="1"/>
  <c r="U1650" i="1"/>
  <c r="I1650" i="1"/>
  <c r="C1650" i="1"/>
  <c r="U1649" i="1"/>
  <c r="I1649" i="1"/>
  <c r="C1649" i="1"/>
  <c r="B1649" i="1"/>
  <c r="A1649" i="1"/>
  <c r="U1648" i="1"/>
  <c r="I1648" i="1"/>
  <c r="C1648" i="1"/>
  <c r="B1648" i="1"/>
  <c r="A1648" i="1"/>
  <c r="U1647" i="1"/>
  <c r="I1647" i="1"/>
  <c r="C1647" i="1"/>
  <c r="B1647" i="1"/>
  <c r="A1647" i="1"/>
  <c r="U1646" i="1"/>
  <c r="I1646" i="1"/>
  <c r="C1646" i="1"/>
  <c r="B1646" i="1"/>
  <c r="A1646" i="1"/>
  <c r="U1645" i="1"/>
  <c r="I1645" i="1"/>
  <c r="C1645" i="1"/>
  <c r="U1644" i="1"/>
  <c r="I1644" i="1"/>
  <c r="C1644" i="1"/>
  <c r="B1644" i="1"/>
  <c r="A1644" i="1"/>
  <c r="U1643" i="1"/>
  <c r="I1643" i="1"/>
  <c r="C1643" i="1"/>
  <c r="B1643" i="1"/>
  <c r="A1643" i="1"/>
  <c r="U1642" i="1"/>
  <c r="I1642" i="1"/>
  <c r="C1642" i="1"/>
  <c r="B1642" i="1"/>
  <c r="A1642" i="1"/>
  <c r="U1641" i="1"/>
  <c r="I1641" i="1"/>
  <c r="C1641" i="1"/>
  <c r="B1641" i="1"/>
  <c r="A1641" i="1"/>
  <c r="U1640" i="1"/>
  <c r="I1640" i="1"/>
  <c r="C1640" i="1"/>
  <c r="B1640" i="1"/>
  <c r="A1640" i="1"/>
  <c r="U1639" i="1"/>
  <c r="I1639" i="1"/>
  <c r="C1639" i="1"/>
  <c r="B1639" i="1"/>
  <c r="A1639" i="1"/>
  <c r="U1638" i="1"/>
  <c r="I1638" i="1"/>
  <c r="C1638" i="1"/>
  <c r="B1638" i="1"/>
  <c r="A1638" i="1"/>
  <c r="U1637" i="1"/>
  <c r="I1637" i="1"/>
  <c r="C1637" i="1"/>
  <c r="B1637" i="1"/>
  <c r="A1637" i="1"/>
  <c r="U1636" i="1"/>
  <c r="I1636" i="1"/>
  <c r="C1636" i="1"/>
  <c r="B1636" i="1"/>
  <c r="A1636" i="1"/>
  <c r="U1635" i="1"/>
  <c r="I1635" i="1"/>
  <c r="C1635" i="1"/>
  <c r="B1635" i="1"/>
  <c r="A1635" i="1"/>
  <c r="U1634" i="1"/>
  <c r="I1634" i="1"/>
  <c r="C1634" i="1"/>
  <c r="B1634" i="1"/>
  <c r="A1634" i="1"/>
  <c r="U1633" i="1"/>
  <c r="I1633" i="1"/>
  <c r="C1633" i="1"/>
  <c r="B1633" i="1"/>
  <c r="A1633" i="1"/>
  <c r="U1632" i="1"/>
  <c r="I1632" i="1"/>
  <c r="C1632" i="1"/>
  <c r="B1632" i="1"/>
  <c r="A1632" i="1"/>
  <c r="U1631" i="1"/>
  <c r="I1631" i="1"/>
  <c r="C1631" i="1"/>
  <c r="B1631" i="1"/>
  <c r="A1631" i="1"/>
  <c r="U1630" i="1"/>
  <c r="I1630" i="1"/>
  <c r="C1630" i="1"/>
  <c r="B1630" i="1"/>
  <c r="A1630" i="1"/>
  <c r="U1629" i="1"/>
  <c r="I1629" i="1"/>
  <c r="C1629" i="1"/>
  <c r="B1629" i="1"/>
  <c r="A1629" i="1"/>
  <c r="U1628" i="1"/>
  <c r="I1628" i="1"/>
  <c r="C1628" i="1"/>
  <c r="B1628" i="1"/>
  <c r="A1628" i="1"/>
  <c r="U1627" i="1"/>
  <c r="I1627" i="1"/>
  <c r="C1627" i="1"/>
  <c r="B1627" i="1"/>
  <c r="A1627" i="1"/>
  <c r="U1626" i="1"/>
  <c r="I1626" i="1"/>
  <c r="C1626" i="1"/>
  <c r="B1626" i="1"/>
  <c r="A1626" i="1"/>
  <c r="U1625" i="1"/>
  <c r="I1625" i="1"/>
  <c r="C1625" i="1"/>
  <c r="B1625" i="1"/>
  <c r="A1625" i="1"/>
  <c r="U1624" i="1"/>
  <c r="I1624" i="1"/>
  <c r="C1624" i="1"/>
  <c r="B1624" i="1"/>
  <c r="A1624" i="1"/>
  <c r="U1623" i="1"/>
  <c r="I1623" i="1"/>
  <c r="C1623" i="1"/>
  <c r="B1623" i="1"/>
  <c r="A1623" i="1"/>
  <c r="U1622" i="1"/>
  <c r="I1622" i="1"/>
  <c r="C1622" i="1"/>
  <c r="B1622" i="1"/>
  <c r="A1622" i="1"/>
  <c r="U1621" i="1"/>
  <c r="I1621" i="1"/>
  <c r="C1621" i="1"/>
  <c r="B1621" i="1"/>
  <c r="A1621" i="1"/>
  <c r="U1620" i="1"/>
  <c r="I1620" i="1"/>
  <c r="C1620" i="1"/>
  <c r="B1620" i="1"/>
  <c r="A1620" i="1"/>
  <c r="U1619" i="1"/>
  <c r="I1619" i="1"/>
  <c r="C1619" i="1"/>
  <c r="B1619" i="1"/>
  <c r="A1619" i="1"/>
  <c r="U1618" i="1"/>
  <c r="I1618" i="1"/>
  <c r="C1618" i="1"/>
  <c r="B1618" i="1"/>
  <c r="A1618" i="1"/>
  <c r="U1617" i="1"/>
  <c r="I1617" i="1"/>
  <c r="C1617" i="1"/>
  <c r="B1617" i="1"/>
  <c r="A1617" i="1"/>
  <c r="U1616" i="1"/>
  <c r="I1616" i="1"/>
  <c r="C1616" i="1"/>
  <c r="B1616" i="1"/>
  <c r="A1616" i="1"/>
  <c r="U1615" i="1"/>
  <c r="I1615" i="1"/>
  <c r="C1615" i="1"/>
  <c r="B1615" i="1"/>
  <c r="A1615" i="1"/>
  <c r="U1614" i="1"/>
  <c r="I1614" i="1"/>
  <c r="C1614" i="1"/>
  <c r="B1614" i="1"/>
  <c r="A1614" i="1"/>
  <c r="U1613" i="1"/>
  <c r="I1613" i="1"/>
  <c r="C1613" i="1"/>
  <c r="B1613" i="1"/>
  <c r="A1613" i="1"/>
  <c r="U1612" i="1"/>
  <c r="I1612" i="1"/>
  <c r="C1612" i="1"/>
  <c r="B1612" i="1"/>
  <c r="A1612" i="1"/>
  <c r="U1611" i="1"/>
  <c r="I1611" i="1"/>
  <c r="C1611" i="1"/>
  <c r="B1611" i="1"/>
  <c r="A1611" i="1"/>
  <c r="U1610" i="1"/>
  <c r="I1610" i="1"/>
  <c r="C1610" i="1"/>
  <c r="B1610" i="1"/>
  <c r="A1610" i="1"/>
  <c r="U1609" i="1"/>
  <c r="I1609" i="1"/>
  <c r="C1609" i="1"/>
  <c r="B1609" i="1"/>
  <c r="A1609" i="1"/>
  <c r="U1608" i="1"/>
  <c r="I1608" i="1"/>
  <c r="C1608" i="1"/>
  <c r="B1608" i="1"/>
  <c r="A1608" i="1"/>
  <c r="U1607" i="1"/>
  <c r="I1607" i="1"/>
  <c r="C1607" i="1"/>
  <c r="B1607" i="1"/>
  <c r="A1607" i="1"/>
  <c r="U1606" i="1"/>
  <c r="I1606" i="1"/>
  <c r="C1606" i="1"/>
  <c r="B1606" i="1"/>
  <c r="A1606" i="1"/>
  <c r="U1605" i="1"/>
  <c r="I1605" i="1"/>
  <c r="C1605" i="1"/>
  <c r="B1605" i="1"/>
  <c r="A1605" i="1"/>
  <c r="U1604" i="1"/>
  <c r="I1604" i="1"/>
  <c r="C1604" i="1"/>
  <c r="B1604" i="1"/>
  <c r="A1604" i="1"/>
  <c r="U1603" i="1"/>
  <c r="I1603" i="1"/>
  <c r="C1603" i="1"/>
  <c r="B1603" i="1"/>
  <c r="A1603" i="1"/>
  <c r="U1602" i="1"/>
  <c r="I1602" i="1"/>
  <c r="C1602" i="1"/>
  <c r="B1602" i="1"/>
  <c r="A1602" i="1"/>
  <c r="U1601" i="1"/>
  <c r="I1601" i="1"/>
  <c r="C1601" i="1"/>
  <c r="B1601" i="1"/>
  <c r="A1601" i="1"/>
  <c r="U1600" i="1"/>
  <c r="I1600" i="1"/>
  <c r="C1600" i="1"/>
  <c r="B1600" i="1"/>
  <c r="A1600" i="1"/>
  <c r="U1599" i="1"/>
  <c r="I1599" i="1"/>
  <c r="C1599" i="1"/>
  <c r="B1599" i="1"/>
  <c r="A1599" i="1"/>
  <c r="U1598" i="1"/>
  <c r="I1598" i="1"/>
  <c r="C1598" i="1"/>
  <c r="B1598" i="1"/>
  <c r="A1598" i="1"/>
  <c r="U1597" i="1"/>
  <c r="I1597" i="1"/>
  <c r="C1597" i="1"/>
  <c r="B1597" i="1"/>
  <c r="A1597" i="1"/>
  <c r="U1596" i="1"/>
  <c r="I1596" i="1"/>
  <c r="C1596" i="1"/>
  <c r="B1596" i="1"/>
  <c r="A1596" i="1"/>
  <c r="U1595" i="1"/>
  <c r="I1595" i="1"/>
  <c r="C1595" i="1"/>
  <c r="B1595" i="1"/>
  <c r="A1595" i="1"/>
  <c r="U1594" i="1"/>
  <c r="I1594" i="1"/>
  <c r="C1594" i="1"/>
  <c r="B1594" i="1"/>
  <c r="A1594" i="1"/>
  <c r="U1593" i="1"/>
  <c r="I1593" i="1"/>
  <c r="C1593" i="1"/>
  <c r="B1593" i="1"/>
  <c r="A1593" i="1"/>
  <c r="U1592" i="1"/>
  <c r="I1592" i="1"/>
  <c r="C1592" i="1"/>
  <c r="B1592" i="1"/>
  <c r="A1592" i="1"/>
  <c r="U1591" i="1"/>
  <c r="I1591" i="1"/>
  <c r="C1591" i="1"/>
  <c r="B1591" i="1"/>
  <c r="A1591" i="1"/>
  <c r="U1590" i="1"/>
  <c r="I1590" i="1"/>
  <c r="C1590" i="1"/>
  <c r="B1590" i="1"/>
  <c r="A1590" i="1"/>
  <c r="U1589" i="1"/>
  <c r="I1589" i="1"/>
  <c r="C1589" i="1"/>
  <c r="B1589" i="1"/>
  <c r="A1589" i="1"/>
  <c r="U1588" i="1"/>
  <c r="I1588" i="1"/>
  <c r="C1588" i="1"/>
  <c r="B1588" i="1"/>
  <c r="A1588" i="1"/>
  <c r="U1587" i="1"/>
  <c r="I1587" i="1"/>
  <c r="C1587" i="1"/>
  <c r="B1587" i="1"/>
  <c r="A1587" i="1"/>
  <c r="U1586" i="1"/>
  <c r="I1586" i="1"/>
  <c r="C1586" i="1"/>
  <c r="B1586" i="1"/>
  <c r="A1586" i="1"/>
  <c r="U1585" i="1"/>
  <c r="I1585" i="1"/>
  <c r="C1585" i="1"/>
  <c r="B1585" i="1"/>
  <c r="A1585" i="1"/>
  <c r="U1584" i="1"/>
  <c r="I1584" i="1"/>
  <c r="C1584" i="1"/>
  <c r="B1584" i="1"/>
  <c r="A1584" i="1"/>
  <c r="U1583" i="1"/>
  <c r="I1583" i="1"/>
  <c r="C1583" i="1"/>
  <c r="B1583" i="1"/>
  <c r="A1583" i="1"/>
  <c r="U1582" i="1"/>
  <c r="I1582" i="1"/>
  <c r="C1582" i="1"/>
  <c r="B1582" i="1"/>
  <c r="A1582" i="1"/>
  <c r="U1581" i="1"/>
  <c r="I1581" i="1"/>
  <c r="C1581" i="1"/>
  <c r="B1581" i="1"/>
  <c r="A1581" i="1"/>
  <c r="U1580" i="1"/>
  <c r="I1580" i="1"/>
  <c r="C1580" i="1"/>
  <c r="B1580" i="1"/>
  <c r="A1580" i="1"/>
  <c r="U1579" i="1"/>
  <c r="I1579" i="1"/>
  <c r="C1579" i="1"/>
  <c r="B1579" i="1"/>
  <c r="A1579" i="1"/>
  <c r="U1578" i="1"/>
  <c r="I1578" i="1"/>
  <c r="C1578" i="1"/>
  <c r="B1578" i="1"/>
  <c r="A1578" i="1"/>
  <c r="U1577" i="1"/>
  <c r="I1577" i="1"/>
  <c r="C1577" i="1"/>
  <c r="B1577" i="1"/>
  <c r="A1577" i="1"/>
  <c r="U1576" i="1"/>
  <c r="I1576" i="1"/>
  <c r="C1576" i="1"/>
  <c r="B1576" i="1"/>
  <c r="A1576" i="1"/>
  <c r="U1575" i="1"/>
  <c r="I1575" i="1"/>
  <c r="C1575" i="1"/>
  <c r="B1575" i="1"/>
  <c r="A1575" i="1"/>
  <c r="U1574" i="1"/>
  <c r="I1574" i="1"/>
  <c r="C1574" i="1"/>
  <c r="B1574" i="1"/>
  <c r="A1574" i="1"/>
  <c r="U1573" i="1"/>
  <c r="I1573" i="1"/>
  <c r="C1573" i="1"/>
  <c r="B1573" i="1"/>
  <c r="A1573" i="1"/>
  <c r="U1572" i="1"/>
  <c r="I1572" i="1"/>
  <c r="C1572" i="1"/>
  <c r="B1572" i="1"/>
  <c r="A1572" i="1"/>
  <c r="U1571" i="1"/>
  <c r="I1571" i="1"/>
  <c r="C1571" i="1"/>
  <c r="B1571" i="1"/>
  <c r="A1571" i="1"/>
  <c r="U1570" i="1"/>
  <c r="I1570" i="1"/>
  <c r="C1570" i="1"/>
  <c r="B1570" i="1"/>
  <c r="A1570" i="1"/>
  <c r="U1569" i="1"/>
  <c r="I1569" i="1"/>
  <c r="C1569" i="1"/>
  <c r="B1569" i="1"/>
  <c r="A1569" i="1"/>
  <c r="U1568" i="1"/>
  <c r="I1568" i="1"/>
  <c r="C1568" i="1"/>
  <c r="B1568" i="1"/>
  <c r="A1568" i="1"/>
  <c r="U1567" i="1"/>
  <c r="I1567" i="1"/>
  <c r="C1567" i="1"/>
  <c r="B1567" i="1"/>
  <c r="A1567" i="1"/>
  <c r="U1566" i="1"/>
  <c r="I1566" i="1"/>
  <c r="C1566" i="1"/>
  <c r="B1566" i="1"/>
  <c r="A1566" i="1"/>
  <c r="U1565" i="1"/>
  <c r="I1565" i="1"/>
  <c r="C1565" i="1"/>
  <c r="B1565" i="1"/>
  <c r="A1565" i="1"/>
  <c r="U1564" i="1"/>
  <c r="I1564" i="1"/>
  <c r="C1564" i="1"/>
  <c r="B1564" i="1"/>
  <c r="A1564" i="1"/>
  <c r="U1563" i="1"/>
  <c r="I1563" i="1"/>
  <c r="C1563" i="1"/>
  <c r="B1563" i="1"/>
  <c r="A1563" i="1"/>
  <c r="U1562" i="1"/>
  <c r="I1562" i="1"/>
  <c r="C1562" i="1"/>
  <c r="B1562" i="1"/>
  <c r="A1562" i="1"/>
  <c r="U1561" i="1"/>
  <c r="I1561" i="1"/>
  <c r="C1561" i="1"/>
  <c r="B1561" i="1"/>
  <c r="A1561" i="1"/>
  <c r="U1560" i="1"/>
  <c r="I1560" i="1"/>
  <c r="C1560" i="1"/>
  <c r="B1560" i="1"/>
  <c r="A1560" i="1"/>
  <c r="U1559" i="1"/>
  <c r="I1559" i="1"/>
  <c r="C1559" i="1"/>
  <c r="B1559" i="1"/>
  <c r="A1559" i="1"/>
  <c r="U1558" i="1"/>
  <c r="I1558" i="1"/>
  <c r="C1558" i="1"/>
  <c r="B1558" i="1"/>
  <c r="A1558" i="1"/>
  <c r="U1557" i="1"/>
  <c r="I1557" i="1"/>
  <c r="C1557" i="1"/>
  <c r="B1557" i="1"/>
  <c r="A1557" i="1"/>
  <c r="U1556" i="1"/>
  <c r="I1556" i="1"/>
  <c r="C1556" i="1"/>
  <c r="B1556" i="1"/>
  <c r="A1556" i="1"/>
  <c r="U1555" i="1"/>
  <c r="I1555" i="1"/>
  <c r="C1555" i="1"/>
  <c r="B1555" i="1"/>
  <c r="A1555" i="1"/>
  <c r="U1554" i="1"/>
  <c r="I1554" i="1"/>
  <c r="C1554" i="1"/>
  <c r="B1554" i="1"/>
  <c r="A1554" i="1"/>
  <c r="U1553" i="1"/>
  <c r="I1553" i="1"/>
  <c r="C1553" i="1"/>
  <c r="B1553" i="1"/>
  <c r="A1553" i="1"/>
  <c r="U1552" i="1"/>
  <c r="I1552" i="1"/>
  <c r="C1552" i="1"/>
  <c r="B1552" i="1"/>
  <c r="A1552" i="1"/>
  <c r="U1551" i="1"/>
  <c r="I1551" i="1"/>
  <c r="C1551" i="1"/>
  <c r="B1551" i="1"/>
  <c r="A1551" i="1"/>
  <c r="U1550" i="1"/>
  <c r="I1550" i="1"/>
  <c r="C1550" i="1"/>
  <c r="B1550" i="1"/>
  <c r="A1550" i="1"/>
  <c r="U1549" i="1"/>
  <c r="I1549" i="1"/>
  <c r="C1549" i="1"/>
  <c r="B1549" i="1"/>
  <c r="A1549" i="1"/>
  <c r="U1548" i="1"/>
  <c r="I1548" i="1"/>
  <c r="C1548" i="1"/>
  <c r="B1548" i="1"/>
  <c r="A1548" i="1"/>
  <c r="U1547" i="1"/>
  <c r="I1547" i="1"/>
  <c r="C1547" i="1"/>
  <c r="B1547" i="1"/>
  <c r="A1547" i="1"/>
  <c r="U1546" i="1"/>
  <c r="I1546" i="1"/>
  <c r="C1546" i="1"/>
  <c r="B1546" i="1"/>
  <c r="A1546" i="1"/>
  <c r="U1545" i="1"/>
  <c r="I1545" i="1"/>
  <c r="C1545" i="1"/>
  <c r="B1545" i="1"/>
  <c r="A1545" i="1"/>
  <c r="U1544" i="1"/>
  <c r="I1544" i="1"/>
  <c r="C1544" i="1"/>
  <c r="B1544" i="1"/>
  <c r="A1544" i="1"/>
  <c r="U1543" i="1"/>
  <c r="I1543" i="1"/>
  <c r="C1543" i="1"/>
  <c r="B1543" i="1"/>
  <c r="A1543" i="1"/>
  <c r="U1542" i="1"/>
  <c r="I1542" i="1"/>
  <c r="C1542" i="1"/>
  <c r="B1542" i="1"/>
  <c r="A1542" i="1"/>
  <c r="U1541" i="1"/>
  <c r="I1541" i="1"/>
  <c r="C1541" i="1"/>
  <c r="B1541" i="1"/>
  <c r="A1541" i="1"/>
  <c r="U1540" i="1"/>
  <c r="I1540" i="1"/>
  <c r="C1540" i="1"/>
  <c r="B1540" i="1"/>
  <c r="A1540" i="1"/>
  <c r="U1539" i="1"/>
  <c r="I1539" i="1"/>
  <c r="C1539" i="1"/>
  <c r="B1539" i="1"/>
  <c r="A1539" i="1"/>
  <c r="U1538" i="1"/>
  <c r="I1538" i="1"/>
  <c r="C1538" i="1"/>
  <c r="B1538" i="1"/>
  <c r="A1538" i="1"/>
  <c r="U1537" i="1"/>
  <c r="I1537" i="1"/>
  <c r="C1537" i="1"/>
  <c r="B1537" i="1"/>
  <c r="A1537" i="1"/>
  <c r="U1536" i="1"/>
  <c r="I1536" i="1"/>
  <c r="C1536" i="1"/>
  <c r="B1536" i="1"/>
  <c r="A1536" i="1"/>
  <c r="U1535" i="1"/>
  <c r="I1535" i="1"/>
  <c r="C1535" i="1"/>
  <c r="B1535" i="1"/>
  <c r="A1535" i="1"/>
  <c r="U1534" i="1"/>
  <c r="I1534" i="1"/>
  <c r="C1534" i="1"/>
  <c r="B1534" i="1"/>
  <c r="A1534" i="1"/>
  <c r="U1533" i="1"/>
  <c r="I1533" i="1"/>
  <c r="C1533" i="1"/>
  <c r="B1533" i="1"/>
  <c r="A1533" i="1"/>
  <c r="U1532" i="1"/>
  <c r="I1532" i="1"/>
  <c r="C1532" i="1"/>
  <c r="B1532" i="1"/>
  <c r="A1532" i="1"/>
  <c r="U1531" i="1"/>
  <c r="I1531" i="1"/>
  <c r="C1531" i="1"/>
  <c r="B1531" i="1"/>
  <c r="A1531" i="1"/>
  <c r="U1530" i="1"/>
  <c r="I1530" i="1"/>
  <c r="C1530" i="1"/>
  <c r="B1530" i="1"/>
  <c r="A1530" i="1"/>
  <c r="U1529" i="1"/>
  <c r="I1529" i="1"/>
  <c r="C1529" i="1"/>
  <c r="B1529" i="1"/>
  <c r="A1529" i="1"/>
  <c r="U1528" i="1"/>
  <c r="I1528" i="1"/>
  <c r="C1528" i="1"/>
  <c r="B1528" i="1"/>
  <c r="A1528" i="1"/>
  <c r="U1527" i="1"/>
  <c r="I1527" i="1"/>
  <c r="C1527" i="1"/>
  <c r="B1527" i="1"/>
  <c r="A1527" i="1"/>
  <c r="U1526" i="1"/>
  <c r="I1526" i="1"/>
  <c r="C1526" i="1"/>
  <c r="B1526" i="1"/>
  <c r="A1526" i="1"/>
  <c r="U1525" i="1"/>
  <c r="I1525" i="1"/>
  <c r="C1525" i="1"/>
  <c r="B1525" i="1"/>
  <c r="A1525" i="1"/>
  <c r="U1524" i="1"/>
  <c r="I1524" i="1"/>
  <c r="C1524" i="1"/>
  <c r="B1524" i="1"/>
  <c r="A1524" i="1"/>
  <c r="U1523" i="1"/>
  <c r="I1523" i="1"/>
  <c r="C1523" i="1"/>
  <c r="B1523" i="1"/>
  <c r="A1523" i="1"/>
  <c r="U1522" i="1"/>
  <c r="I1522" i="1"/>
  <c r="C1522" i="1"/>
  <c r="B1522" i="1"/>
  <c r="A1522" i="1"/>
  <c r="U1521" i="1"/>
  <c r="I1521" i="1"/>
  <c r="C1521" i="1"/>
  <c r="B1521" i="1"/>
  <c r="A1521" i="1"/>
  <c r="U1520" i="1"/>
  <c r="I1520" i="1"/>
  <c r="C1520" i="1"/>
  <c r="B1520" i="1"/>
  <c r="A1520" i="1"/>
  <c r="U1519" i="1"/>
  <c r="I1519" i="1"/>
  <c r="C1519" i="1"/>
  <c r="B1519" i="1"/>
  <c r="A1519" i="1"/>
  <c r="U1518" i="1"/>
  <c r="I1518" i="1"/>
  <c r="C1518" i="1"/>
  <c r="B1518" i="1"/>
  <c r="A1518" i="1"/>
  <c r="U1517" i="1"/>
  <c r="I1517" i="1"/>
  <c r="C1517" i="1"/>
  <c r="B1517" i="1"/>
  <c r="A1517" i="1"/>
  <c r="U1516" i="1"/>
  <c r="I1516" i="1"/>
  <c r="C1516" i="1"/>
  <c r="B1516" i="1"/>
  <c r="A1516" i="1"/>
  <c r="U1515" i="1"/>
  <c r="I1515" i="1"/>
  <c r="C1515" i="1"/>
  <c r="B1515" i="1"/>
  <c r="A1515" i="1"/>
  <c r="U1514" i="1"/>
  <c r="I1514" i="1"/>
  <c r="C1514" i="1"/>
  <c r="B1514" i="1"/>
  <c r="A1514" i="1"/>
  <c r="U1513" i="1"/>
  <c r="I1513" i="1"/>
  <c r="C1513" i="1"/>
  <c r="B1513" i="1"/>
  <c r="A1513" i="1"/>
  <c r="U1512" i="1"/>
  <c r="I1512" i="1"/>
  <c r="C1512" i="1"/>
  <c r="B1512" i="1"/>
  <c r="A1512" i="1"/>
  <c r="U1511" i="1"/>
  <c r="I1511" i="1"/>
  <c r="C1511" i="1"/>
  <c r="B1511" i="1"/>
  <c r="A1511" i="1"/>
  <c r="U1510" i="1"/>
  <c r="I1510" i="1"/>
  <c r="C1510" i="1"/>
  <c r="B1510" i="1"/>
  <c r="A1510" i="1"/>
  <c r="U1509" i="1"/>
  <c r="I1509" i="1"/>
  <c r="C1509" i="1"/>
  <c r="B1509" i="1"/>
  <c r="A1509" i="1"/>
  <c r="U1508" i="1"/>
  <c r="I1508" i="1"/>
  <c r="C1508" i="1"/>
  <c r="B1508" i="1"/>
  <c r="A1508" i="1"/>
  <c r="U1507" i="1"/>
  <c r="I1507" i="1"/>
  <c r="C1507" i="1"/>
  <c r="B1507" i="1"/>
  <c r="A1507" i="1"/>
  <c r="U1506" i="1"/>
  <c r="I1506" i="1"/>
  <c r="C1506" i="1"/>
  <c r="B1506" i="1"/>
  <c r="A1506" i="1"/>
  <c r="U1505" i="1"/>
  <c r="I1505" i="1"/>
  <c r="C1505" i="1"/>
  <c r="B1505" i="1"/>
  <c r="A1505" i="1"/>
  <c r="U1504" i="1"/>
  <c r="I1504" i="1"/>
  <c r="C1504" i="1"/>
  <c r="B1504" i="1"/>
  <c r="A1504" i="1"/>
  <c r="U1503" i="1"/>
  <c r="I1503" i="1"/>
  <c r="C1503" i="1"/>
  <c r="B1503" i="1"/>
  <c r="A1503" i="1"/>
  <c r="U1502" i="1"/>
  <c r="I1502" i="1"/>
  <c r="C1502" i="1"/>
  <c r="B1502" i="1"/>
  <c r="A1502" i="1"/>
  <c r="U1501" i="1"/>
  <c r="I1501" i="1"/>
  <c r="C1501" i="1"/>
  <c r="B1501" i="1"/>
  <c r="A1501" i="1"/>
  <c r="U1500" i="1"/>
  <c r="I1500" i="1"/>
  <c r="C1500" i="1"/>
  <c r="B1500" i="1"/>
  <c r="A1500" i="1"/>
  <c r="U1499" i="1"/>
  <c r="I1499" i="1"/>
  <c r="C1499" i="1"/>
  <c r="B1499" i="1"/>
  <c r="A1499" i="1"/>
  <c r="U1498" i="1"/>
  <c r="I1498" i="1"/>
  <c r="C1498" i="1"/>
  <c r="B1498" i="1"/>
  <c r="A1498" i="1"/>
  <c r="U1497" i="1"/>
  <c r="I1497" i="1"/>
  <c r="C1497" i="1"/>
  <c r="B1497" i="1"/>
  <c r="A1497" i="1"/>
  <c r="U1496" i="1"/>
  <c r="I1496" i="1"/>
  <c r="C1496" i="1"/>
  <c r="B1496" i="1"/>
  <c r="A1496" i="1"/>
  <c r="U1495" i="1"/>
  <c r="I1495" i="1"/>
  <c r="C1495" i="1"/>
  <c r="B1495" i="1"/>
  <c r="A1495" i="1"/>
  <c r="U1494" i="1"/>
  <c r="I1494" i="1"/>
  <c r="C1494" i="1"/>
  <c r="B1494" i="1"/>
  <c r="A1494" i="1"/>
  <c r="U1493" i="1"/>
  <c r="I1493" i="1"/>
  <c r="C1493" i="1"/>
  <c r="B1493" i="1"/>
  <c r="A1493" i="1"/>
  <c r="U1492" i="1"/>
  <c r="I1492" i="1"/>
  <c r="C1492" i="1"/>
  <c r="B1492" i="1"/>
  <c r="A1492" i="1"/>
  <c r="U1491" i="1"/>
  <c r="I1491" i="1"/>
  <c r="C1491" i="1"/>
  <c r="B1491" i="1"/>
  <c r="A1491" i="1"/>
  <c r="U1490" i="1"/>
  <c r="I1490" i="1"/>
  <c r="C1490" i="1"/>
  <c r="B1490" i="1"/>
  <c r="A1490" i="1"/>
  <c r="U1489" i="1"/>
  <c r="I1489" i="1"/>
  <c r="C1489" i="1"/>
  <c r="B1489" i="1"/>
  <c r="A1489" i="1"/>
  <c r="U1488" i="1"/>
  <c r="I1488" i="1"/>
  <c r="C1488" i="1"/>
  <c r="B1488" i="1"/>
  <c r="A1488" i="1"/>
  <c r="U1487" i="1"/>
  <c r="I1487" i="1"/>
  <c r="C1487" i="1"/>
  <c r="B1487" i="1"/>
  <c r="A1487" i="1"/>
  <c r="U1486" i="1"/>
  <c r="I1486" i="1"/>
  <c r="C1486" i="1"/>
  <c r="B1486" i="1"/>
  <c r="A1486" i="1"/>
  <c r="U1485" i="1"/>
  <c r="I1485" i="1"/>
  <c r="C1485" i="1"/>
  <c r="B1485" i="1"/>
  <c r="A1485" i="1"/>
  <c r="U1484" i="1"/>
  <c r="I1484" i="1"/>
  <c r="C1484" i="1"/>
  <c r="B1484" i="1"/>
  <c r="A1484" i="1"/>
  <c r="U1483" i="1"/>
  <c r="I1483" i="1"/>
  <c r="C1483" i="1"/>
  <c r="B1483" i="1"/>
  <c r="A1483" i="1"/>
  <c r="U1482" i="1"/>
  <c r="I1482" i="1"/>
  <c r="C1482" i="1"/>
  <c r="B1482" i="1"/>
  <c r="A1482" i="1"/>
  <c r="U1481" i="1"/>
  <c r="I1481" i="1"/>
  <c r="C1481" i="1"/>
  <c r="B1481" i="1"/>
  <c r="A1481" i="1"/>
  <c r="U1480" i="1"/>
  <c r="I1480" i="1"/>
  <c r="C1480" i="1"/>
  <c r="B1480" i="1"/>
  <c r="A1480" i="1"/>
  <c r="U1479" i="1"/>
  <c r="I1479" i="1"/>
  <c r="C1479" i="1"/>
  <c r="B1479" i="1"/>
  <c r="A1479" i="1"/>
  <c r="U1478" i="1"/>
  <c r="I1478" i="1"/>
  <c r="C1478" i="1"/>
  <c r="B1478" i="1"/>
  <c r="A1478" i="1"/>
  <c r="U1477" i="1"/>
  <c r="I1477" i="1"/>
  <c r="C1477" i="1"/>
  <c r="B1477" i="1"/>
  <c r="A1477" i="1"/>
  <c r="U1476" i="1"/>
  <c r="I1476" i="1"/>
  <c r="C1476" i="1"/>
  <c r="B1476" i="1"/>
  <c r="A1476" i="1"/>
  <c r="U1475" i="1"/>
  <c r="I1475" i="1"/>
  <c r="C1475" i="1"/>
  <c r="B1475" i="1"/>
  <c r="A1475" i="1"/>
  <c r="U1474" i="1"/>
  <c r="I1474" i="1"/>
  <c r="C1474" i="1"/>
  <c r="B1474" i="1"/>
  <c r="A1474" i="1"/>
  <c r="U1473" i="1"/>
  <c r="I1473" i="1"/>
  <c r="C1473" i="1"/>
  <c r="B1473" i="1"/>
  <c r="A1473" i="1"/>
  <c r="U1472" i="1"/>
  <c r="I1472" i="1"/>
  <c r="C1472" i="1"/>
  <c r="B1472" i="1"/>
  <c r="A1472" i="1"/>
  <c r="U1471" i="1"/>
  <c r="I1471" i="1"/>
  <c r="C1471" i="1"/>
  <c r="B1471" i="1"/>
  <c r="A1471" i="1"/>
  <c r="U1470" i="1"/>
  <c r="I1470" i="1"/>
  <c r="C1470" i="1"/>
  <c r="B1470" i="1"/>
  <c r="A1470" i="1"/>
  <c r="U1469" i="1"/>
  <c r="I1469" i="1"/>
  <c r="C1469" i="1"/>
  <c r="B1469" i="1"/>
  <c r="A1469" i="1"/>
  <c r="U1468" i="1"/>
  <c r="I1468" i="1"/>
  <c r="C1468" i="1"/>
  <c r="B1468" i="1"/>
  <c r="A1468" i="1"/>
  <c r="U1467" i="1"/>
  <c r="I1467" i="1"/>
  <c r="C1467" i="1"/>
  <c r="B1467" i="1"/>
  <c r="A1467" i="1"/>
  <c r="U1466" i="1"/>
  <c r="I1466" i="1"/>
  <c r="C1466" i="1"/>
  <c r="B1466" i="1"/>
  <c r="A1466" i="1"/>
  <c r="U1465" i="1"/>
  <c r="I1465" i="1"/>
  <c r="C1465" i="1"/>
  <c r="B1465" i="1"/>
  <c r="A1465" i="1"/>
  <c r="U1464" i="1"/>
  <c r="I1464" i="1"/>
  <c r="C1464" i="1"/>
  <c r="B1464" i="1"/>
  <c r="A1464" i="1"/>
  <c r="U1463" i="1"/>
  <c r="I1463" i="1"/>
  <c r="C1463" i="1"/>
  <c r="B1463" i="1"/>
  <c r="A1463" i="1"/>
  <c r="U1462" i="1"/>
  <c r="I1462" i="1"/>
  <c r="C1462" i="1"/>
  <c r="B1462" i="1"/>
  <c r="A1462" i="1"/>
  <c r="U1461" i="1"/>
  <c r="I1461" i="1"/>
  <c r="C1461" i="1"/>
  <c r="B1461" i="1"/>
  <c r="A1461" i="1"/>
  <c r="U1460" i="1"/>
  <c r="I1460" i="1"/>
  <c r="C1460" i="1"/>
  <c r="B1460" i="1"/>
  <c r="A1460" i="1"/>
  <c r="U1459" i="1"/>
  <c r="I1459" i="1"/>
  <c r="C1459" i="1"/>
  <c r="B1459" i="1"/>
  <c r="A1459" i="1"/>
  <c r="U1458" i="1"/>
  <c r="I1458" i="1"/>
  <c r="C1458" i="1"/>
  <c r="B1458" i="1"/>
  <c r="A1458" i="1"/>
  <c r="U1457" i="1"/>
  <c r="I1457" i="1"/>
  <c r="C1457" i="1"/>
  <c r="B1457" i="1"/>
  <c r="A1457" i="1"/>
  <c r="U1456" i="1"/>
  <c r="I1456" i="1"/>
  <c r="C1456" i="1"/>
  <c r="B1456" i="1"/>
  <c r="A1456" i="1"/>
  <c r="U1455" i="1"/>
  <c r="I1455" i="1"/>
  <c r="C1455" i="1"/>
  <c r="B1455" i="1"/>
  <c r="A1455" i="1"/>
  <c r="U1454" i="1"/>
  <c r="I1454" i="1"/>
  <c r="C1454" i="1"/>
  <c r="B1454" i="1"/>
  <c r="A1454" i="1"/>
  <c r="U1453" i="1"/>
  <c r="I1453" i="1"/>
  <c r="C1453" i="1"/>
  <c r="B1453" i="1"/>
  <c r="A1453" i="1"/>
  <c r="U1452" i="1"/>
  <c r="I1452" i="1"/>
  <c r="C1452" i="1"/>
  <c r="A1452" i="1" s="1"/>
  <c r="B1452" i="1"/>
  <c r="U1451" i="1"/>
  <c r="I1451" i="1"/>
  <c r="C1451" i="1"/>
  <c r="B1451" i="1"/>
  <c r="A1451" i="1"/>
  <c r="U1450" i="1"/>
  <c r="I1450" i="1"/>
  <c r="C1450" i="1"/>
  <c r="B1450" i="1"/>
  <c r="A1450" i="1"/>
  <c r="U1449" i="1"/>
  <c r="I1449" i="1"/>
  <c r="C1449" i="1"/>
  <c r="B1449" i="1"/>
  <c r="A1449" i="1"/>
  <c r="U1448" i="1"/>
  <c r="I1448" i="1"/>
  <c r="C1448" i="1"/>
  <c r="B1448" i="1"/>
  <c r="A1448" i="1"/>
  <c r="U1447" i="1"/>
  <c r="I1447" i="1"/>
  <c r="C1447" i="1"/>
  <c r="B1447" i="1"/>
  <c r="A1447" i="1"/>
  <c r="U1446" i="1"/>
  <c r="I1446" i="1"/>
  <c r="C1446" i="1"/>
  <c r="B1446" i="1"/>
  <c r="A1446" i="1"/>
  <c r="U1445" i="1"/>
  <c r="I1445" i="1"/>
  <c r="C1445" i="1"/>
  <c r="B1445" i="1"/>
  <c r="A1445" i="1"/>
  <c r="U1444" i="1"/>
  <c r="I1444" i="1"/>
  <c r="C1444" i="1"/>
  <c r="B1444" i="1"/>
  <c r="A1444" i="1"/>
  <c r="U1443" i="1"/>
  <c r="I1443" i="1"/>
  <c r="C1443" i="1"/>
  <c r="B1443" i="1"/>
  <c r="A1443" i="1"/>
  <c r="U1442" i="1"/>
  <c r="I1442" i="1"/>
  <c r="C1442" i="1"/>
  <c r="B1442" i="1"/>
  <c r="A1442" i="1"/>
  <c r="U1441" i="1"/>
  <c r="I1441" i="1"/>
  <c r="C1441" i="1"/>
  <c r="B1441" i="1"/>
  <c r="A1441" i="1"/>
  <c r="U1440" i="1"/>
  <c r="I1440" i="1"/>
  <c r="C1440" i="1"/>
  <c r="B1440" i="1"/>
  <c r="A1440" i="1"/>
  <c r="U1439" i="1"/>
  <c r="I1439" i="1"/>
  <c r="C1439" i="1"/>
  <c r="B1439" i="1"/>
  <c r="A1439" i="1"/>
  <c r="U1438" i="1"/>
  <c r="I1438" i="1"/>
  <c r="C1438" i="1"/>
  <c r="B1438" i="1"/>
  <c r="A1438" i="1"/>
  <c r="U1437" i="1"/>
  <c r="I1437" i="1"/>
  <c r="C1437" i="1"/>
  <c r="B1437" i="1"/>
  <c r="A1437" i="1"/>
  <c r="U1436" i="1"/>
  <c r="I1436" i="1"/>
  <c r="C1436" i="1"/>
  <c r="B1436" i="1"/>
  <c r="A1436" i="1"/>
  <c r="U1435" i="1"/>
  <c r="I1435" i="1"/>
  <c r="C1435" i="1"/>
  <c r="B1435" i="1"/>
  <c r="A1435" i="1"/>
  <c r="U1434" i="1"/>
  <c r="I1434" i="1"/>
  <c r="C1434" i="1"/>
  <c r="B1434" i="1"/>
  <c r="A1434" i="1"/>
  <c r="U1433" i="1"/>
  <c r="I1433" i="1"/>
  <c r="C1433" i="1"/>
  <c r="B1433" i="1"/>
  <c r="A1433" i="1"/>
  <c r="U1432" i="1"/>
  <c r="I1432" i="1"/>
  <c r="C1432" i="1"/>
  <c r="B1432" i="1"/>
  <c r="A1432" i="1"/>
  <c r="U1431" i="1"/>
  <c r="I1431" i="1"/>
  <c r="C1431" i="1"/>
  <c r="B1431" i="1"/>
  <c r="A1431" i="1"/>
  <c r="U1430" i="1"/>
  <c r="I1430" i="1"/>
  <c r="C1430" i="1"/>
  <c r="B1430" i="1"/>
  <c r="A1430" i="1"/>
  <c r="U1429" i="1"/>
  <c r="I1429" i="1"/>
  <c r="C1429" i="1"/>
  <c r="B1429" i="1"/>
  <c r="A1429" i="1"/>
  <c r="U1428" i="1"/>
  <c r="I1428" i="1"/>
  <c r="C1428" i="1"/>
  <c r="B1428" i="1"/>
  <c r="A1428" i="1"/>
  <c r="U1427" i="1"/>
  <c r="I1427" i="1"/>
  <c r="C1427" i="1"/>
  <c r="B1427" i="1"/>
  <c r="A1427" i="1"/>
  <c r="U1426" i="1"/>
  <c r="I1426" i="1"/>
  <c r="C1426" i="1"/>
  <c r="B1426" i="1"/>
  <c r="A1426" i="1"/>
  <c r="U1425" i="1"/>
  <c r="I1425" i="1"/>
  <c r="C1425" i="1"/>
  <c r="B1425" i="1"/>
  <c r="A1425" i="1"/>
  <c r="U1424" i="1"/>
  <c r="I1424" i="1"/>
  <c r="C1424" i="1"/>
  <c r="B1424" i="1"/>
  <c r="A1424" i="1"/>
  <c r="U1423" i="1"/>
  <c r="I1423" i="1"/>
  <c r="C1423" i="1"/>
  <c r="B1423" i="1"/>
  <c r="A1423" i="1"/>
  <c r="U1422" i="1"/>
  <c r="I1422" i="1"/>
  <c r="C1422" i="1"/>
  <c r="B1422" i="1"/>
  <c r="A1422" i="1"/>
  <c r="U1421" i="1"/>
  <c r="I1421" i="1"/>
  <c r="C1421" i="1"/>
  <c r="B1421" i="1"/>
  <c r="A1421" i="1"/>
  <c r="U1420" i="1"/>
  <c r="I1420" i="1"/>
  <c r="C1420" i="1"/>
  <c r="B1420" i="1"/>
  <c r="A1420" i="1"/>
  <c r="U1419" i="1"/>
  <c r="I1419" i="1"/>
  <c r="C1419" i="1"/>
  <c r="B1419" i="1"/>
  <c r="A1419" i="1"/>
  <c r="U1418" i="1"/>
  <c r="I1418" i="1"/>
  <c r="C1418" i="1"/>
  <c r="B1418" i="1"/>
  <c r="A1418" i="1"/>
  <c r="U1417" i="1"/>
  <c r="I1417" i="1"/>
  <c r="C1417" i="1"/>
  <c r="B1417" i="1"/>
  <c r="A1417" i="1"/>
  <c r="U1416" i="1"/>
  <c r="I1416" i="1"/>
  <c r="C1416" i="1"/>
  <c r="B1416" i="1"/>
  <c r="A1416" i="1"/>
  <c r="U1415" i="1"/>
  <c r="I1415" i="1"/>
  <c r="C1415" i="1"/>
  <c r="B1415" i="1"/>
  <c r="A1415" i="1"/>
  <c r="U1414" i="1"/>
  <c r="I1414" i="1"/>
  <c r="C1414" i="1"/>
  <c r="B1414" i="1"/>
  <c r="A1414" i="1"/>
  <c r="U1413" i="1"/>
  <c r="I1413" i="1"/>
  <c r="C1413" i="1"/>
  <c r="B1413" i="1"/>
  <c r="A1413" i="1"/>
  <c r="U1412" i="1"/>
  <c r="I1412" i="1"/>
  <c r="C1412" i="1"/>
  <c r="B1412" i="1"/>
  <c r="A1412" i="1"/>
  <c r="U1411" i="1"/>
  <c r="I1411" i="1"/>
  <c r="C1411" i="1"/>
  <c r="B1411" i="1"/>
  <c r="A1411" i="1"/>
  <c r="U1410" i="1"/>
  <c r="I1410" i="1"/>
  <c r="C1410" i="1"/>
  <c r="B1410" i="1"/>
  <c r="A1410" i="1"/>
  <c r="U1409" i="1"/>
  <c r="I1409" i="1"/>
  <c r="C1409" i="1"/>
  <c r="B1409" i="1"/>
  <c r="A1409" i="1"/>
  <c r="U1408" i="1"/>
  <c r="I1408" i="1"/>
  <c r="C1408" i="1"/>
  <c r="B1408" i="1"/>
  <c r="A1408" i="1"/>
  <c r="U1407" i="1"/>
  <c r="I1407" i="1"/>
  <c r="C1407" i="1"/>
  <c r="B1407" i="1"/>
  <c r="A1407" i="1"/>
  <c r="U1406" i="1"/>
  <c r="I1406" i="1"/>
  <c r="C1406" i="1"/>
  <c r="B1406" i="1"/>
  <c r="A1406" i="1"/>
  <c r="U1405" i="1"/>
  <c r="I1405" i="1"/>
  <c r="C1405" i="1"/>
  <c r="B1405" i="1"/>
  <c r="A1405" i="1"/>
  <c r="U1404" i="1"/>
  <c r="I1404" i="1"/>
  <c r="C1404" i="1"/>
  <c r="B1404" i="1"/>
  <c r="A1404" i="1"/>
  <c r="U1403" i="1"/>
  <c r="I1403" i="1"/>
  <c r="C1403" i="1"/>
  <c r="B1403" i="1"/>
  <c r="A1403" i="1"/>
  <c r="U1402" i="1"/>
  <c r="I1402" i="1"/>
  <c r="C1402" i="1"/>
  <c r="B1402" i="1"/>
  <c r="A1402" i="1"/>
  <c r="U1401" i="1"/>
  <c r="I1401" i="1"/>
  <c r="C1401" i="1"/>
  <c r="B1401" i="1"/>
  <c r="A1401" i="1"/>
  <c r="U1400" i="1"/>
  <c r="I1400" i="1"/>
  <c r="C1400" i="1"/>
  <c r="B1400" i="1"/>
  <c r="A1400" i="1"/>
  <c r="U1399" i="1"/>
  <c r="I1399" i="1"/>
  <c r="C1399" i="1"/>
  <c r="B1399" i="1"/>
  <c r="A1399" i="1"/>
  <c r="U1398" i="1"/>
  <c r="I1398" i="1"/>
  <c r="C1398" i="1"/>
  <c r="B1398" i="1"/>
  <c r="A1398" i="1"/>
  <c r="U1397" i="1"/>
  <c r="I1397" i="1"/>
  <c r="C1397" i="1"/>
  <c r="B1397" i="1"/>
  <c r="A1397" i="1"/>
  <c r="U1396" i="1"/>
  <c r="I1396" i="1"/>
  <c r="C1396" i="1"/>
  <c r="B1396" i="1"/>
  <c r="A1396" i="1"/>
  <c r="U1395" i="1"/>
  <c r="I1395" i="1"/>
  <c r="C1395" i="1"/>
  <c r="B1395" i="1"/>
  <c r="A1395" i="1"/>
  <c r="U1394" i="1"/>
  <c r="I1394" i="1"/>
  <c r="C1394" i="1"/>
  <c r="B1394" i="1"/>
  <c r="A1394" i="1"/>
  <c r="U1393" i="1"/>
  <c r="I1393" i="1"/>
  <c r="C1393" i="1"/>
  <c r="B1393" i="1"/>
  <c r="A1393" i="1"/>
  <c r="U1392" i="1"/>
  <c r="I1392" i="1"/>
  <c r="C1392" i="1"/>
  <c r="B1392" i="1"/>
  <c r="A1392" i="1"/>
  <c r="U1391" i="1"/>
  <c r="I1391" i="1"/>
  <c r="C1391" i="1"/>
  <c r="B1391" i="1"/>
  <c r="A1391" i="1"/>
  <c r="U1390" i="1"/>
  <c r="I1390" i="1"/>
  <c r="C1390" i="1"/>
  <c r="B1390" i="1"/>
  <c r="A1390" i="1"/>
  <c r="U1389" i="1"/>
  <c r="I1389" i="1"/>
  <c r="C1389" i="1"/>
  <c r="B1389" i="1"/>
  <c r="A1389" i="1"/>
  <c r="U1388" i="1"/>
  <c r="I1388" i="1"/>
  <c r="C1388" i="1"/>
  <c r="B1388" i="1"/>
  <c r="A1388" i="1"/>
  <c r="U1387" i="1"/>
  <c r="I1387" i="1"/>
  <c r="C1387" i="1"/>
  <c r="B1387" i="1"/>
  <c r="A1387" i="1"/>
  <c r="U1386" i="1"/>
  <c r="I1386" i="1"/>
  <c r="C1386" i="1"/>
  <c r="B1386" i="1"/>
  <c r="A1386" i="1"/>
  <c r="U1385" i="1"/>
  <c r="I1385" i="1"/>
  <c r="C1385" i="1"/>
  <c r="B1385" i="1"/>
  <c r="A1385" i="1"/>
  <c r="U1384" i="1"/>
  <c r="I1384" i="1"/>
  <c r="C1384" i="1"/>
  <c r="B1384" i="1"/>
  <c r="A1384" i="1"/>
  <c r="U1383" i="1"/>
  <c r="I1383" i="1"/>
  <c r="C1383" i="1"/>
  <c r="B1383" i="1"/>
  <c r="A1383" i="1"/>
  <c r="U1382" i="1"/>
  <c r="I1382" i="1"/>
  <c r="C1382" i="1"/>
  <c r="B1382" i="1"/>
  <c r="A1382" i="1"/>
  <c r="U1381" i="1"/>
  <c r="I1381" i="1"/>
  <c r="C1381" i="1"/>
  <c r="B1381" i="1"/>
  <c r="A1381" i="1"/>
  <c r="U1380" i="1"/>
  <c r="I1380" i="1"/>
  <c r="C1380" i="1"/>
  <c r="B1380" i="1"/>
  <c r="A1380" i="1"/>
  <c r="U1379" i="1"/>
  <c r="I1379" i="1"/>
  <c r="C1379" i="1"/>
  <c r="B1379" i="1"/>
  <c r="A1379" i="1"/>
  <c r="U1378" i="1"/>
  <c r="I1378" i="1"/>
  <c r="C1378" i="1"/>
  <c r="B1378" i="1"/>
  <c r="A1378" i="1"/>
  <c r="U1377" i="1"/>
  <c r="I1377" i="1"/>
  <c r="C1377" i="1"/>
  <c r="B1377" i="1"/>
  <c r="A1377" i="1"/>
  <c r="U1376" i="1"/>
  <c r="I1376" i="1"/>
  <c r="C1376" i="1"/>
  <c r="B1376" i="1"/>
  <c r="A1376" i="1"/>
  <c r="U1375" i="1"/>
  <c r="I1375" i="1"/>
  <c r="C1375" i="1"/>
  <c r="B1375" i="1"/>
  <c r="A1375" i="1"/>
  <c r="U1374" i="1"/>
  <c r="I1374" i="1"/>
  <c r="C1374" i="1"/>
  <c r="B1374" i="1"/>
  <c r="A1374" i="1"/>
  <c r="U1373" i="1"/>
  <c r="I1373" i="1"/>
  <c r="C1373" i="1"/>
  <c r="B1373" i="1"/>
  <c r="A1373" i="1"/>
  <c r="U1372" i="1"/>
  <c r="I1372" i="1"/>
  <c r="C1372" i="1"/>
  <c r="B1372" i="1"/>
  <c r="A1372" i="1"/>
  <c r="U1371" i="1"/>
  <c r="I1371" i="1"/>
  <c r="C1371" i="1"/>
  <c r="B1371" i="1"/>
  <c r="A1371" i="1"/>
  <c r="U1370" i="1"/>
  <c r="I1370" i="1"/>
  <c r="C1370" i="1"/>
  <c r="B1370" i="1"/>
  <c r="A1370" i="1"/>
  <c r="U1369" i="1"/>
  <c r="I1369" i="1"/>
  <c r="C1369" i="1"/>
  <c r="B1369" i="1"/>
  <c r="A1369" i="1"/>
  <c r="U1368" i="1"/>
  <c r="I1368" i="1"/>
  <c r="C1368" i="1"/>
  <c r="B1368" i="1"/>
  <c r="A1368" i="1"/>
  <c r="U1367" i="1"/>
  <c r="I1367" i="1"/>
  <c r="C1367" i="1"/>
  <c r="B1367" i="1"/>
  <c r="A1367" i="1"/>
  <c r="U1366" i="1"/>
  <c r="I1366" i="1"/>
  <c r="C1366" i="1"/>
  <c r="B1366" i="1"/>
  <c r="A1366" i="1"/>
  <c r="U1365" i="1"/>
  <c r="I1365" i="1"/>
  <c r="C1365" i="1"/>
  <c r="B1365" i="1"/>
  <c r="A1365" i="1"/>
  <c r="U1364" i="1"/>
  <c r="I1364" i="1"/>
  <c r="C1364" i="1"/>
  <c r="B1364" i="1"/>
  <c r="A1364" i="1"/>
  <c r="U1363" i="1"/>
  <c r="I1363" i="1"/>
  <c r="C1363" i="1"/>
  <c r="B1363" i="1"/>
  <c r="A1363" i="1"/>
  <c r="U1362" i="1"/>
  <c r="I1362" i="1"/>
  <c r="C1362" i="1"/>
  <c r="B1362" i="1"/>
  <c r="A1362" i="1"/>
  <c r="U1361" i="1"/>
  <c r="I1361" i="1"/>
  <c r="C1361" i="1"/>
  <c r="B1361" i="1"/>
  <c r="A1361" i="1"/>
  <c r="U1360" i="1"/>
  <c r="I1360" i="1"/>
  <c r="C1360" i="1"/>
  <c r="B1360" i="1"/>
  <c r="A1360" i="1"/>
  <c r="U1359" i="1"/>
  <c r="I1359" i="1"/>
  <c r="C1359" i="1"/>
  <c r="B1359" i="1"/>
  <c r="A1359" i="1"/>
  <c r="U1358" i="1"/>
  <c r="I1358" i="1"/>
  <c r="C1358" i="1"/>
  <c r="B1358" i="1"/>
  <c r="A1358" i="1"/>
  <c r="U1357" i="1"/>
  <c r="I1357" i="1"/>
  <c r="C1357" i="1"/>
  <c r="B1357" i="1"/>
  <c r="A1357" i="1"/>
  <c r="U1356" i="1"/>
  <c r="I1356" i="1"/>
  <c r="C1356" i="1"/>
  <c r="B1356" i="1"/>
  <c r="A1356" i="1"/>
  <c r="U1355" i="1"/>
  <c r="I1355" i="1"/>
  <c r="C1355" i="1"/>
  <c r="B1355" i="1"/>
  <c r="A1355" i="1"/>
  <c r="U1354" i="1"/>
  <c r="I1354" i="1"/>
  <c r="C1354" i="1"/>
  <c r="B1354" i="1"/>
  <c r="A1354" i="1"/>
  <c r="U1353" i="1"/>
  <c r="I1353" i="1"/>
  <c r="C1353" i="1"/>
  <c r="B1353" i="1"/>
  <c r="A1353" i="1"/>
  <c r="U1352" i="1"/>
  <c r="I1352" i="1"/>
  <c r="C1352" i="1"/>
  <c r="B1352" i="1"/>
  <c r="A1352" i="1"/>
  <c r="U1351" i="1"/>
  <c r="I1351" i="1"/>
  <c r="C1351" i="1"/>
  <c r="B1351" i="1"/>
  <c r="A1351" i="1"/>
  <c r="U1350" i="1"/>
  <c r="I1350" i="1"/>
  <c r="C1350" i="1"/>
  <c r="B1350" i="1"/>
  <c r="A1350" i="1"/>
  <c r="U1349" i="1"/>
  <c r="I1349" i="1"/>
  <c r="C1349" i="1"/>
  <c r="B1349" i="1"/>
  <c r="A1349" i="1"/>
  <c r="U1348" i="1"/>
  <c r="I1348" i="1"/>
  <c r="C1348" i="1"/>
  <c r="B1348" i="1"/>
  <c r="A1348" i="1"/>
  <c r="U1347" i="1"/>
  <c r="I1347" i="1"/>
  <c r="C1347" i="1"/>
  <c r="B1347" i="1"/>
  <c r="A1347" i="1"/>
  <c r="U1346" i="1"/>
  <c r="I1346" i="1"/>
  <c r="C1346" i="1"/>
  <c r="B1346" i="1"/>
  <c r="A1346" i="1"/>
  <c r="U1345" i="1"/>
  <c r="I1345" i="1"/>
  <c r="C1345" i="1"/>
  <c r="B1345" i="1"/>
  <c r="A1345" i="1"/>
  <c r="U1344" i="1"/>
  <c r="I1344" i="1"/>
  <c r="C1344" i="1"/>
  <c r="B1344" i="1"/>
  <c r="A1344" i="1"/>
  <c r="U1343" i="1"/>
  <c r="I1343" i="1"/>
  <c r="C1343" i="1"/>
  <c r="B1343" i="1"/>
  <c r="A1343" i="1"/>
  <c r="U1342" i="1"/>
  <c r="I1342" i="1"/>
  <c r="C1342" i="1"/>
  <c r="B1342" i="1"/>
  <c r="A1342" i="1"/>
  <c r="U1341" i="1"/>
  <c r="I1341" i="1"/>
  <c r="C1341" i="1"/>
  <c r="B1341" i="1"/>
  <c r="A1341" i="1"/>
  <c r="U1340" i="1"/>
  <c r="I1340" i="1"/>
  <c r="C1340" i="1"/>
  <c r="B1340" i="1"/>
  <c r="A1340" i="1"/>
  <c r="U1339" i="1"/>
  <c r="I1339" i="1"/>
  <c r="C1339" i="1"/>
  <c r="B1339" i="1"/>
  <c r="A1339" i="1"/>
  <c r="U1338" i="1"/>
  <c r="I1338" i="1"/>
  <c r="C1338" i="1"/>
  <c r="B1338" i="1"/>
  <c r="A1338" i="1"/>
  <c r="U1337" i="1"/>
  <c r="I1337" i="1"/>
  <c r="C1337" i="1"/>
  <c r="B1337" i="1"/>
  <c r="A1337" i="1"/>
  <c r="U1336" i="1"/>
  <c r="I1336" i="1"/>
  <c r="C1336" i="1"/>
  <c r="B1336" i="1"/>
  <c r="A1336" i="1"/>
  <c r="U1335" i="1"/>
  <c r="I1335" i="1"/>
  <c r="C1335" i="1"/>
  <c r="B1335" i="1"/>
  <c r="A1335" i="1"/>
  <c r="U1334" i="1"/>
  <c r="I1334" i="1"/>
  <c r="C1334" i="1"/>
  <c r="B1334" i="1"/>
  <c r="A1334" i="1"/>
  <c r="U1333" i="1"/>
  <c r="I1333" i="1"/>
  <c r="C1333" i="1"/>
  <c r="B1333" i="1"/>
  <c r="A1333" i="1"/>
  <c r="U1332" i="1"/>
  <c r="I1332" i="1"/>
  <c r="C1332" i="1"/>
  <c r="B1332" i="1"/>
  <c r="A1332" i="1"/>
  <c r="U1331" i="1"/>
  <c r="I1331" i="1"/>
  <c r="C1331" i="1"/>
  <c r="B1331" i="1"/>
  <c r="A1331" i="1"/>
  <c r="U1330" i="1"/>
  <c r="I1330" i="1"/>
  <c r="C1330" i="1"/>
  <c r="B1330" i="1"/>
  <c r="A1330" i="1"/>
  <c r="U1329" i="1"/>
  <c r="I1329" i="1"/>
  <c r="C1329" i="1"/>
  <c r="B1329" i="1"/>
  <c r="A1329" i="1"/>
  <c r="U1328" i="1"/>
  <c r="I1328" i="1"/>
  <c r="C1328" i="1"/>
  <c r="B1328" i="1"/>
  <c r="A1328" i="1"/>
  <c r="U1327" i="1"/>
  <c r="I1327" i="1"/>
  <c r="C1327" i="1"/>
  <c r="B1327" i="1"/>
  <c r="A1327" i="1"/>
  <c r="U1326" i="1"/>
  <c r="I1326" i="1"/>
  <c r="C1326" i="1"/>
  <c r="B1326" i="1"/>
  <c r="A1326" i="1"/>
  <c r="U1325" i="1"/>
  <c r="I1325" i="1"/>
  <c r="C1325" i="1"/>
  <c r="B1325" i="1"/>
  <c r="A1325" i="1"/>
  <c r="U1324" i="1"/>
  <c r="I1324" i="1"/>
  <c r="C1324" i="1"/>
  <c r="B1324" i="1"/>
  <c r="A1324" i="1"/>
  <c r="U1323" i="1"/>
  <c r="I1323" i="1"/>
  <c r="C1323" i="1"/>
  <c r="B1323" i="1"/>
  <c r="A1323" i="1"/>
  <c r="U1322" i="1"/>
  <c r="I1322" i="1"/>
  <c r="C1322" i="1"/>
  <c r="B1322" i="1"/>
  <c r="A1322" i="1"/>
  <c r="U1321" i="1"/>
  <c r="I1321" i="1"/>
  <c r="C1321" i="1"/>
  <c r="B1321" i="1"/>
  <c r="A1321" i="1"/>
  <c r="U1320" i="1"/>
  <c r="I1320" i="1"/>
  <c r="C1320" i="1"/>
  <c r="B1320" i="1"/>
  <c r="A1320" i="1"/>
  <c r="U1319" i="1"/>
  <c r="I1319" i="1"/>
  <c r="C1319" i="1"/>
  <c r="B1319" i="1"/>
  <c r="A1319" i="1"/>
  <c r="U1318" i="1"/>
  <c r="I1318" i="1"/>
  <c r="C1318" i="1"/>
  <c r="B1318" i="1"/>
  <c r="A1318" i="1"/>
  <c r="U1317" i="1"/>
  <c r="I1317" i="1"/>
  <c r="C1317" i="1"/>
  <c r="B1317" i="1"/>
  <c r="A1317" i="1"/>
  <c r="U1316" i="1"/>
  <c r="I1316" i="1"/>
  <c r="C1316" i="1"/>
  <c r="B1316" i="1"/>
  <c r="A1316" i="1"/>
  <c r="U1315" i="1"/>
  <c r="I1315" i="1"/>
  <c r="C1315" i="1"/>
  <c r="B1315" i="1"/>
  <c r="A1315" i="1"/>
  <c r="U1314" i="1"/>
  <c r="I1314" i="1"/>
  <c r="C1314" i="1"/>
  <c r="B1314" i="1"/>
  <c r="A1314" i="1"/>
  <c r="U1313" i="1"/>
  <c r="I1313" i="1"/>
  <c r="C1313" i="1"/>
  <c r="B1313" i="1"/>
  <c r="A1313" i="1"/>
  <c r="U1312" i="1"/>
  <c r="I1312" i="1"/>
  <c r="C1312" i="1"/>
  <c r="B1312" i="1"/>
  <c r="A1312" i="1"/>
  <c r="U1311" i="1"/>
  <c r="I1311" i="1"/>
  <c r="C1311" i="1"/>
  <c r="B1311" i="1"/>
  <c r="A1311" i="1"/>
  <c r="U1310" i="1"/>
  <c r="I1310" i="1"/>
  <c r="C1310" i="1"/>
  <c r="B1310" i="1"/>
  <c r="A1310" i="1"/>
  <c r="U1309" i="1"/>
  <c r="I1309" i="1"/>
  <c r="C1309" i="1"/>
  <c r="B1309" i="1"/>
  <c r="A1309" i="1"/>
  <c r="U1308" i="1"/>
  <c r="I1308" i="1"/>
  <c r="C1308" i="1"/>
  <c r="B1308" i="1"/>
  <c r="A1308" i="1"/>
  <c r="U1307" i="1"/>
  <c r="I1307" i="1"/>
  <c r="C1307" i="1"/>
  <c r="B1307" i="1"/>
  <c r="A1307" i="1"/>
  <c r="U1306" i="1"/>
  <c r="I1306" i="1"/>
  <c r="C1306" i="1"/>
  <c r="B1306" i="1"/>
  <c r="A1306" i="1"/>
  <c r="U1305" i="1"/>
  <c r="I1305" i="1"/>
  <c r="C1305" i="1"/>
  <c r="B1305" i="1"/>
  <c r="A1305" i="1"/>
  <c r="U1304" i="1"/>
  <c r="I1304" i="1"/>
  <c r="C1304" i="1"/>
  <c r="B1304" i="1"/>
  <c r="A1304" i="1"/>
  <c r="U1303" i="1"/>
  <c r="I1303" i="1"/>
  <c r="C1303" i="1"/>
  <c r="B1303" i="1"/>
  <c r="A1303" i="1"/>
  <c r="U1302" i="1"/>
  <c r="I1302" i="1"/>
  <c r="C1302" i="1"/>
  <c r="B1302" i="1"/>
  <c r="A1302" i="1"/>
  <c r="U1301" i="1"/>
  <c r="I1301" i="1"/>
  <c r="C1301" i="1"/>
  <c r="B1301" i="1"/>
  <c r="A1301" i="1"/>
  <c r="U1300" i="1"/>
  <c r="I1300" i="1"/>
  <c r="C1300" i="1"/>
  <c r="B1300" i="1"/>
  <c r="A1300" i="1"/>
  <c r="U1299" i="1"/>
  <c r="I1299" i="1"/>
  <c r="C1299" i="1"/>
  <c r="B1299" i="1"/>
  <c r="A1299" i="1"/>
  <c r="U1298" i="1"/>
  <c r="I1298" i="1"/>
  <c r="C1298" i="1"/>
  <c r="B1298" i="1"/>
  <c r="A1298" i="1"/>
  <c r="U1297" i="1"/>
  <c r="I1297" i="1"/>
  <c r="C1297" i="1"/>
  <c r="B1297" i="1"/>
  <c r="A1297" i="1"/>
  <c r="U1296" i="1"/>
  <c r="I1296" i="1"/>
  <c r="C1296" i="1"/>
  <c r="B1296" i="1"/>
  <c r="A1296" i="1"/>
  <c r="U1295" i="1"/>
  <c r="I1295" i="1"/>
  <c r="C1295" i="1"/>
  <c r="B1295" i="1"/>
  <c r="A1295" i="1"/>
  <c r="U1294" i="1"/>
  <c r="I1294" i="1"/>
  <c r="C1294" i="1"/>
  <c r="B1294" i="1"/>
  <c r="A1294" i="1"/>
  <c r="U1293" i="1"/>
  <c r="I1293" i="1"/>
  <c r="C1293" i="1"/>
  <c r="B1293" i="1"/>
  <c r="A1293" i="1"/>
  <c r="U1292" i="1"/>
  <c r="I1292" i="1"/>
  <c r="C1292" i="1"/>
  <c r="B1292" i="1"/>
  <c r="A1292" i="1"/>
  <c r="U1291" i="1"/>
  <c r="I1291" i="1"/>
  <c r="C1291" i="1"/>
  <c r="B1291" i="1"/>
  <c r="A1291" i="1"/>
  <c r="U1290" i="1"/>
  <c r="I1290" i="1"/>
  <c r="C1290" i="1"/>
  <c r="B1290" i="1"/>
  <c r="A1290" i="1"/>
  <c r="U1289" i="1"/>
  <c r="I1289" i="1"/>
  <c r="C1289" i="1"/>
  <c r="B1289" i="1"/>
  <c r="A1289" i="1"/>
  <c r="U1288" i="1"/>
  <c r="I1288" i="1"/>
  <c r="C1288" i="1"/>
  <c r="B1288" i="1"/>
  <c r="A1288" i="1"/>
  <c r="U1287" i="1"/>
  <c r="I1287" i="1"/>
  <c r="C1287" i="1"/>
  <c r="B1287" i="1"/>
  <c r="A1287" i="1"/>
  <c r="U1286" i="1"/>
  <c r="I1286" i="1"/>
  <c r="C1286" i="1"/>
  <c r="B1286" i="1"/>
  <c r="A1286" i="1"/>
  <c r="U1285" i="1"/>
  <c r="I1285" i="1"/>
  <c r="C1285" i="1"/>
  <c r="B1285" i="1"/>
  <c r="A1285" i="1"/>
  <c r="U1284" i="1"/>
  <c r="I1284" i="1"/>
  <c r="C1284" i="1"/>
  <c r="B1284" i="1"/>
  <c r="A1284" i="1"/>
  <c r="U1283" i="1"/>
  <c r="I1283" i="1"/>
  <c r="C1283" i="1"/>
  <c r="B1283" i="1"/>
  <c r="A1283" i="1"/>
  <c r="U1282" i="1"/>
  <c r="I1282" i="1"/>
  <c r="C1282" i="1"/>
  <c r="B1282" i="1"/>
  <c r="A1282" i="1"/>
  <c r="U1281" i="1"/>
  <c r="I1281" i="1"/>
  <c r="C1281" i="1"/>
  <c r="B1281" i="1"/>
  <c r="A1281" i="1"/>
  <c r="U1280" i="1"/>
  <c r="I1280" i="1"/>
  <c r="C1280" i="1"/>
  <c r="B1280" i="1"/>
  <c r="A1280" i="1"/>
  <c r="U1279" i="1"/>
  <c r="I1279" i="1"/>
  <c r="C1279" i="1"/>
  <c r="B1279" i="1"/>
  <c r="A1279" i="1"/>
  <c r="U1278" i="1"/>
  <c r="I1278" i="1"/>
  <c r="C1278" i="1"/>
  <c r="B1278" i="1"/>
  <c r="A1278" i="1"/>
  <c r="U1277" i="1"/>
  <c r="I1277" i="1"/>
  <c r="C1277" i="1"/>
  <c r="B1277" i="1"/>
  <c r="A1277" i="1"/>
  <c r="U1276" i="1"/>
  <c r="I1276" i="1"/>
  <c r="C1276" i="1"/>
  <c r="B1276" i="1"/>
  <c r="A1276" i="1"/>
  <c r="U1275" i="1"/>
  <c r="I1275" i="1"/>
  <c r="C1275" i="1"/>
  <c r="B1275" i="1"/>
  <c r="A1275" i="1"/>
  <c r="U1274" i="1"/>
  <c r="I1274" i="1"/>
  <c r="C1274" i="1"/>
  <c r="B1274" i="1"/>
  <c r="A1274" i="1"/>
  <c r="U1273" i="1"/>
  <c r="I1273" i="1"/>
  <c r="C1273" i="1"/>
  <c r="B1273" i="1"/>
  <c r="A1273" i="1"/>
  <c r="U1272" i="1"/>
  <c r="I1272" i="1"/>
  <c r="C1272" i="1"/>
  <c r="B1272" i="1"/>
  <c r="A1272" i="1"/>
  <c r="U1271" i="1"/>
  <c r="I1271" i="1"/>
  <c r="C1271" i="1"/>
  <c r="B1271" i="1"/>
  <c r="A1271" i="1"/>
  <c r="U1270" i="1"/>
  <c r="I1270" i="1"/>
  <c r="C1270" i="1"/>
  <c r="B1270" i="1"/>
  <c r="A1270" i="1"/>
  <c r="U1269" i="1"/>
  <c r="I1269" i="1"/>
  <c r="C1269" i="1"/>
  <c r="B1269" i="1"/>
  <c r="A1269" i="1"/>
  <c r="U1268" i="1"/>
  <c r="I1268" i="1"/>
  <c r="C1268" i="1"/>
  <c r="B1268" i="1"/>
  <c r="A1268" i="1"/>
  <c r="U1267" i="1"/>
  <c r="I1267" i="1"/>
  <c r="C1267" i="1"/>
  <c r="B1267" i="1"/>
  <c r="A1267" i="1"/>
  <c r="U1266" i="1"/>
  <c r="I1266" i="1"/>
  <c r="C1266" i="1"/>
  <c r="B1266" i="1"/>
  <c r="A1266" i="1"/>
  <c r="U1265" i="1"/>
  <c r="I1265" i="1"/>
  <c r="C1265" i="1"/>
  <c r="B1265" i="1"/>
  <c r="A1265" i="1"/>
  <c r="U1264" i="1"/>
  <c r="I1264" i="1"/>
  <c r="C1264" i="1"/>
  <c r="B1264" i="1"/>
  <c r="A1264" i="1"/>
  <c r="U1263" i="1"/>
  <c r="I1263" i="1"/>
  <c r="C1263" i="1"/>
  <c r="B1263" i="1"/>
  <c r="A1263" i="1"/>
  <c r="U1262" i="1"/>
  <c r="I1262" i="1"/>
  <c r="C1262" i="1"/>
  <c r="B1262" i="1"/>
  <c r="A1262" i="1"/>
  <c r="U1261" i="1"/>
  <c r="I1261" i="1"/>
  <c r="C1261" i="1"/>
  <c r="B1261" i="1"/>
  <c r="A1261" i="1"/>
  <c r="U1260" i="1"/>
  <c r="I1260" i="1"/>
  <c r="C1260" i="1"/>
  <c r="B1260" i="1"/>
  <c r="A1260" i="1"/>
  <c r="U1259" i="1"/>
  <c r="I1259" i="1"/>
  <c r="C1259" i="1"/>
  <c r="B1259" i="1"/>
  <c r="A1259" i="1"/>
  <c r="U1258" i="1"/>
  <c r="I1258" i="1"/>
  <c r="C1258" i="1"/>
  <c r="B1258" i="1"/>
  <c r="A1258" i="1"/>
  <c r="U1257" i="1"/>
  <c r="I1257" i="1"/>
  <c r="C1257" i="1"/>
  <c r="B1257" i="1"/>
  <c r="A1257" i="1"/>
  <c r="U1256" i="1"/>
  <c r="I1256" i="1"/>
  <c r="C1256" i="1"/>
  <c r="B1256" i="1"/>
  <c r="A1256" i="1"/>
  <c r="U1255" i="1"/>
  <c r="I1255" i="1"/>
  <c r="C1255" i="1"/>
  <c r="B1255" i="1"/>
  <c r="A1255" i="1"/>
  <c r="U1254" i="1"/>
  <c r="I1254" i="1"/>
  <c r="C1254" i="1"/>
  <c r="B1254" i="1"/>
  <c r="A1254" i="1"/>
  <c r="U1253" i="1"/>
  <c r="I1253" i="1"/>
  <c r="C1253" i="1"/>
  <c r="B1253" i="1"/>
  <c r="A1253" i="1"/>
  <c r="U1252" i="1"/>
  <c r="I1252" i="1"/>
  <c r="U1251" i="1"/>
  <c r="I1251" i="1"/>
  <c r="C1251" i="1"/>
  <c r="B1251" i="1"/>
  <c r="A1251" i="1"/>
  <c r="U1250" i="1"/>
  <c r="I1250" i="1"/>
  <c r="C1250" i="1"/>
  <c r="B1250" i="1"/>
  <c r="A1250" i="1"/>
  <c r="U1249" i="1"/>
  <c r="I1249" i="1"/>
  <c r="C1249" i="1"/>
  <c r="B1249" i="1"/>
  <c r="A1249" i="1"/>
  <c r="U1248" i="1"/>
  <c r="I1248" i="1"/>
  <c r="C1248" i="1"/>
  <c r="B1248" i="1"/>
  <c r="A1248" i="1"/>
  <c r="U1247" i="1"/>
  <c r="I1247" i="1"/>
  <c r="C1247" i="1"/>
  <c r="B1247" i="1"/>
  <c r="A1247" i="1"/>
  <c r="U1246" i="1"/>
  <c r="I1246" i="1"/>
  <c r="C1246" i="1"/>
  <c r="B1246" i="1"/>
  <c r="A1246" i="1"/>
  <c r="U1245" i="1"/>
  <c r="I1245" i="1"/>
  <c r="C1245" i="1"/>
  <c r="B1245" i="1"/>
  <c r="A1245" i="1"/>
  <c r="U1244" i="1"/>
  <c r="I1244" i="1"/>
  <c r="C1244" i="1"/>
  <c r="B1244" i="1"/>
  <c r="A1244" i="1"/>
  <c r="U1243" i="1"/>
  <c r="I1243" i="1"/>
  <c r="C1243" i="1"/>
  <c r="B1243" i="1"/>
  <c r="A1243" i="1"/>
  <c r="U1242" i="1"/>
  <c r="I1242" i="1"/>
  <c r="C1242" i="1"/>
  <c r="B1242" i="1"/>
  <c r="A1242" i="1"/>
  <c r="U1241" i="1"/>
  <c r="I1241" i="1"/>
  <c r="C1241" i="1"/>
  <c r="B1241" i="1"/>
  <c r="A1241" i="1"/>
  <c r="U1240" i="1"/>
  <c r="I1240" i="1"/>
  <c r="C1240" i="1"/>
  <c r="B1240" i="1"/>
  <c r="A1240" i="1"/>
  <c r="U1239" i="1"/>
  <c r="I1239" i="1"/>
  <c r="C1239" i="1"/>
  <c r="B1239" i="1"/>
  <c r="A1239" i="1"/>
  <c r="U1238" i="1"/>
  <c r="I1238" i="1"/>
  <c r="C1238" i="1"/>
  <c r="B1238" i="1"/>
  <c r="A1238" i="1"/>
  <c r="U1237" i="1"/>
  <c r="I1237" i="1"/>
  <c r="C1237" i="1"/>
  <c r="B1237" i="1"/>
  <c r="A1237" i="1"/>
  <c r="U1236" i="1"/>
  <c r="I1236" i="1"/>
  <c r="C1236" i="1"/>
  <c r="B1236" i="1"/>
  <c r="A1236" i="1"/>
  <c r="U1235" i="1"/>
  <c r="I1235" i="1"/>
  <c r="C1235" i="1"/>
  <c r="B1235" i="1"/>
  <c r="A1235" i="1"/>
  <c r="U1234" i="1"/>
  <c r="I1234" i="1"/>
  <c r="C1234" i="1"/>
  <c r="B1234" i="1"/>
  <c r="A1234" i="1"/>
  <c r="U1233" i="1"/>
  <c r="I1233" i="1"/>
  <c r="C1233" i="1"/>
  <c r="B1233" i="1"/>
  <c r="A1233" i="1"/>
  <c r="U1232" i="1"/>
  <c r="I1232" i="1"/>
  <c r="C1232" i="1"/>
  <c r="B1232" i="1"/>
  <c r="A1232" i="1"/>
  <c r="U1231" i="1"/>
  <c r="I1231" i="1"/>
  <c r="C1231" i="1"/>
  <c r="B1231" i="1"/>
  <c r="A1231" i="1"/>
  <c r="U1230" i="1"/>
  <c r="I1230" i="1"/>
  <c r="C1230" i="1"/>
  <c r="B1230" i="1"/>
  <c r="A1230" i="1"/>
  <c r="U1229" i="1"/>
  <c r="I1229" i="1"/>
  <c r="C1229" i="1"/>
  <c r="B1229" i="1"/>
  <c r="A1229" i="1"/>
  <c r="U1228" i="1"/>
  <c r="I1228" i="1"/>
  <c r="C1228" i="1"/>
  <c r="B1228" i="1"/>
  <c r="A1228" i="1"/>
  <c r="U1227" i="1"/>
  <c r="I1227" i="1"/>
  <c r="C1227" i="1"/>
  <c r="B1227" i="1"/>
  <c r="A1227" i="1"/>
  <c r="U1226" i="1"/>
  <c r="I1226" i="1"/>
  <c r="U1225" i="1"/>
  <c r="I1225" i="1"/>
  <c r="C1225" i="1"/>
  <c r="B1225" i="1"/>
  <c r="A1225" i="1"/>
  <c r="U1224" i="1"/>
  <c r="I1224" i="1"/>
  <c r="C1224" i="1"/>
  <c r="B1224" i="1"/>
  <c r="A1224" i="1"/>
  <c r="U1223" i="1"/>
  <c r="I1223" i="1"/>
  <c r="C1223" i="1"/>
  <c r="B1223" i="1"/>
  <c r="A1223" i="1"/>
  <c r="U1222" i="1"/>
  <c r="I1222" i="1"/>
  <c r="C1222" i="1"/>
  <c r="B1222" i="1"/>
  <c r="A1222" i="1"/>
  <c r="U1221" i="1"/>
  <c r="I1221" i="1"/>
  <c r="C1221" i="1"/>
  <c r="B1221" i="1"/>
  <c r="A1221" i="1"/>
  <c r="U1220" i="1"/>
  <c r="I1220" i="1"/>
  <c r="C1220" i="1"/>
  <c r="B1220" i="1"/>
  <c r="A1220" i="1"/>
  <c r="U1219" i="1"/>
  <c r="I1219" i="1"/>
  <c r="C1219" i="1"/>
  <c r="B1219" i="1"/>
  <c r="A1219" i="1"/>
  <c r="U1218" i="1"/>
  <c r="I1218" i="1"/>
  <c r="C1218" i="1"/>
  <c r="B1218" i="1"/>
  <c r="A1218" i="1"/>
  <c r="U1217" i="1"/>
  <c r="I1217" i="1"/>
  <c r="C1217" i="1"/>
  <c r="B1217" i="1"/>
  <c r="A1217" i="1"/>
  <c r="U1216" i="1"/>
  <c r="I1216" i="1"/>
  <c r="C1216" i="1"/>
  <c r="B1216" i="1"/>
  <c r="A1216" i="1"/>
  <c r="U1215" i="1"/>
  <c r="I1215" i="1"/>
  <c r="C1215" i="1"/>
  <c r="B1215" i="1"/>
  <c r="A1215" i="1"/>
  <c r="U1214" i="1"/>
  <c r="I1214" i="1"/>
  <c r="C1214" i="1"/>
  <c r="B1214" i="1"/>
  <c r="A1214" i="1"/>
  <c r="U1213" i="1"/>
  <c r="I1213" i="1"/>
  <c r="C1213" i="1"/>
  <c r="B1213" i="1"/>
  <c r="A1213" i="1"/>
  <c r="U1212" i="1"/>
  <c r="I1212" i="1"/>
  <c r="C1212" i="1"/>
  <c r="B1212" i="1"/>
  <c r="A1212" i="1"/>
  <c r="U1211" i="1"/>
  <c r="I1211" i="1"/>
  <c r="C1211" i="1"/>
  <c r="B1211" i="1"/>
  <c r="A1211" i="1"/>
  <c r="U1210" i="1"/>
  <c r="I1210" i="1"/>
  <c r="C1210" i="1"/>
  <c r="B1210" i="1"/>
  <c r="A1210" i="1"/>
  <c r="U1209" i="1"/>
  <c r="I1209" i="1"/>
  <c r="C1209" i="1"/>
  <c r="B1209" i="1"/>
  <c r="A1209" i="1"/>
  <c r="U1208" i="1"/>
  <c r="I1208" i="1"/>
  <c r="C1208" i="1"/>
  <c r="B1208" i="1"/>
  <c r="A1208" i="1"/>
  <c r="U1207" i="1"/>
  <c r="I1207" i="1"/>
  <c r="C1207" i="1"/>
  <c r="B1207" i="1"/>
  <c r="A1207" i="1"/>
  <c r="U1206" i="1"/>
  <c r="I1206" i="1"/>
  <c r="C1206" i="1"/>
  <c r="B1206" i="1"/>
  <c r="A1206" i="1"/>
  <c r="U1205" i="1"/>
  <c r="I1205" i="1"/>
  <c r="C1205" i="1"/>
  <c r="B1205" i="1"/>
  <c r="A1205" i="1"/>
  <c r="U1204" i="1"/>
  <c r="I1204" i="1"/>
  <c r="C1204" i="1"/>
  <c r="B1204" i="1"/>
  <c r="A1204" i="1"/>
  <c r="U1203" i="1"/>
  <c r="I1203" i="1"/>
  <c r="C1203" i="1"/>
  <c r="B1203" i="1"/>
  <c r="A1203" i="1"/>
  <c r="U1202" i="1"/>
  <c r="I1202" i="1"/>
  <c r="C1202" i="1"/>
  <c r="B1202" i="1"/>
  <c r="A1202" i="1"/>
  <c r="U1201" i="1"/>
  <c r="I1201" i="1"/>
  <c r="C1201" i="1"/>
  <c r="B1201" i="1"/>
  <c r="A1201" i="1"/>
  <c r="U1200" i="1"/>
  <c r="I1200" i="1"/>
  <c r="C1200" i="1"/>
  <c r="B1200" i="1"/>
  <c r="A1200" i="1"/>
  <c r="U1199" i="1"/>
  <c r="I1199" i="1"/>
  <c r="C1199" i="1"/>
  <c r="B1199" i="1"/>
  <c r="A1199" i="1"/>
  <c r="U1198" i="1"/>
  <c r="I1198" i="1"/>
  <c r="C1198" i="1"/>
  <c r="B1198" i="1"/>
  <c r="A1198" i="1"/>
  <c r="U1197" i="1"/>
  <c r="I1197" i="1"/>
  <c r="C1197" i="1"/>
  <c r="B1197" i="1"/>
  <c r="A1197" i="1"/>
  <c r="U1196" i="1"/>
  <c r="I1196" i="1"/>
  <c r="C1196" i="1"/>
  <c r="B1196" i="1"/>
  <c r="A1196" i="1"/>
  <c r="U1195" i="1"/>
  <c r="I1195" i="1"/>
  <c r="C1195" i="1"/>
  <c r="B1195" i="1"/>
  <c r="A1195" i="1"/>
  <c r="U1194" i="1"/>
  <c r="I1194" i="1"/>
  <c r="C1194" i="1"/>
  <c r="B1194" i="1"/>
  <c r="A1194" i="1"/>
  <c r="U1193" i="1"/>
  <c r="I1193" i="1"/>
  <c r="C1193" i="1"/>
  <c r="B1193" i="1"/>
  <c r="A1193" i="1"/>
  <c r="U1192" i="1"/>
  <c r="I1192" i="1"/>
  <c r="C1192" i="1"/>
  <c r="B1192" i="1"/>
  <c r="A1192" i="1"/>
  <c r="U1191" i="1"/>
  <c r="I1191" i="1"/>
  <c r="C1191" i="1"/>
  <c r="B1191" i="1"/>
  <c r="A1191" i="1"/>
  <c r="U1190" i="1"/>
  <c r="I1190" i="1"/>
  <c r="C1190" i="1"/>
  <c r="B1190" i="1"/>
  <c r="A1190" i="1"/>
  <c r="U1189" i="1"/>
  <c r="I1189" i="1"/>
  <c r="C1189" i="1"/>
  <c r="B1189" i="1"/>
  <c r="A1189" i="1"/>
  <c r="U1188" i="1"/>
  <c r="I1188" i="1"/>
  <c r="C1188" i="1"/>
  <c r="B1188" i="1"/>
  <c r="A1188" i="1"/>
  <c r="U1187" i="1"/>
  <c r="I1187" i="1"/>
  <c r="U1186" i="1"/>
  <c r="I1186" i="1"/>
  <c r="U1185" i="1"/>
  <c r="I1185" i="1"/>
  <c r="U1184" i="1"/>
  <c r="I1184" i="1"/>
  <c r="C1184" i="1"/>
  <c r="B1184" i="1"/>
  <c r="A1184" i="1"/>
  <c r="U1183" i="1"/>
  <c r="I1183" i="1"/>
  <c r="C1183" i="1"/>
  <c r="B1183" i="1"/>
  <c r="A1183" i="1"/>
  <c r="U1182" i="1"/>
  <c r="I1182" i="1"/>
  <c r="C1182" i="1"/>
  <c r="B1182" i="1"/>
  <c r="A1182" i="1"/>
  <c r="U1181" i="1"/>
  <c r="I1181" i="1"/>
  <c r="C1181" i="1"/>
  <c r="B1181" i="1"/>
  <c r="A1181" i="1"/>
  <c r="U1180" i="1"/>
  <c r="I1180" i="1"/>
  <c r="C1180" i="1"/>
  <c r="B1180" i="1"/>
  <c r="A1180" i="1"/>
  <c r="U1179" i="1"/>
  <c r="I1179" i="1"/>
  <c r="C1179" i="1"/>
  <c r="B1179" i="1"/>
  <c r="A1179" i="1"/>
  <c r="U1178" i="1"/>
  <c r="I1178" i="1"/>
  <c r="C1178" i="1"/>
  <c r="B1178" i="1"/>
  <c r="A1178" i="1"/>
  <c r="U1177" i="1"/>
  <c r="I1177" i="1"/>
  <c r="C1177" i="1"/>
  <c r="B1177" i="1"/>
  <c r="A1177" i="1"/>
  <c r="U1176" i="1"/>
  <c r="I1176" i="1"/>
  <c r="C1176" i="1"/>
  <c r="B1176" i="1"/>
  <c r="A1176" i="1"/>
  <c r="U1175" i="1"/>
  <c r="I1175" i="1"/>
  <c r="C1175" i="1"/>
  <c r="B1175" i="1"/>
  <c r="A1175" i="1"/>
  <c r="U1174" i="1"/>
  <c r="I1174" i="1"/>
  <c r="C1174" i="1"/>
  <c r="B1174" i="1"/>
  <c r="A1174" i="1"/>
  <c r="U1173" i="1"/>
  <c r="I1173" i="1"/>
  <c r="C1173" i="1"/>
  <c r="B1173" i="1"/>
  <c r="A1173" i="1"/>
  <c r="U1172" i="1"/>
  <c r="I1172" i="1"/>
  <c r="C1172" i="1"/>
  <c r="B1172" i="1"/>
  <c r="A1172" i="1"/>
  <c r="U1171" i="1"/>
  <c r="I1171" i="1"/>
  <c r="C1171" i="1"/>
  <c r="B1171" i="1"/>
  <c r="A1171" i="1"/>
  <c r="U1170" i="1"/>
  <c r="I1170" i="1"/>
  <c r="C1170" i="1"/>
  <c r="B1170" i="1"/>
  <c r="A1170" i="1"/>
  <c r="U1169" i="1"/>
  <c r="I1169" i="1"/>
  <c r="C1169" i="1"/>
  <c r="B1169" i="1"/>
  <c r="A1169" i="1"/>
  <c r="U1168" i="1"/>
  <c r="I1168" i="1"/>
  <c r="C1168" i="1"/>
  <c r="B1168" i="1"/>
  <c r="A1168" i="1"/>
  <c r="U1167" i="1"/>
  <c r="I1167" i="1"/>
  <c r="C1167" i="1"/>
  <c r="B1167" i="1"/>
  <c r="A1167" i="1"/>
  <c r="U1166" i="1"/>
  <c r="I1166" i="1"/>
  <c r="C1166" i="1"/>
  <c r="B1166" i="1"/>
  <c r="A1166" i="1"/>
  <c r="U1165" i="1"/>
  <c r="I1165" i="1"/>
  <c r="C1165" i="1"/>
  <c r="B1165" i="1"/>
  <c r="A1165" i="1"/>
  <c r="U1164" i="1"/>
  <c r="I1164" i="1"/>
  <c r="C1164" i="1"/>
  <c r="B1164" i="1"/>
  <c r="A1164" i="1"/>
  <c r="U1163" i="1"/>
  <c r="I1163" i="1"/>
  <c r="C1163" i="1"/>
  <c r="B1163" i="1"/>
  <c r="A1163" i="1"/>
  <c r="U1162" i="1"/>
  <c r="I1162" i="1"/>
  <c r="U1161" i="1"/>
  <c r="I1161" i="1"/>
  <c r="C1161" i="1"/>
  <c r="B1161" i="1"/>
  <c r="A1161" i="1"/>
  <c r="U1160" i="1"/>
  <c r="I1160" i="1"/>
  <c r="C1160" i="1"/>
  <c r="B1160" i="1"/>
  <c r="A1160" i="1"/>
  <c r="U1159" i="1"/>
  <c r="I1159" i="1"/>
  <c r="U1158" i="1"/>
  <c r="I1158" i="1"/>
  <c r="C1158" i="1"/>
  <c r="B1158" i="1"/>
  <c r="A1158" i="1"/>
  <c r="U1157" i="1"/>
  <c r="I1157" i="1"/>
  <c r="C1157" i="1"/>
  <c r="B1157" i="1"/>
  <c r="A1157" i="1"/>
  <c r="U1156" i="1"/>
  <c r="I1156" i="1"/>
  <c r="C1156" i="1"/>
  <c r="B1156" i="1"/>
  <c r="A1156" i="1"/>
  <c r="U1155" i="1"/>
  <c r="I1155" i="1"/>
  <c r="U1154" i="1"/>
  <c r="I1154" i="1"/>
  <c r="C1154" i="1"/>
  <c r="B1154" i="1"/>
  <c r="A1154" i="1"/>
  <c r="U1153" i="1"/>
  <c r="I1153" i="1"/>
  <c r="C1153" i="1"/>
  <c r="U1152" i="1"/>
  <c r="I1152" i="1"/>
  <c r="C1152" i="1"/>
  <c r="B1152" i="1"/>
  <c r="A1152" i="1"/>
  <c r="U1151" i="1"/>
  <c r="I1151" i="1"/>
  <c r="C1151" i="1"/>
  <c r="B1151" i="1"/>
  <c r="A1151" i="1"/>
  <c r="U1150" i="1"/>
  <c r="I1150" i="1"/>
  <c r="C1150" i="1"/>
  <c r="B1150" i="1"/>
  <c r="A1150" i="1"/>
  <c r="U1149" i="1"/>
  <c r="I1149" i="1"/>
  <c r="C1149" i="1"/>
  <c r="B1149" i="1"/>
  <c r="A1149" i="1"/>
  <c r="U1148" i="1"/>
  <c r="I1148" i="1"/>
  <c r="C1148" i="1"/>
  <c r="B1148" i="1"/>
  <c r="A1148" i="1"/>
  <c r="U1147" i="1"/>
  <c r="I1147" i="1"/>
  <c r="C1147" i="1"/>
  <c r="B1147" i="1"/>
  <c r="A1147" i="1"/>
  <c r="U1146" i="1"/>
  <c r="I1146" i="1"/>
  <c r="C1146" i="1"/>
  <c r="B1146" i="1"/>
  <c r="A1146" i="1"/>
  <c r="U1145" i="1"/>
  <c r="I1145" i="1"/>
  <c r="C1145" i="1"/>
  <c r="B1145" i="1"/>
  <c r="A1145" i="1"/>
  <c r="U1144" i="1"/>
  <c r="I1144" i="1"/>
  <c r="C1144" i="1"/>
  <c r="B1144" i="1"/>
  <c r="A1144" i="1"/>
  <c r="U1143" i="1"/>
  <c r="I1143" i="1"/>
  <c r="C1143" i="1"/>
  <c r="B1143" i="1"/>
  <c r="A1143" i="1"/>
  <c r="U1142" i="1"/>
  <c r="I1142" i="1"/>
  <c r="C1142" i="1"/>
  <c r="U1141" i="1"/>
  <c r="I1141" i="1"/>
  <c r="C1141" i="1"/>
  <c r="U1140" i="1"/>
  <c r="I1140" i="1"/>
  <c r="U1139" i="1"/>
  <c r="I1139" i="1"/>
  <c r="C1139" i="1"/>
  <c r="B1139" i="1"/>
  <c r="A1139" i="1"/>
  <c r="U1138" i="1"/>
  <c r="I1138" i="1"/>
  <c r="C1138" i="1"/>
  <c r="B1138" i="1"/>
  <c r="A1138" i="1"/>
  <c r="U1137" i="1"/>
  <c r="I1137" i="1"/>
  <c r="C1137" i="1"/>
  <c r="B1137" i="1"/>
  <c r="A1137" i="1"/>
  <c r="U1136" i="1"/>
  <c r="I1136" i="1"/>
  <c r="C1136" i="1"/>
  <c r="U1135" i="1"/>
  <c r="I1135" i="1"/>
  <c r="C1135" i="1"/>
  <c r="U1134" i="1"/>
  <c r="I1134" i="1"/>
  <c r="C1134" i="1"/>
  <c r="B1134" i="1"/>
  <c r="A1134" i="1"/>
  <c r="U1133" i="1"/>
  <c r="I1133" i="1"/>
  <c r="C1133" i="1"/>
  <c r="B1133" i="1"/>
  <c r="A1133" i="1"/>
  <c r="U1132" i="1"/>
  <c r="I1132" i="1"/>
  <c r="C1132" i="1"/>
  <c r="B1132" i="1"/>
  <c r="A1132" i="1"/>
  <c r="U1131" i="1"/>
  <c r="I1131" i="1"/>
  <c r="U1130" i="1"/>
  <c r="I1130" i="1"/>
  <c r="U1129" i="1"/>
  <c r="I1129" i="1"/>
  <c r="U1128" i="1"/>
  <c r="I1128" i="1"/>
  <c r="U1127" i="1"/>
  <c r="I1127" i="1"/>
  <c r="C1127" i="1"/>
  <c r="B1127" i="1"/>
  <c r="A1127" i="1"/>
  <c r="U1126" i="1"/>
  <c r="I1126" i="1"/>
  <c r="C1126" i="1"/>
  <c r="B1126" i="1"/>
  <c r="A1126" i="1"/>
  <c r="U1125" i="1"/>
  <c r="I1125" i="1"/>
  <c r="C1125" i="1"/>
  <c r="B1125" i="1"/>
  <c r="A1125" i="1"/>
  <c r="U1124" i="1"/>
  <c r="I1124" i="1"/>
  <c r="C1124" i="1"/>
  <c r="B1124" i="1"/>
  <c r="A1124" i="1"/>
  <c r="U1123" i="1"/>
  <c r="I1123" i="1"/>
  <c r="C1123" i="1"/>
  <c r="B1123" i="1"/>
  <c r="A1123" i="1"/>
  <c r="U1122" i="1"/>
  <c r="I1122" i="1"/>
  <c r="C1122" i="1"/>
  <c r="B1122" i="1"/>
  <c r="A1122" i="1"/>
  <c r="U1121" i="1"/>
  <c r="I1121" i="1"/>
  <c r="C1121" i="1"/>
  <c r="B1121" i="1"/>
  <c r="A1121" i="1"/>
  <c r="U1120" i="1"/>
  <c r="I1120" i="1"/>
  <c r="C1120" i="1"/>
  <c r="B1120" i="1"/>
  <c r="A1120" i="1"/>
  <c r="U1119" i="1"/>
  <c r="I1119" i="1"/>
  <c r="C1119" i="1"/>
  <c r="B1119" i="1"/>
  <c r="A1119" i="1"/>
  <c r="U1118" i="1"/>
  <c r="I1118" i="1"/>
  <c r="C1118" i="1"/>
  <c r="B1118" i="1"/>
  <c r="A1118" i="1"/>
  <c r="U1117" i="1"/>
  <c r="I1117" i="1"/>
  <c r="C1117" i="1"/>
  <c r="B1117" i="1"/>
  <c r="A1117" i="1"/>
  <c r="U1116" i="1"/>
  <c r="I1116" i="1"/>
  <c r="C1116" i="1"/>
  <c r="B1116" i="1"/>
  <c r="A1116" i="1"/>
  <c r="U1115" i="1"/>
  <c r="I1115" i="1"/>
  <c r="C1115" i="1"/>
  <c r="B1115" i="1"/>
  <c r="A1115" i="1"/>
  <c r="U1114" i="1"/>
  <c r="I1114" i="1"/>
  <c r="C1114" i="1"/>
  <c r="B1114" i="1"/>
  <c r="A1114" i="1"/>
  <c r="U1113" i="1"/>
  <c r="I1113" i="1"/>
  <c r="C1113" i="1"/>
  <c r="B1113" i="1"/>
  <c r="A1113" i="1"/>
  <c r="U1112" i="1"/>
  <c r="I1112" i="1"/>
  <c r="C1112" i="1"/>
  <c r="B1112" i="1"/>
  <c r="A1112" i="1"/>
  <c r="U1111" i="1"/>
  <c r="I1111" i="1"/>
  <c r="C1111" i="1"/>
  <c r="B1111" i="1"/>
  <c r="A1111" i="1"/>
  <c r="U1110" i="1"/>
  <c r="I1110" i="1"/>
  <c r="C1110" i="1"/>
  <c r="B1110" i="1"/>
  <c r="A1110" i="1"/>
  <c r="U1109" i="1"/>
  <c r="I1109" i="1"/>
  <c r="C1109" i="1"/>
  <c r="B1109" i="1"/>
  <c r="A1109" i="1"/>
  <c r="U1108" i="1"/>
  <c r="I1108" i="1"/>
  <c r="C1108" i="1"/>
  <c r="B1108" i="1"/>
  <c r="A1108" i="1"/>
  <c r="U1107" i="1"/>
  <c r="I1107" i="1"/>
  <c r="C1107" i="1"/>
  <c r="B1107" i="1"/>
  <c r="A1107" i="1"/>
  <c r="U1106" i="1"/>
  <c r="I1106" i="1"/>
  <c r="C1106" i="1"/>
  <c r="B1106" i="1"/>
  <c r="A1106" i="1"/>
  <c r="U1105" i="1"/>
  <c r="I1105" i="1"/>
  <c r="C1105" i="1"/>
  <c r="B1105" i="1"/>
  <c r="A1105" i="1"/>
  <c r="U1104" i="1"/>
  <c r="I1104" i="1"/>
  <c r="C1104" i="1"/>
  <c r="B1104" i="1"/>
  <c r="A1104" i="1"/>
  <c r="U1103" i="1"/>
  <c r="I1103" i="1"/>
  <c r="C1103" i="1"/>
  <c r="B1103" i="1"/>
  <c r="A1103" i="1"/>
  <c r="U1102" i="1"/>
  <c r="I1102" i="1"/>
  <c r="C1102" i="1"/>
  <c r="B1102" i="1"/>
  <c r="A1102" i="1"/>
  <c r="U1101" i="1"/>
  <c r="I1101" i="1"/>
  <c r="C1101" i="1"/>
  <c r="B1101" i="1"/>
  <c r="A1101" i="1"/>
  <c r="U1100" i="1"/>
  <c r="I1100" i="1"/>
  <c r="C1100" i="1"/>
  <c r="B1100" i="1"/>
  <c r="A1100" i="1"/>
  <c r="U1099" i="1"/>
  <c r="I1099" i="1"/>
  <c r="C1099" i="1"/>
  <c r="B1099" i="1"/>
  <c r="A1099" i="1"/>
  <c r="U1098" i="1"/>
  <c r="I1098" i="1"/>
  <c r="C1098" i="1"/>
  <c r="B1098" i="1"/>
  <c r="A1098" i="1"/>
  <c r="U1097" i="1"/>
  <c r="I1097" i="1"/>
  <c r="C1097" i="1"/>
  <c r="B1097" i="1"/>
  <c r="A1097" i="1"/>
  <c r="U1096" i="1"/>
  <c r="I1096" i="1"/>
  <c r="C1096" i="1"/>
  <c r="B1096" i="1"/>
  <c r="A1096" i="1"/>
  <c r="U1095" i="1"/>
  <c r="I1095" i="1"/>
  <c r="C1095" i="1"/>
  <c r="B1095" i="1"/>
  <c r="A1095" i="1"/>
  <c r="U1094" i="1"/>
  <c r="I1094" i="1"/>
  <c r="C1094" i="1"/>
  <c r="B1094" i="1"/>
  <c r="A1094" i="1"/>
  <c r="U1093" i="1"/>
  <c r="I1093" i="1"/>
  <c r="C1093" i="1"/>
  <c r="B1093" i="1"/>
  <c r="A1093" i="1"/>
  <c r="U1092" i="1"/>
  <c r="I1092" i="1"/>
  <c r="C1092" i="1"/>
  <c r="B1092" i="1"/>
  <c r="A1092" i="1"/>
  <c r="U1091" i="1"/>
  <c r="I1091" i="1"/>
  <c r="C1091" i="1"/>
  <c r="B1091" i="1"/>
  <c r="A1091" i="1"/>
  <c r="U1090" i="1"/>
  <c r="I1090" i="1"/>
  <c r="C1090" i="1"/>
  <c r="B1090" i="1"/>
  <c r="A1090" i="1"/>
  <c r="U1089" i="1"/>
  <c r="I1089" i="1"/>
  <c r="C1089" i="1"/>
  <c r="B1089" i="1"/>
  <c r="A1089" i="1"/>
  <c r="U1088" i="1"/>
  <c r="I1088" i="1"/>
  <c r="C1088" i="1"/>
  <c r="B1088" i="1"/>
  <c r="A1088" i="1"/>
  <c r="U1087" i="1"/>
  <c r="I1087" i="1"/>
  <c r="C1087" i="1"/>
  <c r="B1087" i="1"/>
  <c r="A1087" i="1"/>
  <c r="U1086" i="1"/>
  <c r="I1086" i="1"/>
  <c r="C1086" i="1"/>
  <c r="B1086" i="1"/>
  <c r="A1086" i="1"/>
  <c r="U1085" i="1"/>
  <c r="I1085" i="1"/>
  <c r="C1085" i="1"/>
  <c r="B1085" i="1"/>
  <c r="A1085" i="1"/>
  <c r="U1084" i="1"/>
  <c r="I1084" i="1"/>
  <c r="C1084" i="1"/>
  <c r="B1084" i="1"/>
  <c r="A1084" i="1"/>
  <c r="U1083" i="1"/>
  <c r="I1083" i="1"/>
  <c r="C1083" i="1"/>
  <c r="B1083" i="1"/>
  <c r="A1083" i="1"/>
  <c r="U1082" i="1"/>
  <c r="I1082" i="1"/>
  <c r="C1082" i="1"/>
  <c r="B1082" i="1"/>
  <c r="A1082" i="1"/>
  <c r="U1081" i="1"/>
  <c r="I1081" i="1"/>
  <c r="C1081" i="1"/>
  <c r="B1081" i="1"/>
  <c r="A1081" i="1"/>
  <c r="U1080" i="1"/>
  <c r="I1080" i="1"/>
  <c r="C1080" i="1"/>
  <c r="B1080" i="1"/>
  <c r="A1080" i="1"/>
  <c r="U1079" i="1"/>
  <c r="I1079" i="1"/>
  <c r="C1079" i="1"/>
  <c r="B1079" i="1"/>
  <c r="A1079" i="1"/>
  <c r="U1078" i="1"/>
  <c r="I1078" i="1"/>
  <c r="C1078" i="1"/>
  <c r="B1078" i="1"/>
  <c r="A1078" i="1"/>
  <c r="U1077" i="1"/>
  <c r="I1077" i="1"/>
  <c r="C1077" i="1"/>
  <c r="B1077" i="1"/>
  <c r="A1077" i="1"/>
  <c r="U1076" i="1"/>
  <c r="I1076" i="1"/>
  <c r="C1076" i="1"/>
  <c r="B1076" i="1"/>
  <c r="A1076" i="1"/>
  <c r="U1075" i="1"/>
  <c r="I1075" i="1"/>
  <c r="C1075" i="1"/>
  <c r="B1075" i="1"/>
  <c r="A1075" i="1"/>
  <c r="U1074" i="1"/>
  <c r="I1074" i="1"/>
  <c r="C1074" i="1"/>
  <c r="B1074" i="1"/>
  <c r="A1074" i="1"/>
  <c r="U1073" i="1"/>
  <c r="I1073" i="1"/>
  <c r="C1073" i="1"/>
  <c r="B1073" i="1"/>
  <c r="A1073" i="1"/>
  <c r="U1072" i="1"/>
  <c r="I1072" i="1"/>
  <c r="C1072" i="1"/>
  <c r="B1072" i="1"/>
  <c r="A1072" i="1"/>
  <c r="U1071" i="1"/>
  <c r="I1071" i="1"/>
  <c r="C1071" i="1"/>
  <c r="B1071" i="1"/>
  <c r="A1071" i="1"/>
  <c r="U1070" i="1"/>
  <c r="I1070" i="1"/>
  <c r="C1070" i="1"/>
  <c r="B1070" i="1"/>
  <c r="A1070" i="1"/>
  <c r="U1069" i="1"/>
  <c r="I1069" i="1"/>
  <c r="C1069" i="1"/>
  <c r="B1069" i="1"/>
  <c r="A1069" i="1"/>
  <c r="U1068" i="1"/>
  <c r="I1068" i="1"/>
  <c r="C1068" i="1"/>
  <c r="B1068" i="1"/>
  <c r="A1068" i="1"/>
  <c r="U1067" i="1"/>
  <c r="I1067" i="1"/>
  <c r="C1067" i="1"/>
  <c r="B1067" i="1"/>
  <c r="A1067" i="1"/>
  <c r="U1066" i="1"/>
  <c r="I1066" i="1"/>
  <c r="C1066" i="1"/>
  <c r="B1066" i="1"/>
  <c r="A1066" i="1"/>
  <c r="U1065" i="1"/>
  <c r="I1065" i="1"/>
  <c r="C1065" i="1"/>
  <c r="B1065" i="1"/>
  <c r="A1065" i="1"/>
  <c r="U1064" i="1"/>
  <c r="I1064" i="1"/>
  <c r="C1064" i="1"/>
  <c r="B1064" i="1"/>
  <c r="A1064" i="1"/>
  <c r="U1063" i="1"/>
  <c r="I1063" i="1"/>
  <c r="C1063" i="1"/>
  <c r="B1063" i="1"/>
  <c r="A1063" i="1"/>
  <c r="U1062" i="1"/>
  <c r="I1062" i="1"/>
  <c r="C1062" i="1"/>
  <c r="B1062" i="1"/>
  <c r="A1062" i="1"/>
  <c r="U1061" i="1"/>
  <c r="I1061" i="1"/>
  <c r="C1061" i="1"/>
  <c r="B1061" i="1"/>
  <c r="A1061" i="1"/>
  <c r="U1060" i="1"/>
  <c r="I1060" i="1"/>
  <c r="C1060" i="1"/>
  <c r="B1060" i="1"/>
  <c r="A1060" i="1"/>
  <c r="U1059" i="1"/>
  <c r="I1059" i="1"/>
  <c r="C1059" i="1"/>
  <c r="B1059" i="1"/>
  <c r="A1059" i="1"/>
  <c r="U1058" i="1"/>
  <c r="I1058" i="1"/>
  <c r="C1058" i="1"/>
  <c r="B1058" i="1"/>
  <c r="A1058" i="1"/>
  <c r="U1057" i="1"/>
  <c r="I1057" i="1"/>
  <c r="C1057" i="1"/>
  <c r="B1057" i="1"/>
  <c r="A1057" i="1"/>
  <c r="U1056" i="1"/>
  <c r="I1056" i="1"/>
  <c r="C1056" i="1"/>
  <c r="B1056" i="1"/>
  <c r="A1056" i="1"/>
  <c r="U1055" i="1"/>
  <c r="I1055" i="1"/>
  <c r="C1055" i="1"/>
  <c r="B1055" i="1"/>
  <c r="A1055" i="1"/>
  <c r="U1054" i="1"/>
  <c r="I1054" i="1"/>
  <c r="C1054" i="1"/>
  <c r="B1054" i="1"/>
  <c r="A1054" i="1"/>
  <c r="U1053" i="1"/>
  <c r="I1053" i="1"/>
  <c r="C1053" i="1"/>
  <c r="B1053" i="1"/>
  <c r="A1053" i="1"/>
  <c r="U1052" i="1"/>
  <c r="I1052" i="1"/>
  <c r="C1052" i="1"/>
  <c r="B1052" i="1"/>
  <c r="A1052" i="1"/>
  <c r="U1051" i="1"/>
  <c r="I1051" i="1"/>
  <c r="C1051" i="1"/>
  <c r="B1051" i="1"/>
  <c r="A1051" i="1"/>
  <c r="U1050" i="1"/>
  <c r="I1050" i="1"/>
  <c r="C1050" i="1"/>
  <c r="B1050" i="1"/>
  <c r="A1050" i="1"/>
  <c r="U1049" i="1"/>
  <c r="I1049" i="1"/>
  <c r="C1049" i="1"/>
  <c r="B1049" i="1"/>
  <c r="A1049" i="1"/>
  <c r="U1048" i="1"/>
  <c r="I1048" i="1"/>
  <c r="C1048" i="1"/>
  <c r="B1048" i="1"/>
  <c r="A1048" i="1"/>
  <c r="U1047" i="1"/>
  <c r="I1047" i="1"/>
  <c r="C1047" i="1"/>
  <c r="B1047" i="1"/>
  <c r="A1047" i="1"/>
  <c r="U1046" i="1"/>
  <c r="I1046" i="1"/>
  <c r="C1046" i="1"/>
  <c r="B1046" i="1"/>
  <c r="A1046" i="1"/>
  <c r="U1045" i="1"/>
  <c r="I1045" i="1"/>
  <c r="C1045" i="1"/>
  <c r="B1045" i="1"/>
  <c r="A1045" i="1"/>
  <c r="U1044" i="1"/>
  <c r="I1044" i="1"/>
  <c r="C1044" i="1"/>
  <c r="B1044" i="1"/>
  <c r="A1044" i="1"/>
  <c r="U1043" i="1"/>
  <c r="I1043" i="1"/>
  <c r="C1043" i="1"/>
  <c r="B1043" i="1"/>
  <c r="A1043" i="1"/>
  <c r="U1042" i="1"/>
  <c r="I1042" i="1"/>
  <c r="C1042" i="1"/>
  <c r="B1042" i="1"/>
  <c r="A1042" i="1"/>
  <c r="U1041" i="1"/>
  <c r="I1041" i="1"/>
  <c r="B1041" i="1"/>
  <c r="A1041" i="1"/>
  <c r="U1040" i="1"/>
  <c r="I1040" i="1"/>
  <c r="B1040" i="1"/>
  <c r="A1040" i="1"/>
  <c r="U1039" i="1"/>
  <c r="I1039" i="1"/>
  <c r="C1039" i="1"/>
  <c r="B1039" i="1"/>
  <c r="A1039" i="1"/>
  <c r="U1038" i="1"/>
  <c r="I1038" i="1"/>
  <c r="C1038" i="1"/>
  <c r="B1038" i="1"/>
  <c r="A1038" i="1"/>
  <c r="U1037" i="1"/>
  <c r="I1037" i="1"/>
  <c r="C1037" i="1"/>
  <c r="B1037" i="1"/>
  <c r="A1037" i="1"/>
  <c r="U1036" i="1"/>
  <c r="I1036" i="1"/>
  <c r="C1036" i="1"/>
  <c r="B1036" i="1"/>
  <c r="A1036" i="1"/>
  <c r="U1035" i="1"/>
  <c r="I1035" i="1"/>
  <c r="C1035" i="1"/>
  <c r="B1035" i="1"/>
  <c r="A1035" i="1"/>
  <c r="U1034" i="1"/>
  <c r="I1034" i="1"/>
  <c r="C1034" i="1"/>
  <c r="B1034" i="1"/>
  <c r="A1034" i="1"/>
  <c r="U1033" i="1"/>
  <c r="I1033" i="1"/>
  <c r="C1033" i="1"/>
  <c r="B1033" i="1"/>
  <c r="A1033" i="1"/>
  <c r="U1032" i="1"/>
  <c r="I1032" i="1"/>
  <c r="C1032" i="1"/>
  <c r="B1032" i="1"/>
  <c r="A1032" i="1"/>
  <c r="U1031" i="1"/>
  <c r="I1031" i="1"/>
  <c r="C1031" i="1"/>
  <c r="B1031" i="1"/>
  <c r="A1031" i="1"/>
  <c r="U1030" i="1"/>
  <c r="I1030" i="1"/>
  <c r="C1030" i="1"/>
  <c r="B1030" i="1"/>
  <c r="A1030" i="1"/>
  <c r="U1029" i="1"/>
  <c r="I1029" i="1"/>
  <c r="C1029" i="1"/>
  <c r="B1029" i="1"/>
  <c r="A1029" i="1"/>
  <c r="U1028" i="1"/>
  <c r="I1028" i="1"/>
  <c r="C1028" i="1"/>
  <c r="B1028" i="1"/>
  <c r="A1028" i="1"/>
  <c r="U1027" i="1"/>
  <c r="I1027" i="1"/>
  <c r="C1027" i="1"/>
  <c r="B1027" i="1"/>
  <c r="A1027" i="1"/>
  <c r="U1026" i="1"/>
  <c r="I1026" i="1"/>
  <c r="C1026" i="1"/>
  <c r="B1026" i="1"/>
  <c r="A1026" i="1"/>
  <c r="U1025" i="1"/>
  <c r="I1025" i="1"/>
  <c r="C1025" i="1"/>
  <c r="B1025" i="1"/>
  <c r="A1025" i="1"/>
  <c r="U1024" i="1"/>
  <c r="I1024" i="1"/>
  <c r="C1024" i="1"/>
  <c r="B1024" i="1"/>
  <c r="A1024" i="1"/>
  <c r="U1023" i="1"/>
  <c r="I1023" i="1"/>
  <c r="C1023" i="1"/>
  <c r="B1023" i="1"/>
  <c r="A1023" i="1"/>
  <c r="U1022" i="1"/>
  <c r="I1022" i="1"/>
  <c r="C1022" i="1"/>
  <c r="B1022" i="1"/>
  <c r="A1022" i="1"/>
  <c r="U1021" i="1"/>
  <c r="I1021" i="1"/>
  <c r="C1021" i="1"/>
  <c r="B1021" i="1"/>
  <c r="A1021" i="1"/>
  <c r="U1020" i="1"/>
  <c r="I1020" i="1"/>
  <c r="C1020" i="1"/>
  <c r="B1020" i="1"/>
  <c r="A1020" i="1"/>
  <c r="U1019" i="1"/>
  <c r="I1019" i="1"/>
  <c r="C1019" i="1"/>
  <c r="B1019" i="1"/>
  <c r="A1019" i="1"/>
  <c r="U1018" i="1"/>
  <c r="I1018" i="1"/>
  <c r="C1018" i="1"/>
  <c r="B1018" i="1"/>
  <c r="A1018" i="1"/>
  <c r="U1017" i="1"/>
  <c r="I1017" i="1"/>
  <c r="C1017" i="1"/>
  <c r="B1017" i="1"/>
  <c r="A1017" i="1"/>
  <c r="U1016" i="1"/>
  <c r="I1016" i="1"/>
  <c r="C1016" i="1"/>
  <c r="B1016" i="1"/>
  <c r="A1016" i="1"/>
  <c r="U1015" i="1"/>
  <c r="I1015" i="1"/>
  <c r="C1015" i="1"/>
  <c r="B1015" i="1"/>
  <c r="A1015" i="1"/>
  <c r="U1014" i="1"/>
  <c r="I1014" i="1"/>
  <c r="C1014" i="1"/>
  <c r="B1014" i="1"/>
  <c r="A1014" i="1"/>
  <c r="U1013" i="1"/>
  <c r="I1013" i="1"/>
  <c r="C1013" i="1"/>
  <c r="B1013" i="1"/>
  <c r="A1013" i="1"/>
  <c r="U1012" i="1"/>
  <c r="I1012" i="1"/>
  <c r="C1012" i="1"/>
  <c r="B1012" i="1"/>
  <c r="A1012" i="1"/>
  <c r="U1011" i="1"/>
  <c r="I1011" i="1"/>
  <c r="C1011" i="1"/>
  <c r="B1011" i="1"/>
  <c r="A1011" i="1"/>
  <c r="U1010" i="1"/>
  <c r="I1010" i="1"/>
  <c r="C1010" i="1"/>
  <c r="B1010" i="1"/>
  <c r="A1010" i="1"/>
  <c r="U1009" i="1"/>
  <c r="I1009" i="1"/>
  <c r="C1009" i="1"/>
  <c r="B1009" i="1"/>
  <c r="A1009" i="1"/>
  <c r="U1008" i="1"/>
  <c r="I1008" i="1"/>
  <c r="C1008" i="1"/>
  <c r="B1008" i="1"/>
  <c r="A1008" i="1"/>
  <c r="U1007" i="1"/>
  <c r="I1007" i="1"/>
  <c r="C1007" i="1"/>
  <c r="B1007" i="1"/>
  <c r="A1007" i="1"/>
  <c r="U1006" i="1"/>
  <c r="I1006" i="1"/>
  <c r="C1006" i="1"/>
  <c r="B1006" i="1"/>
  <c r="A1006" i="1"/>
  <c r="U1005" i="1"/>
  <c r="I1005" i="1"/>
  <c r="C1005" i="1"/>
  <c r="B1005" i="1"/>
  <c r="A1005" i="1"/>
  <c r="U1004" i="1"/>
  <c r="I1004" i="1"/>
  <c r="C1004" i="1"/>
  <c r="B1004" i="1"/>
  <c r="A1004" i="1"/>
  <c r="U1003" i="1"/>
  <c r="I1003" i="1"/>
  <c r="C1003" i="1"/>
  <c r="B1003" i="1"/>
  <c r="A1003" i="1"/>
  <c r="U1002" i="1"/>
  <c r="I1002" i="1"/>
  <c r="C1002" i="1"/>
  <c r="B1002" i="1"/>
  <c r="A1002" i="1"/>
  <c r="U1001" i="1"/>
  <c r="I1001" i="1"/>
  <c r="C1001" i="1"/>
  <c r="B1001" i="1"/>
  <c r="A1001" i="1"/>
  <c r="U1000" i="1"/>
  <c r="I1000" i="1"/>
  <c r="C1000" i="1"/>
  <c r="B1000" i="1"/>
  <c r="A1000" i="1"/>
  <c r="U999" i="1"/>
  <c r="I999" i="1"/>
  <c r="C999" i="1"/>
  <c r="B999" i="1"/>
  <c r="A999" i="1"/>
  <c r="U998" i="1"/>
  <c r="I998" i="1"/>
  <c r="C998" i="1"/>
  <c r="B998" i="1"/>
  <c r="A998" i="1"/>
  <c r="U997" i="1"/>
  <c r="I997" i="1"/>
  <c r="C997" i="1"/>
  <c r="B997" i="1"/>
  <c r="A997" i="1"/>
  <c r="U996" i="1"/>
  <c r="I996" i="1"/>
  <c r="C996" i="1"/>
  <c r="B996" i="1"/>
  <c r="A996" i="1"/>
  <c r="U995" i="1"/>
  <c r="I995" i="1"/>
  <c r="C995" i="1"/>
  <c r="B995" i="1"/>
  <c r="A995" i="1"/>
  <c r="U994" i="1"/>
  <c r="I994" i="1"/>
  <c r="C994" i="1"/>
  <c r="B994" i="1"/>
  <c r="A994" i="1"/>
  <c r="U993" i="1"/>
  <c r="I993" i="1"/>
  <c r="C993" i="1"/>
  <c r="B993" i="1"/>
  <c r="A993" i="1"/>
  <c r="U992" i="1"/>
  <c r="I992" i="1"/>
  <c r="C992" i="1"/>
  <c r="B992" i="1"/>
  <c r="A992" i="1"/>
  <c r="U991" i="1"/>
  <c r="I991" i="1"/>
  <c r="C991" i="1"/>
  <c r="B991" i="1"/>
  <c r="A991" i="1"/>
  <c r="U990" i="1"/>
  <c r="I990" i="1"/>
  <c r="C990" i="1"/>
  <c r="B990" i="1"/>
  <c r="A990" i="1"/>
  <c r="U989" i="1"/>
  <c r="I989" i="1"/>
  <c r="C989" i="1"/>
  <c r="B989" i="1"/>
  <c r="A989" i="1"/>
  <c r="U988" i="1"/>
  <c r="I988" i="1"/>
  <c r="C988" i="1"/>
  <c r="B988" i="1"/>
  <c r="A988" i="1"/>
  <c r="U987" i="1"/>
  <c r="I987" i="1"/>
  <c r="C987" i="1"/>
  <c r="B987" i="1"/>
  <c r="A987" i="1"/>
  <c r="U986" i="1"/>
  <c r="I986" i="1"/>
  <c r="C986" i="1"/>
  <c r="B986" i="1"/>
  <c r="A986" i="1"/>
  <c r="U985" i="1"/>
  <c r="I985" i="1"/>
  <c r="C985" i="1"/>
  <c r="B985" i="1"/>
  <c r="A985" i="1"/>
  <c r="U984" i="1"/>
  <c r="I984" i="1"/>
  <c r="C984" i="1"/>
  <c r="B984" i="1"/>
  <c r="A984" i="1"/>
  <c r="U983" i="1"/>
  <c r="I983" i="1"/>
  <c r="C983" i="1"/>
  <c r="B983" i="1"/>
  <c r="A983" i="1"/>
  <c r="U982" i="1"/>
  <c r="I982" i="1"/>
  <c r="C982" i="1"/>
  <c r="B982" i="1"/>
  <c r="A982" i="1"/>
  <c r="U981" i="1"/>
  <c r="I981" i="1"/>
  <c r="C981" i="1"/>
  <c r="B981" i="1"/>
  <c r="A981" i="1"/>
  <c r="U980" i="1"/>
  <c r="I980" i="1"/>
  <c r="C980" i="1"/>
  <c r="B980" i="1"/>
  <c r="A980" i="1"/>
  <c r="U979" i="1"/>
  <c r="I979" i="1"/>
  <c r="C979" i="1"/>
  <c r="B979" i="1"/>
  <c r="A979" i="1"/>
  <c r="U978" i="1"/>
  <c r="I978" i="1"/>
  <c r="C978" i="1"/>
  <c r="B978" i="1"/>
  <c r="A978" i="1"/>
  <c r="U977" i="1"/>
  <c r="I977" i="1"/>
  <c r="C977" i="1"/>
  <c r="B977" i="1"/>
  <c r="A977" i="1"/>
  <c r="U976" i="1"/>
  <c r="I976" i="1"/>
  <c r="C976" i="1"/>
  <c r="B976" i="1"/>
  <c r="A976" i="1"/>
  <c r="U975" i="1"/>
  <c r="I975" i="1"/>
  <c r="C975" i="1"/>
  <c r="B975" i="1"/>
  <c r="A975" i="1"/>
  <c r="U974" i="1"/>
  <c r="I974" i="1"/>
  <c r="C974" i="1"/>
  <c r="B974" i="1"/>
  <c r="A974" i="1"/>
  <c r="U973" i="1"/>
  <c r="I973" i="1"/>
  <c r="C973" i="1"/>
  <c r="B973" i="1"/>
  <c r="A973" i="1"/>
  <c r="U972" i="1"/>
  <c r="I972" i="1"/>
  <c r="C972" i="1"/>
  <c r="B972" i="1"/>
  <c r="A972" i="1"/>
  <c r="U971" i="1"/>
  <c r="I971" i="1"/>
  <c r="C971" i="1"/>
  <c r="B971" i="1"/>
  <c r="A971" i="1"/>
  <c r="U970" i="1"/>
  <c r="I970" i="1"/>
  <c r="C970" i="1"/>
  <c r="B970" i="1"/>
  <c r="A970" i="1"/>
  <c r="U969" i="1"/>
  <c r="I969" i="1"/>
  <c r="C969" i="1"/>
  <c r="B969" i="1"/>
  <c r="A969" i="1"/>
  <c r="U968" i="1"/>
  <c r="I968" i="1"/>
  <c r="C968" i="1"/>
  <c r="B968" i="1"/>
  <c r="A968" i="1"/>
  <c r="U967" i="1"/>
  <c r="I967" i="1"/>
  <c r="C967" i="1"/>
  <c r="B967" i="1"/>
  <c r="A967" i="1"/>
  <c r="U966" i="1"/>
  <c r="I966" i="1"/>
  <c r="C966" i="1"/>
  <c r="B966" i="1"/>
  <c r="A966" i="1"/>
  <c r="U965" i="1"/>
  <c r="I965" i="1"/>
  <c r="C965" i="1"/>
  <c r="B965" i="1"/>
  <c r="A965" i="1"/>
  <c r="U964" i="1"/>
  <c r="I964" i="1"/>
  <c r="C964" i="1"/>
  <c r="B964" i="1"/>
  <c r="A964" i="1"/>
  <c r="U963" i="1"/>
  <c r="I963" i="1"/>
  <c r="C963" i="1"/>
  <c r="B963" i="1"/>
  <c r="A963" i="1"/>
  <c r="U962" i="1"/>
  <c r="I962" i="1"/>
  <c r="C962" i="1"/>
  <c r="B962" i="1"/>
  <c r="A962" i="1"/>
  <c r="U961" i="1"/>
  <c r="I961" i="1"/>
  <c r="C961" i="1"/>
  <c r="B961" i="1"/>
  <c r="A961" i="1"/>
  <c r="U960" i="1"/>
  <c r="I960" i="1"/>
  <c r="C960" i="1"/>
  <c r="B960" i="1"/>
  <c r="A960" i="1"/>
  <c r="U959" i="1"/>
  <c r="I959" i="1"/>
  <c r="C959" i="1"/>
  <c r="B959" i="1"/>
  <c r="A959" i="1"/>
  <c r="U958" i="1"/>
  <c r="I958" i="1"/>
  <c r="C958" i="1"/>
  <c r="B958" i="1"/>
  <c r="A958" i="1"/>
  <c r="U957" i="1"/>
  <c r="I957" i="1"/>
  <c r="C957" i="1"/>
  <c r="B957" i="1"/>
  <c r="A957" i="1"/>
  <c r="U956" i="1"/>
  <c r="I956" i="1"/>
  <c r="C956" i="1"/>
  <c r="B956" i="1"/>
  <c r="A956" i="1"/>
  <c r="U955" i="1"/>
  <c r="I955" i="1"/>
  <c r="C955" i="1"/>
  <c r="B955" i="1"/>
  <c r="A955" i="1"/>
  <c r="U954" i="1"/>
  <c r="I954" i="1"/>
  <c r="C954" i="1"/>
  <c r="B954" i="1"/>
  <c r="A954" i="1"/>
  <c r="U953" i="1"/>
  <c r="I953" i="1"/>
  <c r="C953" i="1"/>
  <c r="B953" i="1"/>
  <c r="A953" i="1"/>
  <c r="U952" i="1"/>
  <c r="I952" i="1"/>
  <c r="C952" i="1"/>
  <c r="B952" i="1"/>
  <c r="A952" i="1"/>
  <c r="U951" i="1"/>
  <c r="I951" i="1"/>
  <c r="C951" i="1"/>
  <c r="B951" i="1"/>
  <c r="A951" i="1"/>
  <c r="U950" i="1"/>
  <c r="I950" i="1"/>
  <c r="C950" i="1"/>
  <c r="B950" i="1"/>
  <c r="A950" i="1"/>
  <c r="U949" i="1"/>
  <c r="I949" i="1"/>
  <c r="C949" i="1"/>
  <c r="B949" i="1"/>
  <c r="A949" i="1"/>
  <c r="U948" i="1"/>
  <c r="I948" i="1"/>
  <c r="C948" i="1"/>
  <c r="B948" i="1"/>
  <c r="A948" i="1"/>
  <c r="U947" i="1"/>
  <c r="I947" i="1"/>
  <c r="C947" i="1"/>
  <c r="B947" i="1"/>
  <c r="A947" i="1"/>
  <c r="U946" i="1"/>
  <c r="I946" i="1"/>
  <c r="C946" i="1"/>
  <c r="B946" i="1"/>
  <c r="A946" i="1"/>
  <c r="U945" i="1"/>
  <c r="I945" i="1"/>
  <c r="C945" i="1"/>
  <c r="B945" i="1"/>
  <c r="A945" i="1"/>
  <c r="U944" i="1"/>
  <c r="I944" i="1"/>
  <c r="C944" i="1"/>
  <c r="B944" i="1"/>
  <c r="A944" i="1"/>
  <c r="U943" i="1"/>
  <c r="I943" i="1"/>
  <c r="C943" i="1"/>
  <c r="B943" i="1"/>
  <c r="A943" i="1"/>
  <c r="U942" i="1"/>
  <c r="I942" i="1"/>
  <c r="C942" i="1"/>
  <c r="B942" i="1"/>
  <c r="A942" i="1"/>
  <c r="U941" i="1"/>
  <c r="I941" i="1"/>
  <c r="C941" i="1"/>
  <c r="B941" i="1"/>
  <c r="A941" i="1"/>
  <c r="U940" i="1"/>
  <c r="I940" i="1"/>
  <c r="C940" i="1"/>
  <c r="B940" i="1"/>
  <c r="A940" i="1"/>
  <c r="U939" i="1"/>
  <c r="I939" i="1"/>
  <c r="C939" i="1"/>
  <c r="B939" i="1"/>
  <c r="A939" i="1"/>
  <c r="U938" i="1"/>
  <c r="I938" i="1"/>
  <c r="C938" i="1"/>
  <c r="B938" i="1"/>
  <c r="A938" i="1"/>
  <c r="U937" i="1"/>
  <c r="I937" i="1"/>
  <c r="C937" i="1"/>
  <c r="B937" i="1"/>
  <c r="A937" i="1"/>
  <c r="U936" i="1"/>
  <c r="I936" i="1"/>
  <c r="C936" i="1"/>
  <c r="B936" i="1"/>
  <c r="A936" i="1"/>
  <c r="U935" i="1"/>
  <c r="I935" i="1"/>
  <c r="C935" i="1"/>
  <c r="B935" i="1"/>
  <c r="A935" i="1"/>
  <c r="U934" i="1"/>
  <c r="I934" i="1"/>
  <c r="C934" i="1"/>
  <c r="B934" i="1"/>
  <c r="A934" i="1"/>
  <c r="U933" i="1"/>
  <c r="I933" i="1"/>
  <c r="C933" i="1"/>
  <c r="B933" i="1"/>
  <c r="A933" i="1"/>
  <c r="U932" i="1"/>
  <c r="I932" i="1"/>
  <c r="C932" i="1"/>
  <c r="B932" i="1"/>
  <c r="A932" i="1"/>
  <c r="U931" i="1"/>
  <c r="I931" i="1"/>
  <c r="C931" i="1"/>
  <c r="B931" i="1"/>
  <c r="A931" i="1"/>
  <c r="U930" i="1"/>
  <c r="I930" i="1"/>
  <c r="C930" i="1"/>
  <c r="B930" i="1"/>
  <c r="A930" i="1"/>
  <c r="U929" i="1"/>
  <c r="I929" i="1"/>
  <c r="C929" i="1"/>
  <c r="B929" i="1"/>
  <c r="A929" i="1"/>
  <c r="U928" i="1"/>
  <c r="I928" i="1"/>
  <c r="C928" i="1"/>
  <c r="B928" i="1"/>
  <c r="A928" i="1"/>
  <c r="U927" i="1"/>
  <c r="I927" i="1"/>
  <c r="C927" i="1"/>
  <c r="B927" i="1"/>
  <c r="A927" i="1"/>
  <c r="U926" i="1"/>
  <c r="I926" i="1"/>
  <c r="C926" i="1"/>
  <c r="B926" i="1"/>
  <c r="A926" i="1"/>
  <c r="U925" i="1"/>
  <c r="I925" i="1"/>
  <c r="C925" i="1"/>
  <c r="B925" i="1"/>
  <c r="A925" i="1"/>
  <c r="U924" i="1"/>
  <c r="I924" i="1"/>
  <c r="C924" i="1"/>
  <c r="B924" i="1"/>
  <c r="A924" i="1"/>
  <c r="U923" i="1"/>
  <c r="I923" i="1"/>
  <c r="C923" i="1"/>
  <c r="B923" i="1"/>
  <c r="A923" i="1"/>
  <c r="U922" i="1"/>
  <c r="I922" i="1"/>
  <c r="C922" i="1"/>
  <c r="B922" i="1"/>
  <c r="A922" i="1"/>
  <c r="U921" i="1"/>
  <c r="I921" i="1"/>
  <c r="C921" i="1"/>
  <c r="B921" i="1"/>
  <c r="A921" i="1"/>
  <c r="U920" i="1"/>
  <c r="I920" i="1"/>
  <c r="C920" i="1"/>
  <c r="B920" i="1"/>
  <c r="A920" i="1"/>
  <c r="U919" i="1"/>
  <c r="I919" i="1"/>
  <c r="C919" i="1"/>
  <c r="B919" i="1"/>
  <c r="A919" i="1"/>
  <c r="U918" i="1"/>
  <c r="I918" i="1"/>
  <c r="C918" i="1"/>
  <c r="B918" i="1"/>
  <c r="A918" i="1"/>
  <c r="U917" i="1"/>
  <c r="I917" i="1"/>
  <c r="C917" i="1"/>
  <c r="B917" i="1"/>
  <c r="A917" i="1"/>
  <c r="U916" i="1"/>
  <c r="I916" i="1"/>
  <c r="C916" i="1"/>
  <c r="B916" i="1"/>
  <c r="A916" i="1"/>
  <c r="U915" i="1"/>
  <c r="I915" i="1"/>
  <c r="C915" i="1"/>
  <c r="B915" i="1"/>
  <c r="A915" i="1"/>
  <c r="U914" i="1"/>
  <c r="I914" i="1"/>
  <c r="C914" i="1"/>
  <c r="B914" i="1"/>
  <c r="A914" i="1"/>
  <c r="U913" i="1"/>
  <c r="I913" i="1"/>
  <c r="C913" i="1"/>
  <c r="B913" i="1"/>
  <c r="A913" i="1"/>
  <c r="U912" i="1"/>
  <c r="I912" i="1"/>
  <c r="C912" i="1"/>
  <c r="B912" i="1"/>
  <c r="A912" i="1"/>
  <c r="U911" i="1"/>
  <c r="I911" i="1"/>
  <c r="C911" i="1"/>
  <c r="B911" i="1"/>
  <c r="A911" i="1"/>
  <c r="U910" i="1"/>
  <c r="I910" i="1"/>
  <c r="C910" i="1"/>
  <c r="B910" i="1"/>
  <c r="A910" i="1"/>
  <c r="U909" i="1"/>
  <c r="I909" i="1"/>
  <c r="C909" i="1"/>
  <c r="B909" i="1"/>
  <c r="A909" i="1"/>
  <c r="U908" i="1"/>
  <c r="I908" i="1"/>
  <c r="C908" i="1"/>
  <c r="B908" i="1"/>
  <c r="A908" i="1"/>
  <c r="U907" i="1"/>
  <c r="I907" i="1"/>
  <c r="C907" i="1"/>
  <c r="B907" i="1"/>
  <c r="A907" i="1"/>
  <c r="U906" i="1"/>
  <c r="I906" i="1"/>
  <c r="C906" i="1"/>
  <c r="B906" i="1"/>
  <c r="A906" i="1"/>
  <c r="U905" i="1"/>
  <c r="I905" i="1"/>
  <c r="C905" i="1"/>
  <c r="B905" i="1"/>
  <c r="A905" i="1"/>
  <c r="U904" i="1"/>
  <c r="I904" i="1"/>
  <c r="C904" i="1"/>
  <c r="B904" i="1"/>
  <c r="A904" i="1"/>
  <c r="U903" i="1"/>
  <c r="I903" i="1"/>
  <c r="C903" i="1"/>
  <c r="B903" i="1"/>
  <c r="A903" i="1"/>
  <c r="U902" i="1"/>
  <c r="I902" i="1"/>
  <c r="C902" i="1"/>
  <c r="B902" i="1"/>
  <c r="A902" i="1"/>
  <c r="U901" i="1"/>
  <c r="I901" i="1"/>
  <c r="C901" i="1"/>
  <c r="B901" i="1"/>
  <c r="A901" i="1"/>
  <c r="U900" i="1"/>
  <c r="I900" i="1"/>
  <c r="C900" i="1"/>
  <c r="B900" i="1"/>
  <c r="A900" i="1"/>
  <c r="U899" i="1"/>
  <c r="I899" i="1"/>
  <c r="C899" i="1"/>
  <c r="B899" i="1"/>
  <c r="A899" i="1"/>
  <c r="U898" i="1"/>
  <c r="I898" i="1"/>
  <c r="C898" i="1"/>
  <c r="B898" i="1"/>
  <c r="A898" i="1"/>
  <c r="U897" i="1"/>
  <c r="I897" i="1"/>
  <c r="C897" i="1"/>
  <c r="B897" i="1"/>
  <c r="A897" i="1"/>
  <c r="U896" i="1"/>
  <c r="I896" i="1"/>
  <c r="C896" i="1"/>
  <c r="B896" i="1"/>
  <c r="A896" i="1"/>
  <c r="U895" i="1"/>
  <c r="I895" i="1"/>
  <c r="C895" i="1"/>
  <c r="B895" i="1"/>
  <c r="A895" i="1"/>
  <c r="U894" i="1"/>
  <c r="I894" i="1"/>
  <c r="C894" i="1"/>
  <c r="B894" i="1"/>
  <c r="A894" i="1"/>
  <c r="U893" i="1"/>
  <c r="I893" i="1"/>
  <c r="C893" i="1"/>
  <c r="B893" i="1"/>
  <c r="A893" i="1"/>
  <c r="U892" i="1"/>
  <c r="I892" i="1"/>
  <c r="C892" i="1"/>
  <c r="B892" i="1"/>
  <c r="A892" i="1"/>
  <c r="U891" i="1"/>
  <c r="I891" i="1"/>
  <c r="C891" i="1"/>
  <c r="B891" i="1"/>
  <c r="A891" i="1"/>
  <c r="U890" i="1"/>
  <c r="I890" i="1"/>
  <c r="C890" i="1"/>
  <c r="B890" i="1"/>
  <c r="A890" i="1"/>
  <c r="U889" i="1"/>
  <c r="I889" i="1"/>
  <c r="C889" i="1"/>
  <c r="B889" i="1"/>
  <c r="A889" i="1"/>
  <c r="U888" i="1"/>
  <c r="I888" i="1"/>
  <c r="C888" i="1"/>
  <c r="B888" i="1"/>
  <c r="A888" i="1"/>
  <c r="U887" i="1"/>
  <c r="I887" i="1"/>
  <c r="C887" i="1"/>
  <c r="B887" i="1"/>
  <c r="A887" i="1"/>
  <c r="U886" i="1"/>
  <c r="I886" i="1"/>
  <c r="C886" i="1"/>
  <c r="B886" i="1"/>
  <c r="A886" i="1"/>
  <c r="U885" i="1"/>
  <c r="I885" i="1"/>
  <c r="C885" i="1"/>
  <c r="B885" i="1"/>
  <c r="A885" i="1"/>
  <c r="U884" i="1"/>
  <c r="I884" i="1"/>
  <c r="C884" i="1"/>
  <c r="B884" i="1"/>
  <c r="A884" i="1"/>
  <c r="U883" i="1"/>
  <c r="I883" i="1"/>
  <c r="C883" i="1"/>
  <c r="B883" i="1"/>
  <c r="A883" i="1"/>
  <c r="U882" i="1"/>
  <c r="I882" i="1"/>
  <c r="C882" i="1"/>
  <c r="B882" i="1"/>
  <c r="A882" i="1"/>
  <c r="U881" i="1"/>
  <c r="I881" i="1"/>
  <c r="C881" i="1"/>
  <c r="B881" i="1"/>
  <c r="A881" i="1"/>
  <c r="U880" i="1"/>
  <c r="I880" i="1"/>
  <c r="C880" i="1"/>
  <c r="B880" i="1"/>
  <c r="A880" i="1"/>
  <c r="U879" i="1"/>
  <c r="I879" i="1"/>
  <c r="C879" i="1"/>
  <c r="B879" i="1"/>
  <c r="A879" i="1"/>
  <c r="U878" i="1"/>
  <c r="I878" i="1"/>
  <c r="C878" i="1"/>
  <c r="B878" i="1"/>
  <c r="A878" i="1"/>
  <c r="U877" i="1"/>
  <c r="I877" i="1"/>
  <c r="C877" i="1"/>
  <c r="B877" i="1"/>
  <c r="A877" i="1"/>
  <c r="U876" i="1"/>
  <c r="I876" i="1"/>
  <c r="C876" i="1"/>
  <c r="B876" i="1"/>
  <c r="A876" i="1"/>
  <c r="U875" i="1"/>
  <c r="I875" i="1"/>
  <c r="C875" i="1"/>
  <c r="B875" i="1"/>
  <c r="A875" i="1"/>
  <c r="U874" i="1"/>
  <c r="I874" i="1"/>
  <c r="C874" i="1"/>
  <c r="B874" i="1"/>
  <c r="A874" i="1"/>
  <c r="U873" i="1"/>
  <c r="I873" i="1"/>
  <c r="C873" i="1"/>
  <c r="B873" i="1"/>
  <c r="A873" i="1"/>
  <c r="U872" i="1"/>
  <c r="I872" i="1"/>
  <c r="C872" i="1"/>
  <c r="B872" i="1"/>
  <c r="A872" i="1"/>
  <c r="U871" i="1"/>
  <c r="I871" i="1"/>
  <c r="C871" i="1"/>
  <c r="B871" i="1"/>
  <c r="A871" i="1"/>
  <c r="U870" i="1"/>
  <c r="I870" i="1"/>
  <c r="C870" i="1"/>
  <c r="B870" i="1"/>
  <c r="A870" i="1"/>
  <c r="U869" i="1"/>
  <c r="I869" i="1"/>
  <c r="C869" i="1"/>
  <c r="B869" i="1"/>
  <c r="A869" i="1"/>
  <c r="U868" i="1"/>
  <c r="I868" i="1"/>
  <c r="C868" i="1"/>
  <c r="B868" i="1"/>
  <c r="A868" i="1"/>
  <c r="U867" i="1"/>
  <c r="I867" i="1"/>
  <c r="C867" i="1"/>
  <c r="B867" i="1"/>
  <c r="A867" i="1"/>
  <c r="U866" i="1"/>
  <c r="I866" i="1"/>
  <c r="C866" i="1"/>
  <c r="B866" i="1"/>
  <c r="A866" i="1"/>
  <c r="U865" i="1"/>
  <c r="I865" i="1"/>
  <c r="C865" i="1"/>
  <c r="B865" i="1"/>
  <c r="A865" i="1"/>
  <c r="U864" i="1"/>
  <c r="I864" i="1"/>
  <c r="C864" i="1"/>
  <c r="B864" i="1"/>
  <c r="A864" i="1"/>
  <c r="U863" i="1"/>
  <c r="I863" i="1"/>
  <c r="C863" i="1"/>
  <c r="B863" i="1"/>
  <c r="A863" i="1"/>
  <c r="U862" i="1"/>
  <c r="I862" i="1"/>
  <c r="C862" i="1"/>
  <c r="B862" i="1"/>
  <c r="A862" i="1"/>
  <c r="U861" i="1"/>
  <c r="I861" i="1"/>
  <c r="C861" i="1"/>
  <c r="B861" i="1"/>
  <c r="A861" i="1"/>
  <c r="U860" i="1"/>
  <c r="I860" i="1"/>
  <c r="C860" i="1"/>
  <c r="B860" i="1"/>
  <c r="A860" i="1"/>
  <c r="U859" i="1"/>
  <c r="I859" i="1"/>
  <c r="C859" i="1"/>
  <c r="B859" i="1"/>
  <c r="A859" i="1"/>
  <c r="U858" i="1"/>
  <c r="I858" i="1"/>
  <c r="C858" i="1"/>
  <c r="B858" i="1"/>
  <c r="A858" i="1"/>
  <c r="U857" i="1"/>
  <c r="I857" i="1"/>
  <c r="C857" i="1"/>
  <c r="B857" i="1"/>
  <c r="A857" i="1"/>
  <c r="U856" i="1"/>
  <c r="I856" i="1"/>
  <c r="C856" i="1"/>
  <c r="B856" i="1"/>
  <c r="A856" i="1"/>
  <c r="U855" i="1"/>
  <c r="I855" i="1"/>
  <c r="C855" i="1"/>
  <c r="B855" i="1"/>
  <c r="A855" i="1"/>
  <c r="U854" i="1"/>
  <c r="I854" i="1"/>
  <c r="C854" i="1"/>
  <c r="B854" i="1"/>
  <c r="A854" i="1"/>
  <c r="U853" i="1"/>
  <c r="I853" i="1"/>
  <c r="C853" i="1"/>
  <c r="B853" i="1"/>
  <c r="A853" i="1"/>
  <c r="U852" i="1"/>
  <c r="I852" i="1"/>
  <c r="C852" i="1"/>
  <c r="B852" i="1"/>
  <c r="A852" i="1"/>
  <c r="U851" i="1"/>
  <c r="I851" i="1"/>
  <c r="C851" i="1"/>
  <c r="B851" i="1"/>
  <c r="A851" i="1"/>
  <c r="U850" i="1"/>
  <c r="I850" i="1"/>
  <c r="C850" i="1"/>
  <c r="B850" i="1"/>
  <c r="A850" i="1"/>
  <c r="U849" i="1"/>
  <c r="I849" i="1"/>
  <c r="C849" i="1"/>
  <c r="B849" i="1"/>
  <c r="A849" i="1"/>
  <c r="U848" i="1"/>
  <c r="I848" i="1"/>
  <c r="C848" i="1"/>
  <c r="B848" i="1"/>
  <c r="A848" i="1"/>
  <c r="U847" i="1"/>
  <c r="I847" i="1"/>
  <c r="C847" i="1"/>
  <c r="B847" i="1"/>
  <c r="A847" i="1"/>
  <c r="U846" i="1"/>
  <c r="I846" i="1"/>
  <c r="C846" i="1"/>
  <c r="B846" i="1"/>
  <c r="A846" i="1"/>
  <c r="U845" i="1"/>
  <c r="I845" i="1"/>
  <c r="C845" i="1"/>
  <c r="B845" i="1"/>
  <c r="A845" i="1"/>
  <c r="U844" i="1"/>
  <c r="I844" i="1"/>
  <c r="C844" i="1"/>
  <c r="B844" i="1"/>
  <c r="A844" i="1"/>
  <c r="U843" i="1"/>
  <c r="I843" i="1"/>
  <c r="C843" i="1"/>
  <c r="B843" i="1"/>
  <c r="A843" i="1"/>
  <c r="U842" i="1"/>
  <c r="I842" i="1"/>
  <c r="C842" i="1"/>
  <c r="B842" i="1"/>
  <c r="A842" i="1"/>
  <c r="U841" i="1"/>
  <c r="I841" i="1"/>
  <c r="C841" i="1"/>
  <c r="B841" i="1"/>
  <c r="A841" i="1"/>
  <c r="U840" i="1"/>
  <c r="I840" i="1"/>
  <c r="C840" i="1"/>
  <c r="B840" i="1"/>
  <c r="A840" i="1"/>
  <c r="U839" i="1"/>
  <c r="I839" i="1"/>
  <c r="C839" i="1"/>
  <c r="B839" i="1"/>
  <c r="A839" i="1"/>
  <c r="U838" i="1"/>
  <c r="I838" i="1"/>
  <c r="C838" i="1"/>
  <c r="B838" i="1"/>
  <c r="A838" i="1"/>
  <c r="U837" i="1"/>
  <c r="I837" i="1"/>
  <c r="C837" i="1"/>
  <c r="B837" i="1"/>
  <c r="A837" i="1"/>
  <c r="U836" i="1"/>
  <c r="I836" i="1"/>
  <c r="C836" i="1"/>
  <c r="B836" i="1"/>
  <c r="A836" i="1"/>
  <c r="U835" i="1"/>
  <c r="I835" i="1"/>
  <c r="C835" i="1"/>
  <c r="B835" i="1"/>
  <c r="A835" i="1"/>
  <c r="U834" i="1"/>
  <c r="I834" i="1"/>
  <c r="C834" i="1"/>
  <c r="B834" i="1"/>
  <c r="A834" i="1"/>
  <c r="U833" i="1"/>
  <c r="I833" i="1"/>
  <c r="C833" i="1"/>
  <c r="B833" i="1"/>
  <c r="A833" i="1"/>
  <c r="U832" i="1"/>
  <c r="I832" i="1"/>
  <c r="C832" i="1"/>
  <c r="B832" i="1"/>
  <c r="A832" i="1"/>
  <c r="U831" i="1"/>
  <c r="I831" i="1"/>
  <c r="C831" i="1"/>
  <c r="B831" i="1"/>
  <c r="A831" i="1"/>
  <c r="U830" i="1"/>
  <c r="I830" i="1"/>
  <c r="C830" i="1"/>
  <c r="B830" i="1"/>
  <c r="A830" i="1"/>
  <c r="U829" i="1"/>
  <c r="I829" i="1"/>
  <c r="C829" i="1"/>
  <c r="B829" i="1"/>
  <c r="A829" i="1"/>
  <c r="U828" i="1"/>
  <c r="I828" i="1"/>
  <c r="C828" i="1"/>
  <c r="B828" i="1"/>
  <c r="A828" i="1"/>
  <c r="U827" i="1"/>
  <c r="I827" i="1"/>
  <c r="C827" i="1"/>
  <c r="B827" i="1"/>
  <c r="A827" i="1"/>
  <c r="U826" i="1"/>
  <c r="I826" i="1"/>
  <c r="C826" i="1"/>
  <c r="B826" i="1"/>
  <c r="A826" i="1"/>
  <c r="U825" i="1"/>
  <c r="I825" i="1"/>
  <c r="C825" i="1"/>
  <c r="B825" i="1"/>
  <c r="A825" i="1"/>
  <c r="U824" i="1"/>
  <c r="I824" i="1"/>
  <c r="C824" i="1"/>
  <c r="B824" i="1"/>
  <c r="A824" i="1"/>
  <c r="U823" i="1"/>
  <c r="I823" i="1"/>
  <c r="C823" i="1"/>
  <c r="B823" i="1"/>
  <c r="A823" i="1"/>
  <c r="U822" i="1"/>
  <c r="I822" i="1"/>
  <c r="C822" i="1"/>
  <c r="B822" i="1"/>
  <c r="A822" i="1"/>
  <c r="U821" i="1"/>
  <c r="I821" i="1"/>
  <c r="C821" i="1"/>
  <c r="B821" i="1"/>
  <c r="A821" i="1"/>
  <c r="U820" i="1"/>
  <c r="I820" i="1"/>
  <c r="C820" i="1"/>
  <c r="B820" i="1"/>
  <c r="A820" i="1"/>
  <c r="U819" i="1"/>
  <c r="I819" i="1"/>
  <c r="C819" i="1"/>
  <c r="B819" i="1"/>
  <c r="A819" i="1"/>
  <c r="U818" i="1"/>
  <c r="I818" i="1"/>
  <c r="C818" i="1"/>
  <c r="B818" i="1"/>
  <c r="A818" i="1"/>
  <c r="U817" i="1"/>
  <c r="I817" i="1"/>
  <c r="C817" i="1"/>
  <c r="B817" i="1"/>
  <c r="A817" i="1"/>
  <c r="U816" i="1"/>
  <c r="I816" i="1"/>
  <c r="C816" i="1"/>
  <c r="B816" i="1"/>
  <c r="A816" i="1"/>
  <c r="U815" i="1"/>
  <c r="I815" i="1"/>
  <c r="C815" i="1"/>
  <c r="B815" i="1"/>
  <c r="A815" i="1"/>
  <c r="U814" i="1"/>
  <c r="I814" i="1"/>
  <c r="C814" i="1"/>
  <c r="B814" i="1"/>
  <c r="A814" i="1"/>
  <c r="U813" i="1"/>
  <c r="I813" i="1"/>
  <c r="C813" i="1"/>
  <c r="B813" i="1"/>
  <c r="A813" i="1"/>
  <c r="U812" i="1"/>
  <c r="I812" i="1"/>
  <c r="C812" i="1"/>
  <c r="B812" i="1"/>
  <c r="A812" i="1"/>
  <c r="U811" i="1"/>
  <c r="I811" i="1"/>
  <c r="C811" i="1"/>
  <c r="B811" i="1"/>
  <c r="A811" i="1"/>
  <c r="U810" i="1"/>
  <c r="I810" i="1"/>
  <c r="C810" i="1"/>
  <c r="B810" i="1"/>
  <c r="A810" i="1"/>
  <c r="U809" i="1"/>
  <c r="I809" i="1"/>
  <c r="C809" i="1"/>
  <c r="B809" i="1"/>
  <c r="A809" i="1"/>
  <c r="U808" i="1"/>
  <c r="I808" i="1"/>
  <c r="C808" i="1"/>
  <c r="B808" i="1"/>
  <c r="A808" i="1"/>
  <c r="U807" i="1"/>
  <c r="I807" i="1"/>
  <c r="C807" i="1"/>
  <c r="B807" i="1"/>
  <c r="A807" i="1"/>
  <c r="U806" i="1"/>
  <c r="I806" i="1"/>
  <c r="C806" i="1"/>
  <c r="B806" i="1"/>
  <c r="A806" i="1"/>
  <c r="U805" i="1"/>
  <c r="I805" i="1"/>
  <c r="C805" i="1"/>
  <c r="B805" i="1"/>
  <c r="A805" i="1"/>
  <c r="U804" i="1"/>
  <c r="I804" i="1"/>
  <c r="C804" i="1"/>
  <c r="B804" i="1"/>
  <c r="A804" i="1"/>
  <c r="U803" i="1"/>
  <c r="I803" i="1"/>
  <c r="C803" i="1"/>
  <c r="B803" i="1"/>
  <c r="A803" i="1"/>
  <c r="U802" i="1"/>
  <c r="I802" i="1"/>
  <c r="C802" i="1"/>
  <c r="B802" i="1"/>
  <c r="A802" i="1"/>
  <c r="U801" i="1"/>
  <c r="I801" i="1"/>
  <c r="C801" i="1"/>
  <c r="B801" i="1"/>
  <c r="A801" i="1"/>
  <c r="U800" i="1"/>
  <c r="I800" i="1"/>
  <c r="C800" i="1"/>
  <c r="B800" i="1"/>
  <c r="A800" i="1"/>
  <c r="U799" i="1"/>
  <c r="I799" i="1"/>
  <c r="C799" i="1"/>
  <c r="B799" i="1"/>
  <c r="A799" i="1"/>
  <c r="U798" i="1"/>
  <c r="I798" i="1"/>
  <c r="C798" i="1"/>
  <c r="B798" i="1"/>
  <c r="A798" i="1"/>
  <c r="U797" i="1"/>
  <c r="I797" i="1"/>
  <c r="C797" i="1"/>
  <c r="B797" i="1"/>
  <c r="A797" i="1"/>
  <c r="U796" i="1"/>
  <c r="I796" i="1"/>
  <c r="C796" i="1"/>
  <c r="B796" i="1"/>
  <c r="A796" i="1"/>
  <c r="U795" i="1"/>
  <c r="I795" i="1"/>
  <c r="C795" i="1"/>
  <c r="B795" i="1"/>
  <c r="A795" i="1"/>
  <c r="U794" i="1"/>
  <c r="I794" i="1"/>
  <c r="C794" i="1"/>
  <c r="B794" i="1"/>
  <c r="A794" i="1"/>
  <c r="U793" i="1"/>
  <c r="I793" i="1"/>
  <c r="C793" i="1"/>
  <c r="B793" i="1"/>
  <c r="A793" i="1"/>
  <c r="U792" i="1"/>
  <c r="I792" i="1"/>
  <c r="C792" i="1"/>
  <c r="B792" i="1"/>
  <c r="A792" i="1"/>
  <c r="U791" i="1"/>
  <c r="I791" i="1"/>
  <c r="C791" i="1"/>
  <c r="B791" i="1"/>
  <c r="A791" i="1"/>
  <c r="U790" i="1"/>
  <c r="I790" i="1"/>
  <c r="C790" i="1"/>
  <c r="B790" i="1"/>
  <c r="A790" i="1"/>
  <c r="U789" i="1"/>
  <c r="I789" i="1"/>
  <c r="C789" i="1"/>
  <c r="B789" i="1"/>
  <c r="A789" i="1"/>
  <c r="U788" i="1"/>
  <c r="I788" i="1"/>
  <c r="C788" i="1"/>
  <c r="B788" i="1"/>
  <c r="A788" i="1"/>
  <c r="U787" i="1"/>
  <c r="I787" i="1"/>
  <c r="C787" i="1"/>
  <c r="B787" i="1"/>
  <c r="A787" i="1"/>
  <c r="U786" i="1"/>
  <c r="I786" i="1"/>
  <c r="C786" i="1"/>
  <c r="B786" i="1"/>
  <c r="A786" i="1"/>
  <c r="U785" i="1"/>
  <c r="I785" i="1"/>
  <c r="C785" i="1"/>
  <c r="B785" i="1"/>
  <c r="A785" i="1"/>
  <c r="U784" i="1"/>
  <c r="I784" i="1"/>
  <c r="C784" i="1"/>
  <c r="B784" i="1"/>
  <c r="A784" i="1"/>
  <c r="U783" i="1"/>
  <c r="I783" i="1"/>
  <c r="C783" i="1"/>
  <c r="B783" i="1"/>
  <c r="A783" i="1"/>
  <c r="U782" i="1"/>
  <c r="I782" i="1"/>
  <c r="C782" i="1"/>
  <c r="B782" i="1"/>
  <c r="A782" i="1"/>
  <c r="U781" i="1"/>
  <c r="I781" i="1"/>
  <c r="C781" i="1"/>
  <c r="B781" i="1"/>
  <c r="A781" i="1"/>
  <c r="U780" i="1"/>
  <c r="I780" i="1"/>
  <c r="C780" i="1"/>
  <c r="B780" i="1"/>
  <c r="A780" i="1"/>
  <c r="U779" i="1"/>
  <c r="I779" i="1"/>
  <c r="C779" i="1"/>
  <c r="B779" i="1"/>
  <c r="A779" i="1"/>
  <c r="U778" i="1"/>
  <c r="I778" i="1"/>
  <c r="C778" i="1"/>
  <c r="B778" i="1"/>
  <c r="A778" i="1"/>
  <c r="U777" i="1"/>
  <c r="I777" i="1"/>
  <c r="C777" i="1"/>
  <c r="B777" i="1"/>
  <c r="A777" i="1"/>
  <c r="U776" i="1"/>
  <c r="I776" i="1"/>
  <c r="C776" i="1"/>
  <c r="B776" i="1"/>
  <c r="A776" i="1"/>
  <c r="U775" i="1"/>
  <c r="I775" i="1"/>
  <c r="C775" i="1"/>
  <c r="B775" i="1"/>
  <c r="A775" i="1"/>
  <c r="U774" i="1"/>
  <c r="I774" i="1"/>
  <c r="C774" i="1"/>
  <c r="B774" i="1"/>
  <c r="A774" i="1"/>
  <c r="U773" i="1"/>
  <c r="I773" i="1"/>
  <c r="C773" i="1"/>
  <c r="B773" i="1"/>
  <c r="A773" i="1"/>
  <c r="U772" i="1"/>
  <c r="I772" i="1"/>
  <c r="C772" i="1"/>
  <c r="B772" i="1"/>
  <c r="A772" i="1"/>
  <c r="U771" i="1"/>
  <c r="I771" i="1"/>
  <c r="C771" i="1"/>
  <c r="B771" i="1"/>
  <c r="A771" i="1"/>
  <c r="U770" i="1"/>
  <c r="I770" i="1"/>
  <c r="C770" i="1"/>
  <c r="B770" i="1"/>
  <c r="A770" i="1"/>
  <c r="U769" i="1"/>
  <c r="I769" i="1"/>
  <c r="C769" i="1"/>
  <c r="B769" i="1"/>
  <c r="A769" i="1"/>
  <c r="U768" i="1"/>
  <c r="I768" i="1"/>
  <c r="C768" i="1"/>
  <c r="B768" i="1"/>
  <c r="A768" i="1"/>
  <c r="U767" i="1"/>
  <c r="I767" i="1"/>
  <c r="C767" i="1"/>
  <c r="B767" i="1"/>
  <c r="A767" i="1"/>
  <c r="U766" i="1"/>
  <c r="I766" i="1"/>
  <c r="C766" i="1"/>
  <c r="B766" i="1"/>
  <c r="A766" i="1"/>
  <c r="U765" i="1"/>
  <c r="I765" i="1"/>
  <c r="C765" i="1"/>
  <c r="B765" i="1"/>
  <c r="A765" i="1"/>
  <c r="U764" i="1"/>
  <c r="I764" i="1"/>
  <c r="C764" i="1"/>
  <c r="B764" i="1"/>
  <c r="A764" i="1"/>
  <c r="U763" i="1"/>
  <c r="I763" i="1"/>
  <c r="C763" i="1"/>
  <c r="B763" i="1"/>
  <c r="A763" i="1"/>
  <c r="U762" i="1"/>
  <c r="I762" i="1"/>
  <c r="C762" i="1"/>
  <c r="B762" i="1"/>
  <c r="A762" i="1"/>
  <c r="U761" i="1"/>
  <c r="I761" i="1"/>
  <c r="C761" i="1"/>
  <c r="B761" i="1"/>
  <c r="A761" i="1"/>
  <c r="U760" i="1"/>
  <c r="I760" i="1"/>
  <c r="C760" i="1"/>
  <c r="B760" i="1"/>
  <c r="A760" i="1"/>
  <c r="U759" i="1"/>
  <c r="I759" i="1"/>
  <c r="C759" i="1"/>
  <c r="B759" i="1"/>
  <c r="A759" i="1"/>
  <c r="U758" i="1"/>
  <c r="I758" i="1"/>
  <c r="C758" i="1"/>
  <c r="B758" i="1"/>
  <c r="A758" i="1"/>
  <c r="U757" i="1"/>
  <c r="I757" i="1"/>
  <c r="C757" i="1"/>
  <c r="B757" i="1"/>
  <c r="A757" i="1"/>
  <c r="U756" i="1"/>
  <c r="I756" i="1"/>
  <c r="C756" i="1"/>
  <c r="B756" i="1"/>
  <c r="A756" i="1"/>
  <c r="U755" i="1"/>
  <c r="I755" i="1"/>
  <c r="C755" i="1"/>
  <c r="B755" i="1"/>
  <c r="A755" i="1"/>
  <c r="U754" i="1"/>
  <c r="I754" i="1"/>
  <c r="C754" i="1"/>
  <c r="B754" i="1"/>
  <c r="A754" i="1"/>
  <c r="U753" i="1"/>
  <c r="I753" i="1"/>
  <c r="C753" i="1"/>
  <c r="B753" i="1"/>
  <c r="A753" i="1"/>
  <c r="U752" i="1"/>
  <c r="I752" i="1"/>
  <c r="C752" i="1"/>
  <c r="B752" i="1"/>
  <c r="A752" i="1"/>
  <c r="U751" i="1"/>
  <c r="I751" i="1"/>
  <c r="C751" i="1"/>
  <c r="B751" i="1"/>
  <c r="A751" i="1"/>
  <c r="U750" i="1"/>
  <c r="I750" i="1"/>
  <c r="C750" i="1"/>
  <c r="B750" i="1"/>
  <c r="A750" i="1"/>
  <c r="U749" i="1"/>
  <c r="I749" i="1"/>
  <c r="C749" i="1"/>
  <c r="B749" i="1"/>
  <c r="A749" i="1"/>
  <c r="U748" i="1"/>
  <c r="I748" i="1"/>
  <c r="C748" i="1"/>
  <c r="B748" i="1"/>
  <c r="A748" i="1"/>
  <c r="U747" i="1"/>
  <c r="I747" i="1"/>
  <c r="C747" i="1"/>
  <c r="B747" i="1"/>
  <c r="A747" i="1"/>
  <c r="U746" i="1"/>
  <c r="I746" i="1"/>
  <c r="C746" i="1"/>
  <c r="B746" i="1"/>
  <c r="A746" i="1"/>
  <c r="U745" i="1"/>
  <c r="I745" i="1"/>
  <c r="C745" i="1"/>
  <c r="B745" i="1"/>
  <c r="A745" i="1"/>
  <c r="U744" i="1"/>
  <c r="I744" i="1"/>
  <c r="C744" i="1"/>
  <c r="B744" i="1"/>
  <c r="A744" i="1"/>
  <c r="U743" i="1"/>
  <c r="I743" i="1"/>
  <c r="C743" i="1"/>
  <c r="B743" i="1"/>
  <c r="A743" i="1"/>
  <c r="U742" i="1"/>
  <c r="I742" i="1"/>
  <c r="C742" i="1"/>
  <c r="B742" i="1"/>
  <c r="A742" i="1"/>
  <c r="U741" i="1"/>
  <c r="I741" i="1"/>
  <c r="C741" i="1"/>
  <c r="B741" i="1"/>
  <c r="A741" i="1"/>
  <c r="U740" i="1"/>
  <c r="I740" i="1"/>
  <c r="C740" i="1"/>
  <c r="B740" i="1"/>
  <c r="A740" i="1"/>
  <c r="U739" i="1"/>
  <c r="I739" i="1"/>
  <c r="C739" i="1"/>
  <c r="B739" i="1"/>
  <c r="A739" i="1"/>
  <c r="U738" i="1"/>
  <c r="I738" i="1"/>
  <c r="C738" i="1"/>
  <c r="B738" i="1"/>
  <c r="A738" i="1"/>
  <c r="U737" i="1"/>
  <c r="I737" i="1"/>
  <c r="C737" i="1"/>
  <c r="B737" i="1"/>
  <c r="A737" i="1"/>
  <c r="U736" i="1"/>
  <c r="I736" i="1"/>
  <c r="C736" i="1"/>
  <c r="B736" i="1"/>
  <c r="A736" i="1"/>
  <c r="U735" i="1"/>
  <c r="I735" i="1"/>
  <c r="C735" i="1"/>
  <c r="B735" i="1"/>
  <c r="A735" i="1"/>
  <c r="U734" i="1"/>
  <c r="I734" i="1"/>
  <c r="C734" i="1"/>
  <c r="B734" i="1"/>
  <c r="A734" i="1"/>
  <c r="U733" i="1"/>
  <c r="I733" i="1"/>
  <c r="C733" i="1"/>
  <c r="B733" i="1"/>
  <c r="A733" i="1"/>
  <c r="U732" i="1"/>
  <c r="I732" i="1"/>
  <c r="C732" i="1"/>
  <c r="B732" i="1"/>
  <c r="A732" i="1"/>
  <c r="U731" i="1"/>
  <c r="I731" i="1"/>
  <c r="C731" i="1"/>
  <c r="B731" i="1"/>
  <c r="A731" i="1"/>
  <c r="U730" i="1"/>
  <c r="I730" i="1"/>
  <c r="C730" i="1"/>
  <c r="B730" i="1"/>
  <c r="A730" i="1"/>
  <c r="U729" i="1"/>
  <c r="I729" i="1"/>
  <c r="C729" i="1"/>
  <c r="B729" i="1"/>
  <c r="A729" i="1"/>
  <c r="U728" i="1"/>
  <c r="I728" i="1"/>
  <c r="C728" i="1"/>
  <c r="B728" i="1"/>
  <c r="A728" i="1"/>
  <c r="U727" i="1"/>
  <c r="I727" i="1"/>
  <c r="C727" i="1"/>
  <c r="B727" i="1"/>
  <c r="A727" i="1"/>
  <c r="U726" i="1"/>
  <c r="I726" i="1"/>
  <c r="C726" i="1"/>
  <c r="B726" i="1"/>
  <c r="A726" i="1"/>
  <c r="U725" i="1"/>
  <c r="I725" i="1"/>
  <c r="C725" i="1"/>
  <c r="B725" i="1"/>
  <c r="A725" i="1"/>
  <c r="U724" i="1"/>
  <c r="I724" i="1"/>
  <c r="C724" i="1"/>
  <c r="B724" i="1"/>
  <c r="A724" i="1"/>
  <c r="U723" i="1"/>
  <c r="I723" i="1"/>
  <c r="C723" i="1"/>
  <c r="B723" i="1"/>
  <c r="A723" i="1"/>
  <c r="U722" i="1"/>
  <c r="I722" i="1"/>
  <c r="C722" i="1"/>
  <c r="B722" i="1"/>
  <c r="A722" i="1"/>
  <c r="U721" i="1"/>
  <c r="I721" i="1"/>
  <c r="C721" i="1"/>
  <c r="B721" i="1"/>
  <c r="A721" i="1"/>
  <c r="U720" i="1"/>
  <c r="I720" i="1"/>
  <c r="C720" i="1"/>
  <c r="B720" i="1"/>
  <c r="A720" i="1"/>
  <c r="U719" i="1"/>
  <c r="I719" i="1"/>
  <c r="C719" i="1"/>
  <c r="B719" i="1"/>
  <c r="A719" i="1"/>
  <c r="U718" i="1"/>
  <c r="I718" i="1"/>
  <c r="C718" i="1"/>
  <c r="B718" i="1"/>
  <c r="A718" i="1"/>
  <c r="U717" i="1"/>
  <c r="I717" i="1"/>
  <c r="C717" i="1"/>
  <c r="B717" i="1"/>
  <c r="A717" i="1"/>
  <c r="U716" i="1"/>
  <c r="I716" i="1"/>
  <c r="C716" i="1"/>
  <c r="B716" i="1"/>
  <c r="A716" i="1"/>
  <c r="U715" i="1"/>
  <c r="I715" i="1"/>
  <c r="C715" i="1"/>
  <c r="B715" i="1"/>
  <c r="A715" i="1"/>
  <c r="U714" i="1"/>
  <c r="I714" i="1"/>
  <c r="C714" i="1"/>
  <c r="B714" i="1"/>
  <c r="A714" i="1"/>
  <c r="U713" i="1"/>
  <c r="I713" i="1"/>
  <c r="C713" i="1"/>
  <c r="B713" i="1"/>
  <c r="A713" i="1"/>
  <c r="U712" i="1"/>
  <c r="I712" i="1"/>
  <c r="C712" i="1"/>
  <c r="B712" i="1"/>
  <c r="A712" i="1"/>
  <c r="U711" i="1"/>
  <c r="I711" i="1"/>
  <c r="C711" i="1"/>
  <c r="B711" i="1"/>
  <c r="A711" i="1"/>
  <c r="U710" i="1"/>
  <c r="I710" i="1"/>
  <c r="C710" i="1"/>
  <c r="B710" i="1"/>
  <c r="A710" i="1"/>
  <c r="U709" i="1"/>
  <c r="I709" i="1"/>
  <c r="C709" i="1"/>
  <c r="B709" i="1"/>
  <c r="A709" i="1"/>
  <c r="U708" i="1"/>
  <c r="I708" i="1"/>
  <c r="C708" i="1"/>
  <c r="B708" i="1"/>
  <c r="A708" i="1"/>
  <c r="U707" i="1"/>
  <c r="I707" i="1"/>
  <c r="C707" i="1"/>
  <c r="B707" i="1"/>
  <c r="A707" i="1"/>
  <c r="U706" i="1"/>
  <c r="I706" i="1"/>
  <c r="C706" i="1"/>
  <c r="B706" i="1"/>
  <c r="A706" i="1"/>
  <c r="U705" i="1"/>
  <c r="I705" i="1"/>
  <c r="C705" i="1"/>
  <c r="B705" i="1"/>
  <c r="A705" i="1"/>
  <c r="U704" i="1"/>
  <c r="I704" i="1"/>
  <c r="C704" i="1"/>
  <c r="B704" i="1"/>
  <c r="A704" i="1"/>
  <c r="U703" i="1"/>
  <c r="I703" i="1"/>
  <c r="C703" i="1"/>
  <c r="B703" i="1"/>
  <c r="A703" i="1"/>
  <c r="U702" i="1"/>
  <c r="I702" i="1"/>
  <c r="C702" i="1"/>
  <c r="B702" i="1"/>
  <c r="A702" i="1"/>
  <c r="U701" i="1"/>
  <c r="I701" i="1"/>
  <c r="C701" i="1"/>
  <c r="B701" i="1"/>
  <c r="A701" i="1"/>
  <c r="U700" i="1"/>
  <c r="I700" i="1"/>
  <c r="C700" i="1"/>
  <c r="U699" i="1"/>
  <c r="I699" i="1"/>
  <c r="C699" i="1"/>
  <c r="B699" i="1"/>
  <c r="A699" i="1"/>
  <c r="U698" i="1"/>
  <c r="I698" i="1"/>
  <c r="C698" i="1"/>
  <c r="B698" i="1"/>
  <c r="A698" i="1"/>
  <c r="U697" i="1"/>
  <c r="I697" i="1"/>
  <c r="C697" i="1"/>
  <c r="B697" i="1"/>
  <c r="A697" i="1"/>
  <c r="U696" i="1"/>
  <c r="I696" i="1"/>
  <c r="C696" i="1"/>
  <c r="B696" i="1"/>
  <c r="A696" i="1"/>
  <c r="U695" i="1"/>
  <c r="I695" i="1"/>
  <c r="C695" i="1"/>
  <c r="B695" i="1"/>
  <c r="A695" i="1"/>
  <c r="U694" i="1"/>
  <c r="I694" i="1"/>
  <c r="C694" i="1"/>
  <c r="B694" i="1"/>
  <c r="A694" i="1"/>
  <c r="U693" i="1"/>
  <c r="I693" i="1"/>
  <c r="C693" i="1"/>
  <c r="B693" i="1"/>
  <c r="A693" i="1"/>
  <c r="U692" i="1"/>
  <c r="I692" i="1"/>
  <c r="C692" i="1"/>
  <c r="B692" i="1"/>
  <c r="A692" i="1"/>
  <c r="U691" i="1"/>
  <c r="I691" i="1"/>
  <c r="C691" i="1"/>
  <c r="B691" i="1"/>
  <c r="A691" i="1"/>
  <c r="U690" i="1"/>
  <c r="I690" i="1"/>
  <c r="C690" i="1"/>
  <c r="B690" i="1"/>
  <c r="A690" i="1"/>
  <c r="U689" i="1"/>
  <c r="I689" i="1"/>
  <c r="C689" i="1"/>
  <c r="B689" i="1"/>
  <c r="A689" i="1"/>
  <c r="U688" i="1"/>
  <c r="I688" i="1"/>
  <c r="C688" i="1"/>
  <c r="B688" i="1"/>
  <c r="A688" i="1"/>
  <c r="U687" i="1"/>
  <c r="I687" i="1"/>
  <c r="C687" i="1"/>
  <c r="B687" i="1"/>
  <c r="A687" i="1"/>
  <c r="U686" i="1"/>
  <c r="I686" i="1"/>
  <c r="C686" i="1"/>
  <c r="B686" i="1"/>
  <c r="A686" i="1"/>
  <c r="U685" i="1"/>
  <c r="I685" i="1"/>
  <c r="C685" i="1"/>
  <c r="B685" i="1"/>
  <c r="A685" i="1"/>
  <c r="U684" i="1"/>
  <c r="I684" i="1"/>
  <c r="C684" i="1"/>
  <c r="B684" i="1"/>
  <c r="A684" i="1"/>
  <c r="U683" i="1"/>
  <c r="I683" i="1"/>
  <c r="C683" i="1"/>
  <c r="B683" i="1"/>
  <c r="A683" i="1"/>
  <c r="U682" i="1"/>
  <c r="I682" i="1"/>
  <c r="C682" i="1"/>
  <c r="B682" i="1"/>
  <c r="A682" i="1"/>
  <c r="U681" i="1"/>
  <c r="I681" i="1"/>
  <c r="C681" i="1"/>
  <c r="B681" i="1"/>
  <c r="A681" i="1"/>
  <c r="U680" i="1"/>
  <c r="I680" i="1"/>
  <c r="C680" i="1"/>
  <c r="B680" i="1"/>
  <c r="A680" i="1"/>
  <c r="U679" i="1"/>
  <c r="I679" i="1"/>
  <c r="C679" i="1"/>
  <c r="B679" i="1"/>
  <c r="A679" i="1"/>
  <c r="U678" i="1"/>
  <c r="I678" i="1"/>
  <c r="C678" i="1"/>
  <c r="B678" i="1"/>
  <c r="A678" i="1"/>
  <c r="U677" i="1"/>
  <c r="I677" i="1"/>
  <c r="C677" i="1"/>
  <c r="B677" i="1"/>
  <c r="A677" i="1"/>
  <c r="U676" i="1"/>
  <c r="I676" i="1"/>
  <c r="C676" i="1"/>
  <c r="B676" i="1"/>
  <c r="A676" i="1"/>
  <c r="U675" i="1"/>
  <c r="I675" i="1"/>
  <c r="C675" i="1"/>
  <c r="B675" i="1"/>
  <c r="A675" i="1"/>
  <c r="U674" i="1"/>
  <c r="I674" i="1"/>
  <c r="C674" i="1"/>
  <c r="B674" i="1"/>
  <c r="A674" i="1"/>
  <c r="U673" i="1"/>
  <c r="I673" i="1"/>
  <c r="C673" i="1"/>
  <c r="B673" i="1"/>
  <c r="A673" i="1"/>
  <c r="U672" i="1"/>
  <c r="I672" i="1"/>
  <c r="C672" i="1"/>
  <c r="B672" i="1"/>
  <c r="A672" i="1"/>
  <c r="U671" i="1"/>
  <c r="I671" i="1"/>
  <c r="C671" i="1"/>
  <c r="B671" i="1"/>
  <c r="A671" i="1"/>
  <c r="U670" i="1"/>
  <c r="I670" i="1"/>
  <c r="C670" i="1"/>
  <c r="B670" i="1"/>
  <c r="A670" i="1"/>
  <c r="U668" i="1"/>
  <c r="I668" i="1"/>
  <c r="C668" i="1"/>
  <c r="B668" i="1"/>
  <c r="A668" i="1"/>
  <c r="U667" i="1"/>
  <c r="I667" i="1"/>
  <c r="C667" i="1"/>
  <c r="B667" i="1"/>
  <c r="A667" i="1"/>
  <c r="U666" i="1"/>
  <c r="I666" i="1"/>
  <c r="C666" i="1"/>
  <c r="B666" i="1"/>
  <c r="A666" i="1"/>
  <c r="U665" i="1"/>
  <c r="I665" i="1"/>
  <c r="C665" i="1"/>
  <c r="B665" i="1"/>
  <c r="A665" i="1"/>
  <c r="U664" i="1"/>
  <c r="I664" i="1"/>
  <c r="C664" i="1"/>
  <c r="B664" i="1"/>
  <c r="A664" i="1"/>
  <c r="U663" i="1"/>
  <c r="I663" i="1"/>
  <c r="C663" i="1"/>
  <c r="B663" i="1"/>
  <c r="A663" i="1"/>
  <c r="U662" i="1"/>
  <c r="I662" i="1"/>
  <c r="C662" i="1"/>
  <c r="B662" i="1"/>
  <c r="A662" i="1"/>
  <c r="U661" i="1"/>
  <c r="I661" i="1"/>
  <c r="C661" i="1"/>
  <c r="B661" i="1"/>
  <c r="A661" i="1"/>
  <c r="U660" i="1"/>
  <c r="I660" i="1"/>
  <c r="C660" i="1"/>
  <c r="B660" i="1"/>
  <c r="A660" i="1"/>
  <c r="U659" i="1"/>
  <c r="I659" i="1"/>
  <c r="C659" i="1"/>
  <c r="B659" i="1"/>
  <c r="A659" i="1"/>
  <c r="U658" i="1"/>
  <c r="I658" i="1"/>
  <c r="C658" i="1"/>
  <c r="B658" i="1"/>
  <c r="A658" i="1"/>
  <c r="U657" i="1"/>
  <c r="I657" i="1"/>
  <c r="C657" i="1"/>
  <c r="B657" i="1"/>
  <c r="A657" i="1"/>
  <c r="U656" i="1"/>
  <c r="I656" i="1"/>
  <c r="C656" i="1"/>
  <c r="B656" i="1"/>
  <c r="A656" i="1"/>
  <c r="U655" i="1"/>
  <c r="I655" i="1"/>
  <c r="C655" i="1"/>
  <c r="B655" i="1"/>
  <c r="A655" i="1"/>
  <c r="U654" i="1"/>
  <c r="I654" i="1"/>
  <c r="C654" i="1"/>
  <c r="B654" i="1"/>
  <c r="A654" i="1"/>
  <c r="U653" i="1"/>
  <c r="I653" i="1"/>
  <c r="C653" i="1"/>
  <c r="B653" i="1"/>
  <c r="A653" i="1"/>
  <c r="U652" i="1"/>
  <c r="I652" i="1"/>
  <c r="C652" i="1"/>
  <c r="B652" i="1"/>
  <c r="A652" i="1"/>
  <c r="U651" i="1"/>
  <c r="I651" i="1"/>
  <c r="C651" i="1"/>
  <c r="B651" i="1"/>
  <c r="A651" i="1"/>
  <c r="U650" i="1"/>
  <c r="I650" i="1"/>
  <c r="C650" i="1"/>
  <c r="B650" i="1"/>
  <c r="A650" i="1"/>
  <c r="U649" i="1"/>
  <c r="I649" i="1"/>
  <c r="C649" i="1"/>
  <c r="B649" i="1"/>
  <c r="A649" i="1"/>
  <c r="U648" i="1"/>
  <c r="I648" i="1"/>
  <c r="C648" i="1"/>
  <c r="B648" i="1"/>
  <c r="A648" i="1"/>
  <c r="U647" i="1"/>
  <c r="I647" i="1"/>
  <c r="C647" i="1"/>
  <c r="B647" i="1"/>
  <c r="A647" i="1"/>
  <c r="U646" i="1"/>
  <c r="I646" i="1"/>
  <c r="C646" i="1"/>
  <c r="B646" i="1"/>
  <c r="A646" i="1"/>
  <c r="U645" i="1"/>
  <c r="I645" i="1"/>
  <c r="C645" i="1"/>
  <c r="B645" i="1"/>
  <c r="A645" i="1"/>
  <c r="U644" i="1"/>
  <c r="I644" i="1"/>
  <c r="C644" i="1"/>
  <c r="B644" i="1"/>
  <c r="A644" i="1"/>
  <c r="U643" i="1"/>
  <c r="I643" i="1"/>
  <c r="C643" i="1"/>
  <c r="B643" i="1"/>
  <c r="A643" i="1"/>
  <c r="U642" i="1"/>
  <c r="I642" i="1"/>
  <c r="C642" i="1"/>
  <c r="B642" i="1"/>
  <c r="A642" i="1"/>
  <c r="U641" i="1"/>
  <c r="I641" i="1"/>
  <c r="C641" i="1"/>
  <c r="B641" i="1"/>
  <c r="A641" i="1"/>
  <c r="U640" i="1"/>
  <c r="I640" i="1"/>
  <c r="C640" i="1"/>
  <c r="B640" i="1"/>
  <c r="A640" i="1"/>
  <c r="U639" i="1"/>
  <c r="I639" i="1"/>
  <c r="C639" i="1"/>
  <c r="B639" i="1"/>
  <c r="A639" i="1"/>
  <c r="U638" i="1"/>
  <c r="I638" i="1"/>
  <c r="C638" i="1"/>
  <c r="B638" i="1"/>
  <c r="A638" i="1"/>
  <c r="U637" i="1"/>
  <c r="I637" i="1"/>
  <c r="C637" i="1"/>
  <c r="B637" i="1"/>
  <c r="A637" i="1"/>
  <c r="U636" i="1"/>
  <c r="I636" i="1"/>
  <c r="C636" i="1"/>
  <c r="B636" i="1"/>
  <c r="A636" i="1"/>
  <c r="U635" i="1"/>
  <c r="I635" i="1"/>
  <c r="C635" i="1"/>
  <c r="B635" i="1"/>
  <c r="A635" i="1"/>
  <c r="U634" i="1"/>
  <c r="I634" i="1"/>
  <c r="C634" i="1"/>
  <c r="B634" i="1"/>
  <c r="A634" i="1"/>
  <c r="U633" i="1"/>
  <c r="I633" i="1"/>
  <c r="C633" i="1"/>
  <c r="B633" i="1"/>
  <c r="A633" i="1"/>
  <c r="U632" i="1"/>
  <c r="I632" i="1"/>
  <c r="C632" i="1"/>
  <c r="B632" i="1"/>
  <c r="A632" i="1"/>
  <c r="U631" i="1"/>
  <c r="I631" i="1"/>
  <c r="C631" i="1"/>
  <c r="B631" i="1"/>
  <c r="A631" i="1"/>
  <c r="U630" i="1"/>
  <c r="I630" i="1"/>
  <c r="C630" i="1"/>
  <c r="B630" i="1"/>
  <c r="A630" i="1"/>
  <c r="U629" i="1"/>
  <c r="I629" i="1"/>
  <c r="C629" i="1"/>
  <c r="B629" i="1"/>
  <c r="A629" i="1"/>
  <c r="U628" i="1"/>
  <c r="I628" i="1"/>
  <c r="C628" i="1"/>
  <c r="B628" i="1"/>
  <c r="A628" i="1"/>
  <c r="U627" i="1"/>
  <c r="I627" i="1"/>
  <c r="C627" i="1"/>
  <c r="B627" i="1"/>
  <c r="A627" i="1"/>
  <c r="U626" i="1"/>
  <c r="I626" i="1"/>
  <c r="U625" i="1"/>
  <c r="I625" i="1"/>
  <c r="C625" i="1"/>
  <c r="B625" i="1"/>
  <c r="A625" i="1"/>
  <c r="U624" i="1"/>
  <c r="I624" i="1"/>
  <c r="C624" i="1"/>
  <c r="B624" i="1"/>
  <c r="A624" i="1"/>
  <c r="U623" i="1"/>
  <c r="I623" i="1"/>
  <c r="C623" i="1"/>
  <c r="B623" i="1"/>
  <c r="A623" i="1"/>
  <c r="U622" i="1"/>
  <c r="I622" i="1"/>
  <c r="C622" i="1"/>
  <c r="B622" i="1"/>
  <c r="A622" i="1"/>
  <c r="U621" i="1"/>
  <c r="I621" i="1"/>
  <c r="C621" i="1"/>
  <c r="B621" i="1"/>
  <c r="A621" i="1"/>
  <c r="U620" i="1"/>
  <c r="I620" i="1"/>
  <c r="C620" i="1"/>
  <c r="B620" i="1"/>
  <c r="A620" i="1"/>
  <c r="U619" i="1"/>
  <c r="I619" i="1"/>
  <c r="C619" i="1"/>
  <c r="B619" i="1"/>
  <c r="A619" i="1"/>
  <c r="U618" i="1"/>
  <c r="I618" i="1"/>
  <c r="C618" i="1"/>
  <c r="B618" i="1"/>
  <c r="A618" i="1"/>
  <c r="U617" i="1"/>
  <c r="I617" i="1"/>
  <c r="C617" i="1"/>
  <c r="B617" i="1"/>
  <c r="A617" i="1"/>
  <c r="U616" i="1"/>
  <c r="I616" i="1"/>
  <c r="C616" i="1"/>
  <c r="B616" i="1"/>
  <c r="A616" i="1"/>
  <c r="U615" i="1"/>
  <c r="I615" i="1"/>
  <c r="C615" i="1"/>
  <c r="B615" i="1"/>
  <c r="A615" i="1"/>
  <c r="U614" i="1"/>
  <c r="I614" i="1"/>
  <c r="C614" i="1"/>
  <c r="B614" i="1"/>
  <c r="A614" i="1"/>
  <c r="U613" i="1"/>
  <c r="I613" i="1"/>
  <c r="C613" i="1"/>
  <c r="B613" i="1"/>
  <c r="A613" i="1"/>
  <c r="U612" i="1"/>
  <c r="I612" i="1"/>
  <c r="C612" i="1"/>
  <c r="B612" i="1"/>
  <c r="A612" i="1"/>
  <c r="U611" i="1"/>
  <c r="I611" i="1"/>
  <c r="C611" i="1"/>
  <c r="B611" i="1"/>
  <c r="A611" i="1"/>
  <c r="U610" i="1"/>
  <c r="I610" i="1"/>
  <c r="C610" i="1"/>
  <c r="B610" i="1"/>
  <c r="A610" i="1"/>
  <c r="U609" i="1"/>
  <c r="I609" i="1"/>
  <c r="C609" i="1"/>
  <c r="B609" i="1"/>
  <c r="A609" i="1"/>
  <c r="U608" i="1"/>
  <c r="I608" i="1"/>
  <c r="C608" i="1"/>
  <c r="B608" i="1"/>
  <c r="A608" i="1"/>
  <c r="U607" i="1"/>
  <c r="I607" i="1"/>
  <c r="C607" i="1"/>
  <c r="B607" i="1"/>
  <c r="A607" i="1"/>
  <c r="U606" i="1"/>
  <c r="I606" i="1"/>
  <c r="C606" i="1"/>
  <c r="B606" i="1"/>
  <c r="A606" i="1"/>
  <c r="U605" i="1"/>
  <c r="I605" i="1"/>
  <c r="C605" i="1"/>
  <c r="B605" i="1"/>
  <c r="A605" i="1"/>
  <c r="U604" i="1"/>
  <c r="I604" i="1"/>
  <c r="C604" i="1"/>
  <c r="B604" i="1"/>
  <c r="A604" i="1"/>
  <c r="U603" i="1"/>
  <c r="I603" i="1"/>
  <c r="C603" i="1"/>
  <c r="B603" i="1"/>
  <c r="A603" i="1"/>
  <c r="U602" i="1"/>
  <c r="I602" i="1"/>
  <c r="C602" i="1"/>
  <c r="B602" i="1"/>
  <c r="A602" i="1"/>
  <c r="U601" i="1"/>
  <c r="I601" i="1"/>
  <c r="C601" i="1"/>
  <c r="B601" i="1"/>
  <c r="A601" i="1"/>
  <c r="U600" i="1"/>
  <c r="I600" i="1"/>
  <c r="C600" i="1"/>
  <c r="B600" i="1"/>
  <c r="A600" i="1"/>
  <c r="U599" i="1"/>
  <c r="I599" i="1"/>
  <c r="C599" i="1"/>
  <c r="B599" i="1"/>
  <c r="A599" i="1"/>
  <c r="U598" i="1"/>
  <c r="I598" i="1"/>
  <c r="C598" i="1"/>
  <c r="B598" i="1"/>
  <c r="A598" i="1"/>
  <c r="U597" i="1"/>
  <c r="I597" i="1"/>
  <c r="C597" i="1"/>
  <c r="B597" i="1"/>
  <c r="A597" i="1"/>
  <c r="U596" i="1"/>
  <c r="I596" i="1"/>
  <c r="C596" i="1"/>
  <c r="B596" i="1"/>
  <c r="A596" i="1"/>
  <c r="U595" i="1"/>
  <c r="I595" i="1"/>
  <c r="C595" i="1"/>
  <c r="B595" i="1"/>
  <c r="A595" i="1"/>
  <c r="U594" i="1"/>
  <c r="I594" i="1"/>
  <c r="C594" i="1"/>
  <c r="B594" i="1"/>
  <c r="A594" i="1"/>
  <c r="U593" i="1"/>
  <c r="I593" i="1"/>
  <c r="C593" i="1"/>
  <c r="B593" i="1"/>
  <c r="A593" i="1"/>
  <c r="U592" i="1"/>
  <c r="I592" i="1"/>
  <c r="C592" i="1"/>
  <c r="B592" i="1"/>
  <c r="A592" i="1"/>
  <c r="U591" i="1"/>
  <c r="I591" i="1"/>
  <c r="C591" i="1"/>
  <c r="B591" i="1"/>
  <c r="A591" i="1"/>
  <c r="U590" i="1"/>
  <c r="I590" i="1"/>
  <c r="C590" i="1"/>
  <c r="B590" i="1"/>
  <c r="A590" i="1"/>
  <c r="U589" i="1"/>
  <c r="I589" i="1"/>
  <c r="C589" i="1"/>
  <c r="B589" i="1"/>
  <c r="A589" i="1"/>
  <c r="U588" i="1"/>
  <c r="I588" i="1"/>
  <c r="C588" i="1"/>
  <c r="B588" i="1"/>
  <c r="A588" i="1"/>
  <c r="U587" i="1"/>
  <c r="I587" i="1"/>
  <c r="C587" i="1"/>
  <c r="B587" i="1"/>
  <c r="A587" i="1"/>
  <c r="U586" i="1"/>
  <c r="I586" i="1"/>
  <c r="C586" i="1"/>
  <c r="B586" i="1"/>
  <c r="A586" i="1"/>
  <c r="U585" i="1"/>
  <c r="I585" i="1"/>
  <c r="C585" i="1"/>
  <c r="B585" i="1"/>
  <c r="A585" i="1"/>
  <c r="U584" i="1"/>
  <c r="I584" i="1"/>
  <c r="C584" i="1"/>
  <c r="B584" i="1"/>
  <c r="A584" i="1"/>
  <c r="U583" i="1"/>
  <c r="I583" i="1"/>
  <c r="C583" i="1"/>
  <c r="B583" i="1"/>
  <c r="A583" i="1"/>
  <c r="U582" i="1"/>
  <c r="I582" i="1"/>
  <c r="C582" i="1"/>
  <c r="B582" i="1"/>
  <c r="A582" i="1"/>
  <c r="U581" i="1"/>
  <c r="I581" i="1"/>
  <c r="C581" i="1"/>
  <c r="B581" i="1"/>
  <c r="A581" i="1"/>
  <c r="U580" i="1"/>
  <c r="I580" i="1"/>
  <c r="C580" i="1"/>
  <c r="B580" i="1"/>
  <c r="A580" i="1"/>
  <c r="U579" i="1"/>
  <c r="I579" i="1"/>
  <c r="C579" i="1"/>
  <c r="B579" i="1"/>
  <c r="A579" i="1"/>
  <c r="U578" i="1"/>
  <c r="I578" i="1"/>
  <c r="C578" i="1"/>
  <c r="B578" i="1"/>
  <c r="A578" i="1"/>
  <c r="U577" i="1"/>
  <c r="I577" i="1"/>
  <c r="C577" i="1"/>
  <c r="B577" i="1"/>
  <c r="A577" i="1"/>
  <c r="U576" i="1"/>
  <c r="I576" i="1"/>
  <c r="C576" i="1"/>
  <c r="B576" i="1"/>
  <c r="A576" i="1"/>
  <c r="U575" i="1"/>
  <c r="I575" i="1"/>
  <c r="C575" i="1"/>
  <c r="B575" i="1"/>
  <c r="A575" i="1"/>
  <c r="U574" i="1"/>
  <c r="I574" i="1"/>
  <c r="C574" i="1"/>
  <c r="B574" i="1"/>
  <c r="A574" i="1"/>
  <c r="U573" i="1"/>
  <c r="I573" i="1"/>
  <c r="C573" i="1"/>
  <c r="B573" i="1"/>
  <c r="A573" i="1"/>
  <c r="U572" i="1"/>
  <c r="I572" i="1"/>
  <c r="C572" i="1"/>
  <c r="B572" i="1"/>
  <c r="A572" i="1"/>
  <c r="U571" i="1"/>
  <c r="I571" i="1"/>
  <c r="C571" i="1"/>
  <c r="B571" i="1"/>
  <c r="A571" i="1"/>
  <c r="U570" i="1"/>
  <c r="I570" i="1"/>
  <c r="C570" i="1"/>
  <c r="B570" i="1"/>
  <c r="A570" i="1"/>
  <c r="U569" i="1"/>
  <c r="I569" i="1"/>
  <c r="C569" i="1"/>
  <c r="B569" i="1"/>
  <c r="A569" i="1"/>
  <c r="U568" i="1"/>
  <c r="I568" i="1"/>
  <c r="C568" i="1"/>
  <c r="B568" i="1"/>
  <c r="A568" i="1"/>
  <c r="U567" i="1"/>
  <c r="I567" i="1"/>
  <c r="C567" i="1"/>
  <c r="B567" i="1"/>
  <c r="A567" i="1"/>
  <c r="U566" i="1"/>
  <c r="I566" i="1"/>
  <c r="C566" i="1"/>
  <c r="B566" i="1"/>
  <c r="A566" i="1"/>
  <c r="U565" i="1"/>
  <c r="I565" i="1"/>
  <c r="C565" i="1"/>
  <c r="B565" i="1"/>
  <c r="A565" i="1"/>
  <c r="U564" i="1"/>
  <c r="I564" i="1"/>
  <c r="C564" i="1"/>
  <c r="B564" i="1"/>
  <c r="A564" i="1"/>
  <c r="U563" i="1"/>
  <c r="I563" i="1"/>
  <c r="C563" i="1"/>
  <c r="B563" i="1"/>
  <c r="A563" i="1"/>
  <c r="U562" i="1"/>
  <c r="I562" i="1"/>
  <c r="C562" i="1"/>
  <c r="B562" i="1"/>
  <c r="A562" i="1"/>
  <c r="U561" i="1"/>
  <c r="I561" i="1"/>
  <c r="C561" i="1"/>
  <c r="B561" i="1"/>
  <c r="A561" i="1"/>
  <c r="U560" i="1"/>
  <c r="I560" i="1"/>
  <c r="C560" i="1"/>
  <c r="B560" i="1"/>
  <c r="A560" i="1"/>
  <c r="U559" i="1"/>
  <c r="I559" i="1"/>
  <c r="C559" i="1"/>
  <c r="B559" i="1"/>
  <c r="A559" i="1"/>
  <c r="U558" i="1"/>
  <c r="I558" i="1"/>
  <c r="C558" i="1"/>
  <c r="B558" i="1"/>
  <c r="A558" i="1"/>
  <c r="U557" i="1"/>
  <c r="I557" i="1"/>
  <c r="C557" i="1"/>
  <c r="B557" i="1"/>
  <c r="A557" i="1"/>
  <c r="U556" i="1"/>
  <c r="I556" i="1"/>
  <c r="C556" i="1"/>
  <c r="B556" i="1"/>
  <c r="A556" i="1"/>
  <c r="U555" i="1"/>
  <c r="I555" i="1"/>
  <c r="C555" i="1"/>
  <c r="B555" i="1"/>
  <c r="A555" i="1"/>
  <c r="U554" i="1"/>
  <c r="I554" i="1"/>
  <c r="C554" i="1"/>
  <c r="B554" i="1"/>
  <c r="A554" i="1"/>
  <c r="U553" i="1"/>
  <c r="I553" i="1"/>
  <c r="C553" i="1"/>
  <c r="B553" i="1"/>
  <c r="A553" i="1"/>
  <c r="U552" i="1"/>
  <c r="I552" i="1"/>
  <c r="C552" i="1"/>
  <c r="B552" i="1"/>
  <c r="A552" i="1"/>
  <c r="U551" i="1"/>
  <c r="I551" i="1"/>
  <c r="C551" i="1"/>
  <c r="B551" i="1"/>
  <c r="A551" i="1"/>
  <c r="U550" i="1"/>
  <c r="I550" i="1"/>
  <c r="C550" i="1"/>
  <c r="B550" i="1"/>
  <c r="A550" i="1"/>
  <c r="U549" i="1"/>
  <c r="I549" i="1"/>
  <c r="C549" i="1"/>
  <c r="B549" i="1"/>
  <c r="A549" i="1"/>
  <c r="U548" i="1"/>
  <c r="I548" i="1"/>
  <c r="C548" i="1"/>
  <c r="B548" i="1"/>
  <c r="A548" i="1"/>
  <c r="U547" i="1"/>
  <c r="I547" i="1"/>
  <c r="C547" i="1"/>
  <c r="B547" i="1"/>
  <c r="A547" i="1"/>
  <c r="U546" i="1"/>
  <c r="I546" i="1"/>
  <c r="C546" i="1"/>
  <c r="B546" i="1"/>
  <c r="A546" i="1"/>
  <c r="U545" i="1"/>
  <c r="I545" i="1"/>
  <c r="C545" i="1"/>
  <c r="B545" i="1"/>
  <c r="A545" i="1"/>
  <c r="U544" i="1"/>
  <c r="I544" i="1"/>
  <c r="C544" i="1"/>
  <c r="B544" i="1"/>
  <c r="A544" i="1"/>
  <c r="U543" i="1"/>
  <c r="I543" i="1"/>
  <c r="C543" i="1"/>
  <c r="B543" i="1"/>
  <c r="A543" i="1"/>
  <c r="U542" i="1"/>
  <c r="I542" i="1"/>
  <c r="C542" i="1"/>
  <c r="B542" i="1"/>
  <c r="A542" i="1"/>
  <c r="U541" i="1"/>
  <c r="I541" i="1"/>
  <c r="C541" i="1"/>
  <c r="B541" i="1"/>
  <c r="A541" i="1"/>
  <c r="U540" i="1"/>
  <c r="I540" i="1"/>
  <c r="C540" i="1"/>
  <c r="B540" i="1"/>
  <c r="A540" i="1"/>
  <c r="U539" i="1"/>
  <c r="I539" i="1"/>
  <c r="C539" i="1"/>
  <c r="B539" i="1"/>
  <c r="A539" i="1"/>
  <c r="U538" i="1"/>
  <c r="I538" i="1"/>
  <c r="C538" i="1"/>
  <c r="B538" i="1"/>
  <c r="A538" i="1"/>
  <c r="U537" i="1"/>
  <c r="I537" i="1"/>
  <c r="C537" i="1"/>
  <c r="B537" i="1"/>
  <c r="A537" i="1"/>
  <c r="U536" i="1"/>
  <c r="I536" i="1"/>
  <c r="C536" i="1"/>
  <c r="B536" i="1"/>
  <c r="A536" i="1"/>
  <c r="U535" i="1"/>
  <c r="I535" i="1"/>
  <c r="C535" i="1"/>
  <c r="B535" i="1"/>
  <c r="A535" i="1"/>
  <c r="U534" i="1"/>
  <c r="I534" i="1"/>
  <c r="C534" i="1"/>
  <c r="B534" i="1"/>
  <c r="A534" i="1"/>
  <c r="U533" i="1"/>
  <c r="I533" i="1"/>
  <c r="C533" i="1"/>
  <c r="B533" i="1"/>
  <c r="A533" i="1"/>
  <c r="U532" i="1"/>
  <c r="I532" i="1"/>
  <c r="C532" i="1"/>
  <c r="B532" i="1"/>
  <c r="A532" i="1"/>
  <c r="U531" i="1"/>
  <c r="I531" i="1"/>
  <c r="C531" i="1"/>
  <c r="B531" i="1"/>
  <c r="A531" i="1"/>
  <c r="U530" i="1"/>
  <c r="I530" i="1"/>
  <c r="C530" i="1"/>
  <c r="B530" i="1"/>
  <c r="A530" i="1"/>
  <c r="U529" i="1"/>
  <c r="I529" i="1"/>
  <c r="C529" i="1"/>
  <c r="B529" i="1"/>
  <c r="A529" i="1"/>
  <c r="U528" i="1"/>
  <c r="I528" i="1"/>
  <c r="C528" i="1"/>
  <c r="B528" i="1"/>
  <c r="A528" i="1"/>
  <c r="U527" i="1"/>
  <c r="I527" i="1"/>
  <c r="C527" i="1"/>
  <c r="B527" i="1"/>
  <c r="A527" i="1"/>
  <c r="U526" i="1"/>
  <c r="I526" i="1"/>
  <c r="C526" i="1"/>
  <c r="B526" i="1"/>
  <c r="A526" i="1"/>
  <c r="U525" i="1"/>
  <c r="I525" i="1"/>
  <c r="C525" i="1"/>
  <c r="B525" i="1"/>
  <c r="A525" i="1"/>
  <c r="U524" i="1"/>
  <c r="I524" i="1"/>
  <c r="C524" i="1"/>
  <c r="B524" i="1"/>
  <c r="A524" i="1"/>
  <c r="U523" i="1"/>
  <c r="I523" i="1"/>
  <c r="C523" i="1"/>
  <c r="B523" i="1"/>
  <c r="A523" i="1"/>
  <c r="U522" i="1"/>
  <c r="I522" i="1"/>
  <c r="C522" i="1"/>
  <c r="B522" i="1"/>
  <c r="A522" i="1"/>
  <c r="U521" i="1"/>
  <c r="I521" i="1"/>
  <c r="C521" i="1"/>
  <c r="B521" i="1"/>
  <c r="A521" i="1"/>
  <c r="U520" i="1"/>
  <c r="I520" i="1"/>
  <c r="C520" i="1"/>
  <c r="B520" i="1"/>
  <c r="A520" i="1"/>
  <c r="U519" i="1"/>
  <c r="I519" i="1"/>
  <c r="C519" i="1"/>
  <c r="B519" i="1"/>
  <c r="A519" i="1"/>
  <c r="U518" i="1"/>
  <c r="I518" i="1"/>
  <c r="C518" i="1"/>
  <c r="B518" i="1"/>
  <c r="A518" i="1"/>
  <c r="U517" i="1"/>
  <c r="I517" i="1"/>
  <c r="C517" i="1"/>
  <c r="B517" i="1"/>
  <c r="A517" i="1"/>
  <c r="U516" i="1"/>
  <c r="I516" i="1"/>
  <c r="C516" i="1"/>
  <c r="B516" i="1"/>
  <c r="A516" i="1"/>
  <c r="U515" i="1"/>
  <c r="I515" i="1"/>
  <c r="C515" i="1"/>
  <c r="B515" i="1"/>
  <c r="A515" i="1"/>
  <c r="U514" i="1"/>
  <c r="I514" i="1"/>
  <c r="C514" i="1"/>
  <c r="B514" i="1"/>
  <c r="A514" i="1"/>
  <c r="U513" i="1"/>
  <c r="I513" i="1"/>
  <c r="C513" i="1"/>
  <c r="B513" i="1"/>
  <c r="A513" i="1"/>
  <c r="U512" i="1"/>
  <c r="I512" i="1"/>
  <c r="C512" i="1"/>
  <c r="B512" i="1"/>
  <c r="A512" i="1"/>
  <c r="U511" i="1"/>
  <c r="I511" i="1"/>
  <c r="C511" i="1"/>
  <c r="B511" i="1"/>
  <c r="A511" i="1"/>
  <c r="U510" i="1"/>
  <c r="I510" i="1"/>
  <c r="C510" i="1"/>
  <c r="B510" i="1"/>
  <c r="A510" i="1"/>
  <c r="U509" i="1"/>
  <c r="I509" i="1"/>
  <c r="C509" i="1"/>
  <c r="B509" i="1"/>
  <c r="A509" i="1"/>
  <c r="U508" i="1"/>
  <c r="I508" i="1"/>
  <c r="C508" i="1"/>
  <c r="B508" i="1"/>
  <c r="A508" i="1"/>
  <c r="U507" i="1"/>
  <c r="I507" i="1"/>
  <c r="C507" i="1"/>
  <c r="B507" i="1"/>
  <c r="A507" i="1"/>
  <c r="U506" i="1"/>
  <c r="I506" i="1"/>
  <c r="C506" i="1"/>
  <c r="B506" i="1"/>
  <c r="A506" i="1"/>
  <c r="U505" i="1"/>
  <c r="I505" i="1"/>
  <c r="C505" i="1"/>
  <c r="B505" i="1"/>
  <c r="A505" i="1"/>
  <c r="U504" i="1"/>
  <c r="I504" i="1"/>
  <c r="C504" i="1"/>
  <c r="B504" i="1"/>
  <c r="A504" i="1"/>
  <c r="U503" i="1"/>
  <c r="I503" i="1"/>
  <c r="C503" i="1"/>
  <c r="B503" i="1"/>
  <c r="A503" i="1"/>
  <c r="U502" i="1"/>
  <c r="I502" i="1"/>
  <c r="C502" i="1"/>
  <c r="B502" i="1"/>
  <c r="A502" i="1"/>
  <c r="U501" i="1"/>
  <c r="I501" i="1"/>
  <c r="C501" i="1"/>
  <c r="B501" i="1"/>
  <c r="A501" i="1"/>
  <c r="U500" i="1"/>
  <c r="I500" i="1"/>
  <c r="C500" i="1"/>
  <c r="B500" i="1"/>
  <c r="A500" i="1"/>
  <c r="U499" i="1"/>
  <c r="I499" i="1"/>
  <c r="C499" i="1"/>
  <c r="B499" i="1"/>
  <c r="A499" i="1"/>
  <c r="U498" i="1"/>
  <c r="I498" i="1"/>
  <c r="C498" i="1"/>
  <c r="B498" i="1"/>
  <c r="A498" i="1"/>
  <c r="U497" i="1"/>
  <c r="I497" i="1"/>
  <c r="C497" i="1"/>
  <c r="B497" i="1"/>
  <c r="A497" i="1"/>
  <c r="U496" i="1"/>
  <c r="I496" i="1"/>
  <c r="C496" i="1"/>
  <c r="B496" i="1"/>
  <c r="A496" i="1"/>
  <c r="U495" i="1"/>
  <c r="I495" i="1"/>
  <c r="C495" i="1"/>
  <c r="B495" i="1"/>
  <c r="A495" i="1"/>
  <c r="U494" i="1"/>
  <c r="I494" i="1"/>
  <c r="C494" i="1"/>
  <c r="B494" i="1"/>
  <c r="A494" i="1"/>
  <c r="U493" i="1"/>
  <c r="I493" i="1"/>
  <c r="C493" i="1"/>
  <c r="B493" i="1"/>
  <c r="A493" i="1"/>
  <c r="U492" i="1"/>
  <c r="I492" i="1"/>
  <c r="C492" i="1"/>
  <c r="B492" i="1"/>
  <c r="A492" i="1"/>
  <c r="U491" i="1"/>
  <c r="I491" i="1"/>
  <c r="C491" i="1"/>
  <c r="B491" i="1"/>
  <c r="A491" i="1"/>
  <c r="U490" i="1"/>
  <c r="I490" i="1"/>
  <c r="C490" i="1"/>
  <c r="B490" i="1"/>
  <c r="A490" i="1"/>
  <c r="U489" i="1"/>
  <c r="I489" i="1"/>
  <c r="C489" i="1"/>
  <c r="B489" i="1"/>
  <c r="A489" i="1"/>
  <c r="U488" i="1"/>
  <c r="I488" i="1"/>
  <c r="C488" i="1"/>
  <c r="B488" i="1"/>
  <c r="A488" i="1"/>
  <c r="U487" i="1"/>
  <c r="I487" i="1"/>
  <c r="C487" i="1"/>
  <c r="B487" i="1"/>
  <c r="A487" i="1"/>
  <c r="U486" i="1"/>
  <c r="I486" i="1"/>
  <c r="C486" i="1"/>
  <c r="B486" i="1"/>
  <c r="A486" i="1"/>
  <c r="U485" i="1"/>
  <c r="I485" i="1"/>
  <c r="C485" i="1"/>
  <c r="B485" i="1"/>
  <c r="A485" i="1"/>
  <c r="U484" i="1"/>
  <c r="I484" i="1"/>
  <c r="C484" i="1"/>
  <c r="B484" i="1"/>
  <c r="A484" i="1"/>
  <c r="U483" i="1"/>
  <c r="I483" i="1"/>
  <c r="C483" i="1"/>
  <c r="B483" i="1"/>
  <c r="A483" i="1"/>
  <c r="U482" i="1"/>
  <c r="I482" i="1"/>
  <c r="C482" i="1"/>
  <c r="B482" i="1"/>
  <c r="A482" i="1"/>
  <c r="U481" i="1"/>
  <c r="I481" i="1"/>
  <c r="C481" i="1"/>
  <c r="B481" i="1"/>
  <c r="A481" i="1"/>
  <c r="U480" i="1"/>
  <c r="I480" i="1"/>
  <c r="C480" i="1"/>
  <c r="B480" i="1"/>
  <c r="A480" i="1"/>
  <c r="U479" i="1"/>
  <c r="I479" i="1"/>
  <c r="C479" i="1"/>
  <c r="B479" i="1"/>
  <c r="A479" i="1"/>
  <c r="U478" i="1"/>
  <c r="I478" i="1"/>
  <c r="C478" i="1"/>
  <c r="B478" i="1"/>
  <c r="A478" i="1"/>
  <c r="U477" i="1"/>
  <c r="I477" i="1"/>
  <c r="C477" i="1"/>
  <c r="B477" i="1"/>
  <c r="A477" i="1"/>
  <c r="U476" i="1"/>
  <c r="I476" i="1"/>
  <c r="C476" i="1"/>
  <c r="B476" i="1"/>
  <c r="A476" i="1"/>
  <c r="U475" i="1"/>
  <c r="I475" i="1"/>
  <c r="C475" i="1"/>
  <c r="B475" i="1"/>
  <c r="A475" i="1"/>
  <c r="U474" i="1"/>
  <c r="I474" i="1"/>
  <c r="C474" i="1"/>
  <c r="B474" i="1"/>
  <c r="A474" i="1"/>
  <c r="U473" i="1"/>
  <c r="I473" i="1"/>
  <c r="C473" i="1"/>
  <c r="B473" i="1"/>
  <c r="A473" i="1"/>
  <c r="U472" i="1"/>
  <c r="I472" i="1"/>
  <c r="C472" i="1"/>
  <c r="B472" i="1"/>
  <c r="A472" i="1"/>
  <c r="U471" i="1"/>
  <c r="I471" i="1"/>
  <c r="C471" i="1"/>
  <c r="B471" i="1"/>
  <c r="A471" i="1"/>
  <c r="U470" i="1"/>
  <c r="I470" i="1"/>
  <c r="C470" i="1"/>
  <c r="B470" i="1"/>
  <c r="A470" i="1"/>
  <c r="U469" i="1"/>
  <c r="I469" i="1"/>
  <c r="C469" i="1"/>
  <c r="B469" i="1"/>
  <c r="A469" i="1"/>
  <c r="U468" i="1"/>
  <c r="I468" i="1"/>
  <c r="C468" i="1"/>
  <c r="B468" i="1"/>
  <c r="A468" i="1"/>
  <c r="U467" i="1"/>
  <c r="I467" i="1"/>
  <c r="C467" i="1"/>
  <c r="B467" i="1"/>
  <c r="A467" i="1"/>
  <c r="U466" i="1"/>
  <c r="I466" i="1"/>
  <c r="C466" i="1"/>
  <c r="B466" i="1"/>
  <c r="A466" i="1"/>
  <c r="U465" i="1"/>
  <c r="I465" i="1"/>
  <c r="C465" i="1"/>
  <c r="B465" i="1"/>
  <c r="A465" i="1"/>
  <c r="U464" i="1"/>
  <c r="I464" i="1"/>
  <c r="C464" i="1"/>
  <c r="B464" i="1"/>
  <c r="A464" i="1"/>
  <c r="U463" i="1"/>
  <c r="I463" i="1"/>
  <c r="C463" i="1"/>
  <c r="B463" i="1"/>
  <c r="A463" i="1"/>
  <c r="U462" i="1"/>
  <c r="I462" i="1"/>
  <c r="C462" i="1"/>
  <c r="B462" i="1"/>
  <c r="A462" i="1"/>
  <c r="U461" i="1"/>
  <c r="I461" i="1"/>
  <c r="C461" i="1"/>
  <c r="B461" i="1"/>
  <c r="A461" i="1"/>
  <c r="U460" i="1"/>
  <c r="I460" i="1"/>
  <c r="C460" i="1"/>
  <c r="B460" i="1"/>
  <c r="A460" i="1"/>
  <c r="U459" i="1"/>
  <c r="I459" i="1"/>
  <c r="C459" i="1"/>
  <c r="U458" i="1"/>
  <c r="I458" i="1"/>
  <c r="C458" i="1"/>
  <c r="B458" i="1"/>
  <c r="A458" i="1"/>
  <c r="U457" i="1"/>
  <c r="I457" i="1"/>
  <c r="C457" i="1"/>
  <c r="B457" i="1"/>
  <c r="A457" i="1"/>
  <c r="U456" i="1"/>
  <c r="I456" i="1"/>
  <c r="C456" i="1"/>
  <c r="B456" i="1" s="1"/>
  <c r="A456" i="1"/>
  <c r="U455" i="1"/>
  <c r="I455" i="1"/>
  <c r="C455" i="1"/>
  <c r="B455" i="1"/>
  <c r="A455" i="1"/>
  <c r="U454" i="1"/>
  <c r="I454" i="1"/>
  <c r="C454" i="1"/>
  <c r="U453" i="1"/>
  <c r="I453" i="1"/>
  <c r="C453" i="1"/>
  <c r="B453" i="1" s="1"/>
  <c r="A453" i="1"/>
  <c r="U452" i="1"/>
  <c r="I452" i="1"/>
  <c r="C452" i="1"/>
  <c r="U451" i="1"/>
  <c r="I451" i="1"/>
  <c r="C451" i="1"/>
  <c r="B451" i="1"/>
  <c r="A451" i="1"/>
  <c r="U450" i="1"/>
  <c r="I450" i="1"/>
  <c r="C450" i="1"/>
  <c r="B450" i="1"/>
  <c r="A450" i="1"/>
  <c r="U449" i="1"/>
  <c r="I449" i="1"/>
  <c r="C449" i="1"/>
  <c r="B449" i="1"/>
  <c r="A449" i="1"/>
  <c r="U448" i="1"/>
  <c r="I448" i="1"/>
  <c r="C448" i="1"/>
  <c r="B448" i="1"/>
  <c r="A448" i="1"/>
  <c r="U447" i="1"/>
  <c r="I447" i="1"/>
  <c r="C447" i="1"/>
  <c r="B447" i="1"/>
  <c r="A447" i="1"/>
  <c r="U446" i="1"/>
  <c r="I446" i="1"/>
  <c r="C446" i="1"/>
  <c r="B446" i="1"/>
  <c r="A446" i="1"/>
  <c r="U445" i="1"/>
  <c r="I445" i="1"/>
  <c r="C445" i="1"/>
  <c r="B445" i="1"/>
  <c r="A445" i="1"/>
  <c r="U444" i="1"/>
  <c r="I444" i="1"/>
  <c r="C444" i="1"/>
  <c r="B444" i="1"/>
  <c r="A444" i="1"/>
  <c r="U443" i="1"/>
  <c r="I443" i="1"/>
  <c r="C443" i="1"/>
  <c r="B443" i="1"/>
  <c r="A443" i="1"/>
  <c r="U442" i="1"/>
  <c r="I442" i="1"/>
  <c r="C442" i="1"/>
  <c r="B442" i="1"/>
  <c r="A442" i="1"/>
  <c r="U441" i="1"/>
  <c r="I441" i="1"/>
  <c r="C441" i="1"/>
  <c r="B441" i="1"/>
  <c r="A441" i="1"/>
  <c r="U440" i="1"/>
  <c r="I440" i="1"/>
  <c r="C440" i="1"/>
  <c r="B440" i="1"/>
  <c r="A440" i="1"/>
  <c r="U439" i="1"/>
  <c r="I439" i="1"/>
  <c r="C439" i="1"/>
  <c r="B439" i="1"/>
  <c r="A439" i="1"/>
  <c r="U438" i="1"/>
  <c r="I438" i="1"/>
  <c r="C438" i="1"/>
  <c r="B438" i="1"/>
  <c r="A438" i="1"/>
  <c r="U437" i="1"/>
  <c r="I437" i="1"/>
  <c r="C437" i="1"/>
  <c r="B437" i="1"/>
  <c r="A437" i="1"/>
  <c r="U436" i="1"/>
  <c r="I436" i="1"/>
  <c r="C436" i="1"/>
  <c r="B436" i="1"/>
  <c r="A436" i="1"/>
  <c r="U435" i="1"/>
  <c r="I435" i="1"/>
  <c r="C435" i="1"/>
  <c r="B435" i="1"/>
  <c r="A435" i="1"/>
  <c r="U434" i="1"/>
  <c r="I434" i="1"/>
  <c r="C434" i="1"/>
  <c r="B434" i="1"/>
  <c r="A434" i="1"/>
  <c r="U433" i="1"/>
  <c r="I433" i="1"/>
  <c r="C433" i="1"/>
  <c r="B433" i="1"/>
  <c r="A433" i="1"/>
  <c r="U432" i="1"/>
  <c r="I432" i="1"/>
  <c r="C432" i="1"/>
  <c r="B432" i="1"/>
  <c r="A432" i="1"/>
  <c r="U431" i="1"/>
  <c r="I431" i="1"/>
  <c r="C431" i="1"/>
  <c r="B431" i="1"/>
  <c r="A431" i="1"/>
  <c r="U430" i="1"/>
  <c r="I430" i="1"/>
  <c r="C430" i="1"/>
  <c r="B430" i="1"/>
  <c r="A430" i="1"/>
  <c r="U429" i="1"/>
  <c r="I429" i="1"/>
  <c r="C429" i="1"/>
  <c r="B429" i="1"/>
  <c r="A429" i="1"/>
  <c r="U428" i="1"/>
  <c r="I428" i="1"/>
  <c r="C428" i="1"/>
  <c r="B428" i="1"/>
  <c r="A428" i="1"/>
  <c r="U427" i="1"/>
  <c r="I427" i="1"/>
  <c r="C427" i="1"/>
  <c r="B427" i="1"/>
  <c r="A427" i="1"/>
  <c r="U426" i="1"/>
  <c r="I426" i="1"/>
  <c r="C426" i="1"/>
  <c r="B426" i="1"/>
  <c r="A426" i="1"/>
  <c r="U425" i="1"/>
  <c r="I425" i="1"/>
  <c r="C425" i="1"/>
  <c r="B425" i="1"/>
  <c r="A425" i="1"/>
  <c r="U424" i="1"/>
  <c r="I424" i="1"/>
  <c r="C424" i="1"/>
  <c r="B424" i="1"/>
  <c r="A424" i="1"/>
  <c r="U423" i="1"/>
  <c r="I423" i="1"/>
  <c r="C423" i="1"/>
  <c r="B423" i="1"/>
  <c r="A423" i="1"/>
  <c r="U422" i="1"/>
  <c r="I422" i="1"/>
  <c r="C422" i="1"/>
  <c r="B422" i="1"/>
  <c r="A422" i="1"/>
  <c r="U421" i="1"/>
  <c r="I421" i="1"/>
  <c r="C421" i="1"/>
  <c r="B421" i="1"/>
  <c r="A421" i="1"/>
  <c r="U420" i="1"/>
  <c r="I420" i="1"/>
  <c r="C420" i="1"/>
  <c r="B420" i="1"/>
  <c r="A420" i="1"/>
  <c r="U419" i="1"/>
  <c r="I419" i="1"/>
  <c r="C419" i="1"/>
  <c r="B419" i="1"/>
  <c r="A419" i="1"/>
  <c r="U418" i="1"/>
  <c r="I418" i="1"/>
  <c r="C418" i="1"/>
  <c r="B418" i="1"/>
  <c r="A418" i="1"/>
  <c r="U417" i="1"/>
  <c r="I417" i="1"/>
  <c r="C417" i="1"/>
  <c r="B417" i="1"/>
  <c r="A417" i="1"/>
  <c r="U416" i="1"/>
  <c r="I416" i="1"/>
  <c r="C416" i="1"/>
  <c r="B416" i="1"/>
  <c r="A416" i="1"/>
  <c r="U415" i="1"/>
  <c r="I415" i="1"/>
  <c r="C415" i="1"/>
  <c r="B415" i="1"/>
  <c r="A415" i="1"/>
  <c r="U414" i="1"/>
  <c r="I414" i="1"/>
  <c r="C414" i="1"/>
  <c r="B414" i="1"/>
  <c r="A414" i="1"/>
  <c r="U413" i="1"/>
  <c r="I413" i="1"/>
  <c r="C413" i="1"/>
  <c r="B413" i="1"/>
  <c r="A413" i="1"/>
  <c r="U412" i="1"/>
  <c r="I412" i="1"/>
  <c r="C412" i="1"/>
  <c r="B412" i="1"/>
  <c r="A412" i="1"/>
  <c r="U411" i="1"/>
  <c r="I411" i="1"/>
  <c r="C411" i="1"/>
  <c r="B411" i="1"/>
  <c r="A411" i="1"/>
  <c r="U410" i="1"/>
  <c r="I410" i="1"/>
  <c r="C410" i="1"/>
  <c r="B410" i="1"/>
  <c r="A410" i="1"/>
  <c r="U409" i="1"/>
  <c r="I409" i="1"/>
  <c r="C409" i="1"/>
  <c r="B409" i="1"/>
  <c r="A409" i="1"/>
  <c r="U408" i="1"/>
  <c r="I408" i="1"/>
  <c r="C408" i="1"/>
  <c r="B408" i="1"/>
  <c r="A408" i="1"/>
  <c r="U407" i="1"/>
  <c r="I407" i="1"/>
  <c r="C407" i="1"/>
  <c r="B407" i="1"/>
  <c r="A407" i="1"/>
  <c r="U406" i="1"/>
  <c r="I406" i="1"/>
  <c r="C406" i="1"/>
  <c r="B406" i="1"/>
  <c r="A406" i="1"/>
  <c r="U405" i="1"/>
  <c r="I405" i="1"/>
  <c r="C405" i="1"/>
  <c r="B405" i="1"/>
  <c r="A405" i="1"/>
  <c r="U404" i="1"/>
  <c r="I404" i="1"/>
  <c r="C404" i="1"/>
  <c r="B404" i="1"/>
  <c r="A404" i="1"/>
  <c r="U403" i="1"/>
  <c r="I403" i="1"/>
  <c r="C403" i="1"/>
  <c r="B403" i="1"/>
  <c r="A403" i="1"/>
  <c r="U402" i="1"/>
  <c r="I402" i="1"/>
  <c r="C402" i="1"/>
  <c r="B402" i="1"/>
  <c r="A402" i="1"/>
  <c r="U401" i="1"/>
  <c r="I401" i="1"/>
  <c r="C401" i="1"/>
  <c r="B401" i="1"/>
  <c r="A401" i="1"/>
  <c r="U400" i="1"/>
  <c r="I400" i="1"/>
  <c r="C400" i="1"/>
  <c r="B400" i="1"/>
  <c r="A400" i="1"/>
  <c r="U399" i="1"/>
  <c r="I399" i="1"/>
  <c r="C399" i="1"/>
  <c r="B399" i="1"/>
  <c r="A399" i="1"/>
  <c r="U398" i="1"/>
  <c r="I398" i="1"/>
  <c r="C398" i="1"/>
  <c r="B398" i="1"/>
  <c r="A398" i="1"/>
  <c r="U397" i="1"/>
  <c r="I397" i="1"/>
  <c r="C397" i="1"/>
  <c r="B397" i="1"/>
  <c r="A397" i="1"/>
  <c r="U396" i="1"/>
  <c r="I396" i="1"/>
  <c r="C396" i="1"/>
  <c r="B396" i="1"/>
  <c r="A396" i="1"/>
  <c r="U395" i="1"/>
  <c r="I395" i="1"/>
  <c r="C395" i="1"/>
  <c r="B395" i="1"/>
  <c r="A395" i="1"/>
  <c r="U394" i="1"/>
  <c r="I394" i="1"/>
  <c r="C394" i="1"/>
  <c r="B394" i="1"/>
  <c r="A394" i="1"/>
  <c r="U393" i="1"/>
  <c r="I393" i="1"/>
  <c r="C393" i="1"/>
  <c r="B393" i="1"/>
  <c r="A393" i="1"/>
  <c r="U392" i="1"/>
  <c r="I392" i="1"/>
  <c r="C392" i="1"/>
  <c r="B392" i="1"/>
  <c r="A392" i="1"/>
  <c r="U391" i="1"/>
  <c r="I391" i="1"/>
  <c r="C391" i="1"/>
  <c r="B391" i="1"/>
  <c r="A391" i="1"/>
  <c r="U390" i="1"/>
  <c r="I390" i="1"/>
  <c r="C390" i="1"/>
  <c r="B390" i="1"/>
  <c r="A390" i="1"/>
  <c r="U389" i="1"/>
  <c r="I389" i="1"/>
  <c r="C389" i="1"/>
  <c r="B389" i="1"/>
  <c r="A389" i="1"/>
  <c r="U388" i="1"/>
  <c r="I388" i="1"/>
  <c r="C388" i="1"/>
  <c r="B388" i="1"/>
  <c r="A388" i="1"/>
  <c r="U387" i="1"/>
  <c r="I387" i="1"/>
  <c r="C387" i="1"/>
  <c r="B387" i="1"/>
  <c r="A387" i="1"/>
  <c r="U386" i="1"/>
  <c r="I386" i="1"/>
  <c r="C386" i="1"/>
  <c r="B386" i="1"/>
  <c r="A386" i="1"/>
  <c r="U385" i="1"/>
  <c r="I385" i="1"/>
  <c r="C385" i="1"/>
  <c r="B385" i="1"/>
  <c r="A385" i="1"/>
  <c r="U384" i="1"/>
  <c r="I384" i="1"/>
  <c r="C384" i="1"/>
  <c r="B384" i="1"/>
  <c r="A384" i="1"/>
  <c r="U383" i="1"/>
  <c r="I383" i="1"/>
  <c r="C383" i="1"/>
  <c r="B383" i="1"/>
  <c r="A383" i="1"/>
  <c r="U382" i="1"/>
  <c r="I382" i="1"/>
  <c r="C382" i="1"/>
  <c r="B382" i="1"/>
  <c r="A382" i="1"/>
  <c r="U381" i="1"/>
  <c r="I381" i="1"/>
  <c r="C381" i="1"/>
  <c r="B381" i="1"/>
  <c r="A381" i="1"/>
  <c r="U380" i="1"/>
  <c r="I380" i="1"/>
  <c r="C380" i="1"/>
  <c r="B380" i="1"/>
  <c r="A380" i="1"/>
  <c r="U379" i="1"/>
  <c r="I379" i="1"/>
  <c r="C379" i="1"/>
  <c r="B379" i="1"/>
  <c r="A379" i="1"/>
  <c r="U378" i="1"/>
  <c r="I378" i="1"/>
  <c r="C378" i="1"/>
  <c r="B378" i="1"/>
  <c r="A378" i="1"/>
  <c r="U377" i="1"/>
  <c r="I377" i="1"/>
  <c r="C377" i="1"/>
  <c r="B377" i="1"/>
  <c r="A377" i="1"/>
  <c r="U376" i="1"/>
  <c r="I376" i="1"/>
  <c r="C376" i="1"/>
  <c r="B376" i="1"/>
  <c r="A376" i="1"/>
  <c r="U375" i="1"/>
  <c r="I375" i="1"/>
  <c r="C375" i="1"/>
  <c r="B375" i="1"/>
  <c r="A375" i="1"/>
  <c r="U374" i="1"/>
  <c r="I374" i="1"/>
  <c r="C374" i="1"/>
  <c r="B374" i="1"/>
  <c r="A374" i="1"/>
  <c r="U373" i="1"/>
  <c r="I373" i="1"/>
  <c r="C373" i="1"/>
  <c r="B373" i="1"/>
  <c r="A373" i="1"/>
  <c r="U372" i="1"/>
  <c r="I372" i="1"/>
  <c r="C372" i="1"/>
  <c r="B372" i="1"/>
  <c r="A372" i="1"/>
  <c r="U371" i="1"/>
  <c r="I371" i="1"/>
  <c r="C371" i="1"/>
  <c r="B371" i="1"/>
  <c r="A371" i="1"/>
  <c r="U370" i="1"/>
  <c r="I370" i="1"/>
  <c r="C370" i="1"/>
  <c r="B370" i="1"/>
  <c r="A370" i="1"/>
  <c r="U369" i="1"/>
  <c r="I369" i="1"/>
  <c r="C369" i="1"/>
  <c r="B369" i="1"/>
  <c r="A369" i="1"/>
  <c r="U368" i="1"/>
  <c r="I368" i="1"/>
  <c r="C368" i="1"/>
  <c r="B368" i="1"/>
  <c r="A368" i="1"/>
  <c r="U367" i="1"/>
  <c r="I367" i="1"/>
  <c r="C367" i="1"/>
  <c r="B367" i="1"/>
  <c r="A367" i="1"/>
  <c r="U366" i="1"/>
  <c r="I366" i="1"/>
  <c r="C366" i="1"/>
  <c r="B366" i="1"/>
  <c r="A366" i="1"/>
  <c r="U365" i="1"/>
  <c r="I365" i="1"/>
  <c r="C365" i="1"/>
  <c r="B365" i="1"/>
  <c r="A365" i="1"/>
  <c r="U364" i="1"/>
  <c r="I364" i="1"/>
  <c r="C364" i="1"/>
  <c r="B364" i="1"/>
  <c r="A364" i="1"/>
  <c r="U363" i="1"/>
  <c r="I363" i="1"/>
  <c r="C363" i="1"/>
  <c r="B363" i="1"/>
  <c r="A363" i="1"/>
  <c r="U362" i="1"/>
  <c r="I362" i="1"/>
  <c r="C362" i="1"/>
  <c r="B362" i="1"/>
  <c r="A362" i="1"/>
  <c r="U361" i="1"/>
  <c r="I361" i="1"/>
  <c r="C361" i="1"/>
  <c r="B361" i="1"/>
  <c r="A361" i="1"/>
  <c r="U360" i="1"/>
  <c r="I360" i="1"/>
  <c r="C360" i="1"/>
  <c r="B360" i="1"/>
  <c r="A360" i="1"/>
  <c r="U359" i="1"/>
  <c r="I359" i="1"/>
  <c r="C359" i="1"/>
  <c r="B359" i="1"/>
  <c r="A359" i="1"/>
  <c r="U358" i="1"/>
  <c r="I358" i="1"/>
  <c r="C358" i="1"/>
  <c r="B358" i="1"/>
  <c r="A358" i="1"/>
  <c r="U357" i="1"/>
  <c r="I357" i="1"/>
  <c r="C357" i="1"/>
  <c r="B357" i="1"/>
  <c r="A357" i="1"/>
  <c r="U356" i="1"/>
  <c r="I356" i="1"/>
  <c r="C356" i="1"/>
  <c r="B356" i="1"/>
  <c r="A356" i="1"/>
  <c r="U355" i="1"/>
  <c r="I355" i="1"/>
  <c r="C355" i="1"/>
  <c r="B355" i="1"/>
  <c r="A355" i="1"/>
  <c r="U354" i="1"/>
  <c r="I354" i="1"/>
  <c r="C354" i="1"/>
  <c r="B354" i="1"/>
  <c r="A354" i="1"/>
  <c r="U353" i="1"/>
  <c r="I353" i="1"/>
  <c r="C353" i="1"/>
  <c r="B353" i="1"/>
  <c r="A353" i="1"/>
  <c r="U352" i="1"/>
  <c r="I352" i="1"/>
  <c r="C352" i="1"/>
  <c r="B352" i="1"/>
  <c r="A352" i="1"/>
  <c r="U351" i="1"/>
  <c r="I351" i="1"/>
  <c r="C351" i="1"/>
  <c r="B351" i="1"/>
  <c r="A351" i="1"/>
  <c r="U350" i="1"/>
  <c r="I350" i="1"/>
  <c r="C350" i="1"/>
  <c r="B350" i="1"/>
  <c r="A350" i="1"/>
  <c r="U349" i="1"/>
  <c r="I349" i="1"/>
  <c r="C349" i="1"/>
  <c r="B349" i="1"/>
  <c r="A349" i="1"/>
  <c r="U348" i="1"/>
  <c r="I348" i="1"/>
  <c r="C348" i="1"/>
  <c r="B348" i="1"/>
  <c r="A348" i="1"/>
  <c r="U347" i="1"/>
  <c r="I347" i="1"/>
  <c r="C347" i="1"/>
  <c r="B347" i="1"/>
  <c r="A347" i="1"/>
  <c r="U346" i="1"/>
  <c r="I346" i="1"/>
  <c r="C346" i="1"/>
  <c r="B346" i="1"/>
  <c r="A346" i="1"/>
  <c r="U345" i="1"/>
  <c r="I345" i="1"/>
  <c r="C345" i="1"/>
  <c r="B345" i="1"/>
  <c r="A345" i="1"/>
  <c r="U344" i="1"/>
  <c r="I344" i="1"/>
  <c r="C344" i="1"/>
  <c r="B344" i="1"/>
  <c r="A344" i="1"/>
  <c r="U343" i="1"/>
  <c r="I343" i="1"/>
  <c r="C343" i="1"/>
  <c r="B343" i="1"/>
  <c r="A343" i="1"/>
  <c r="U342" i="1"/>
  <c r="I342" i="1"/>
  <c r="C342" i="1"/>
  <c r="B342" i="1"/>
  <c r="A342" i="1"/>
  <c r="U341" i="1"/>
  <c r="I341" i="1"/>
  <c r="C341" i="1"/>
  <c r="B341" i="1"/>
  <c r="A341" i="1"/>
  <c r="U340" i="1"/>
  <c r="I340" i="1"/>
  <c r="C340" i="1"/>
  <c r="B340" i="1"/>
  <c r="A340" i="1"/>
  <c r="U339" i="1"/>
  <c r="I339" i="1"/>
  <c r="C339" i="1"/>
  <c r="B339" i="1"/>
  <c r="A339" i="1"/>
  <c r="U338" i="1"/>
  <c r="I338" i="1"/>
  <c r="C338" i="1"/>
  <c r="B338" i="1"/>
  <c r="A338" i="1"/>
  <c r="U337" i="1"/>
  <c r="I337" i="1"/>
  <c r="C337" i="1"/>
  <c r="B337" i="1"/>
  <c r="A337" i="1"/>
  <c r="U336" i="1"/>
  <c r="I336" i="1"/>
  <c r="C336" i="1"/>
  <c r="B336" i="1"/>
  <c r="A336" i="1"/>
  <c r="U335" i="1"/>
  <c r="I335" i="1"/>
  <c r="C335" i="1"/>
  <c r="B335" i="1"/>
  <c r="A335" i="1"/>
  <c r="U334" i="1"/>
  <c r="I334" i="1"/>
  <c r="C334" i="1"/>
  <c r="B334" i="1"/>
  <c r="A334" i="1"/>
  <c r="U333" i="1"/>
  <c r="I333" i="1"/>
  <c r="C333" i="1"/>
  <c r="B333" i="1"/>
  <c r="A333" i="1"/>
  <c r="U332" i="1"/>
  <c r="I332" i="1"/>
  <c r="C332" i="1"/>
  <c r="B332" i="1"/>
  <c r="A332" i="1"/>
  <c r="U331" i="1"/>
  <c r="I331" i="1"/>
  <c r="C331" i="1"/>
  <c r="B331" i="1"/>
  <c r="A331" i="1"/>
  <c r="U330" i="1"/>
  <c r="I330" i="1"/>
  <c r="C330" i="1"/>
  <c r="B330" i="1"/>
  <c r="A330" i="1"/>
  <c r="U329" i="1"/>
  <c r="I329" i="1"/>
  <c r="C329" i="1"/>
  <c r="B329" i="1"/>
  <c r="A329" i="1"/>
  <c r="U328" i="1"/>
  <c r="I328" i="1"/>
  <c r="C328" i="1"/>
  <c r="B328" i="1"/>
  <c r="A328" i="1"/>
  <c r="U327" i="1"/>
  <c r="I327" i="1"/>
  <c r="C327" i="1"/>
  <c r="B327" i="1"/>
  <c r="A327" i="1"/>
  <c r="U326" i="1"/>
  <c r="I326" i="1"/>
  <c r="C326" i="1"/>
  <c r="B326" i="1"/>
  <c r="A326" i="1"/>
  <c r="U325" i="1"/>
  <c r="I325" i="1"/>
  <c r="C325" i="1"/>
  <c r="B325" i="1"/>
  <c r="A325" i="1"/>
  <c r="U324" i="1"/>
  <c r="I324" i="1"/>
  <c r="C324" i="1"/>
  <c r="B324" i="1"/>
  <c r="A324" i="1"/>
  <c r="U323" i="1"/>
  <c r="I323" i="1"/>
  <c r="C323" i="1"/>
  <c r="B323" i="1"/>
  <c r="A323" i="1"/>
  <c r="U322" i="1"/>
  <c r="I322" i="1"/>
  <c r="C322" i="1"/>
  <c r="B322" i="1"/>
  <c r="A322" i="1"/>
  <c r="U321" i="1"/>
  <c r="I321" i="1"/>
  <c r="C321" i="1"/>
  <c r="B321" i="1"/>
  <c r="A321" i="1"/>
  <c r="U320" i="1"/>
  <c r="I320" i="1"/>
  <c r="C320" i="1"/>
  <c r="B320" i="1"/>
  <c r="A320" i="1"/>
  <c r="U319" i="1"/>
  <c r="I319" i="1"/>
  <c r="C319" i="1"/>
  <c r="B319" i="1"/>
  <c r="A319" i="1"/>
  <c r="U318" i="1"/>
  <c r="I318" i="1"/>
  <c r="C318" i="1"/>
  <c r="B318" i="1"/>
  <c r="A318" i="1"/>
  <c r="U317" i="1"/>
  <c r="I317" i="1"/>
  <c r="C317" i="1"/>
  <c r="B317" i="1"/>
  <c r="A317" i="1"/>
  <c r="U316" i="1"/>
  <c r="I316" i="1"/>
  <c r="C316" i="1"/>
  <c r="B316" i="1"/>
  <c r="A316" i="1"/>
  <c r="U315" i="1"/>
  <c r="I315" i="1"/>
  <c r="C315" i="1"/>
  <c r="B315" i="1"/>
  <c r="A315" i="1"/>
  <c r="U314" i="1"/>
  <c r="I314" i="1"/>
  <c r="C314" i="1"/>
  <c r="B314" i="1"/>
  <c r="A314" i="1"/>
  <c r="U313" i="1"/>
  <c r="I313" i="1"/>
  <c r="C313" i="1"/>
  <c r="B313" i="1"/>
  <c r="A313" i="1"/>
  <c r="U312" i="1"/>
  <c r="I312" i="1"/>
  <c r="C312" i="1"/>
  <c r="B312" i="1"/>
  <c r="A312" i="1"/>
  <c r="U311" i="1"/>
  <c r="I311" i="1"/>
  <c r="C311" i="1"/>
  <c r="B311" i="1"/>
  <c r="A311" i="1"/>
  <c r="U310" i="1"/>
  <c r="I310" i="1"/>
  <c r="C310" i="1"/>
  <c r="B310" i="1"/>
  <c r="A310" i="1"/>
  <c r="U309" i="1"/>
  <c r="I309" i="1"/>
  <c r="C309" i="1"/>
  <c r="B309" i="1"/>
  <c r="A309" i="1"/>
  <c r="U308" i="1"/>
  <c r="I308" i="1"/>
  <c r="C308" i="1"/>
  <c r="B308" i="1"/>
  <c r="A308" i="1"/>
  <c r="U307" i="1"/>
  <c r="I307" i="1"/>
  <c r="C307" i="1"/>
  <c r="B307" i="1"/>
  <c r="A307" i="1"/>
  <c r="U306" i="1"/>
  <c r="I306" i="1"/>
  <c r="C306" i="1"/>
  <c r="B306" i="1"/>
  <c r="A306" i="1"/>
  <c r="U305" i="1"/>
  <c r="I305" i="1"/>
  <c r="C305" i="1"/>
  <c r="B305" i="1"/>
  <c r="A305" i="1"/>
  <c r="U304" i="1"/>
  <c r="I304" i="1"/>
  <c r="C304" i="1"/>
  <c r="B304" i="1"/>
  <c r="A304" i="1"/>
  <c r="U303" i="1"/>
  <c r="I303" i="1"/>
  <c r="C303" i="1"/>
  <c r="B303" i="1"/>
  <c r="A303" i="1"/>
  <c r="U302" i="1"/>
  <c r="I302" i="1"/>
  <c r="C302" i="1"/>
  <c r="B302" i="1"/>
  <c r="A302" i="1"/>
  <c r="U301" i="1"/>
  <c r="I301" i="1"/>
  <c r="C301" i="1"/>
  <c r="B301" i="1"/>
  <c r="A301" i="1"/>
  <c r="U300" i="1"/>
  <c r="I300" i="1"/>
  <c r="C300" i="1"/>
  <c r="B300" i="1"/>
  <c r="A300" i="1"/>
  <c r="U299" i="1"/>
  <c r="I299" i="1"/>
  <c r="C299" i="1"/>
  <c r="B299" i="1"/>
  <c r="A299" i="1"/>
  <c r="U298" i="1"/>
  <c r="I298" i="1"/>
  <c r="C298" i="1"/>
  <c r="B298" i="1"/>
  <c r="A298" i="1"/>
  <c r="U297" i="1"/>
  <c r="I297" i="1"/>
  <c r="C297" i="1"/>
  <c r="B297" i="1"/>
  <c r="A297" i="1"/>
  <c r="U296" i="1"/>
  <c r="I296" i="1"/>
  <c r="C296" i="1"/>
  <c r="B296" i="1"/>
  <c r="A296" i="1"/>
  <c r="U295" i="1"/>
  <c r="I295" i="1"/>
  <c r="C295" i="1"/>
  <c r="B295" i="1"/>
  <c r="A295" i="1"/>
  <c r="U294" i="1"/>
  <c r="I294" i="1"/>
  <c r="C294" i="1"/>
  <c r="B294" i="1"/>
  <c r="A294" i="1"/>
  <c r="U293" i="1"/>
  <c r="I293" i="1"/>
  <c r="C293" i="1"/>
  <c r="B293" i="1"/>
  <c r="A293" i="1"/>
  <c r="U292" i="1"/>
  <c r="I292" i="1"/>
  <c r="C292" i="1"/>
  <c r="B292" i="1"/>
  <c r="A292" i="1"/>
  <c r="U291" i="1"/>
  <c r="I291" i="1"/>
  <c r="C291" i="1"/>
  <c r="B291" i="1"/>
  <c r="A291" i="1"/>
  <c r="U290" i="1"/>
  <c r="I290" i="1"/>
  <c r="C290" i="1"/>
  <c r="B290" i="1"/>
  <c r="A290" i="1"/>
  <c r="U289" i="1"/>
  <c r="I289" i="1"/>
  <c r="C289" i="1"/>
  <c r="B289" i="1"/>
  <c r="A289" i="1"/>
  <c r="U288" i="1"/>
  <c r="I288" i="1"/>
  <c r="C288" i="1"/>
  <c r="B288" i="1"/>
  <c r="A288" i="1"/>
  <c r="U287" i="1"/>
  <c r="I287" i="1"/>
  <c r="C287" i="1"/>
  <c r="B287" i="1"/>
  <c r="A287" i="1"/>
  <c r="U286" i="1"/>
  <c r="I286" i="1"/>
  <c r="C286" i="1"/>
  <c r="B286" i="1"/>
  <c r="A286" i="1"/>
  <c r="U285" i="1"/>
  <c r="I285" i="1"/>
  <c r="C285" i="1"/>
  <c r="B285" i="1"/>
  <c r="A285" i="1"/>
  <c r="U284" i="1"/>
  <c r="I284" i="1"/>
  <c r="C284" i="1"/>
  <c r="B284" i="1"/>
  <c r="A284" i="1"/>
  <c r="U283" i="1"/>
  <c r="I283" i="1"/>
  <c r="C283" i="1"/>
  <c r="B283" i="1"/>
  <c r="A283" i="1"/>
  <c r="U282" i="1"/>
  <c r="I282" i="1"/>
  <c r="C282" i="1"/>
  <c r="B282" i="1"/>
  <c r="A282" i="1"/>
  <c r="U281" i="1"/>
  <c r="I281" i="1"/>
  <c r="C281" i="1"/>
  <c r="B281" i="1"/>
  <c r="A281" i="1"/>
  <c r="U280" i="1"/>
  <c r="I280" i="1"/>
  <c r="C280" i="1"/>
  <c r="B280" i="1"/>
  <c r="A280" i="1"/>
  <c r="U279" i="1"/>
  <c r="I279" i="1"/>
  <c r="C279" i="1"/>
  <c r="B279" i="1"/>
  <c r="A279" i="1"/>
  <c r="U278" i="1"/>
  <c r="I278" i="1"/>
  <c r="C278" i="1"/>
  <c r="B278" i="1"/>
  <c r="A278" i="1"/>
  <c r="U277" i="1"/>
  <c r="I277" i="1"/>
  <c r="C277" i="1"/>
  <c r="B277" i="1"/>
  <c r="A277" i="1"/>
  <c r="U276" i="1"/>
  <c r="I276" i="1"/>
  <c r="C276" i="1"/>
  <c r="B276" i="1"/>
  <c r="A276" i="1"/>
  <c r="U275" i="1"/>
  <c r="I275" i="1"/>
  <c r="C275" i="1"/>
  <c r="B275" i="1"/>
  <c r="A275" i="1"/>
  <c r="U274" i="1"/>
  <c r="I274" i="1"/>
  <c r="C274" i="1"/>
  <c r="B274" i="1"/>
  <c r="A274" i="1"/>
  <c r="U273" i="1"/>
  <c r="I273" i="1"/>
  <c r="C273" i="1"/>
  <c r="B273" i="1"/>
  <c r="A273" i="1"/>
  <c r="U272" i="1"/>
  <c r="I272" i="1"/>
  <c r="C272" i="1"/>
  <c r="B272" i="1"/>
  <c r="A272" i="1"/>
  <c r="U271" i="1"/>
  <c r="I271" i="1"/>
  <c r="C271" i="1"/>
  <c r="B271" i="1"/>
  <c r="A271" i="1"/>
  <c r="U270" i="1"/>
  <c r="I270" i="1"/>
  <c r="C270" i="1"/>
  <c r="B270" i="1"/>
  <c r="A270" i="1"/>
  <c r="U269" i="1"/>
  <c r="I269" i="1"/>
  <c r="C269" i="1"/>
  <c r="B269" i="1"/>
  <c r="A269" i="1"/>
  <c r="U268" i="1"/>
  <c r="I268" i="1"/>
  <c r="C268" i="1"/>
  <c r="B268" i="1"/>
  <c r="A268" i="1"/>
  <c r="U267" i="1"/>
  <c r="I267" i="1"/>
  <c r="C267" i="1"/>
  <c r="B267" i="1"/>
  <c r="A267" i="1"/>
  <c r="U266" i="1"/>
  <c r="I266" i="1"/>
  <c r="C266" i="1"/>
  <c r="B266" i="1"/>
  <c r="A266" i="1"/>
  <c r="U265" i="1"/>
  <c r="I265" i="1"/>
  <c r="C265" i="1"/>
  <c r="B265" i="1"/>
  <c r="A265" i="1"/>
  <c r="U264" i="1"/>
  <c r="I264" i="1"/>
  <c r="C264" i="1"/>
  <c r="B264" i="1"/>
  <c r="A264" i="1"/>
  <c r="U263" i="1"/>
  <c r="I263" i="1"/>
  <c r="C263" i="1"/>
  <c r="B263" i="1"/>
  <c r="A263" i="1"/>
  <c r="U262" i="1"/>
  <c r="I262" i="1"/>
  <c r="C262" i="1"/>
  <c r="B262" i="1"/>
  <c r="A262" i="1"/>
  <c r="U261" i="1"/>
  <c r="I261" i="1"/>
  <c r="C261" i="1"/>
  <c r="B261" i="1"/>
  <c r="A261" i="1"/>
  <c r="U260" i="1"/>
  <c r="I260" i="1"/>
  <c r="C260" i="1"/>
  <c r="B260" i="1"/>
  <c r="A260" i="1"/>
  <c r="U259" i="1"/>
  <c r="I259" i="1"/>
  <c r="C259" i="1"/>
  <c r="B259" i="1"/>
  <c r="A259" i="1"/>
  <c r="U258" i="1"/>
  <c r="I258" i="1"/>
  <c r="C258" i="1"/>
  <c r="B258" i="1"/>
  <c r="A258" i="1"/>
  <c r="U257" i="1"/>
  <c r="I257" i="1"/>
  <c r="C257" i="1"/>
  <c r="B257" i="1"/>
  <c r="A257" i="1"/>
  <c r="U256" i="1"/>
  <c r="I256" i="1"/>
  <c r="C256" i="1"/>
  <c r="B256" i="1"/>
  <c r="A256" i="1"/>
  <c r="U255" i="1"/>
  <c r="I255" i="1"/>
  <c r="C255" i="1"/>
  <c r="B255" i="1"/>
  <c r="A255" i="1"/>
  <c r="U254" i="1"/>
  <c r="I254" i="1"/>
  <c r="C254" i="1"/>
  <c r="B254" i="1"/>
  <c r="A254" i="1"/>
  <c r="U253" i="1"/>
  <c r="I253" i="1"/>
  <c r="C253" i="1"/>
  <c r="B253" i="1"/>
  <c r="A253" i="1"/>
  <c r="U252" i="1"/>
  <c r="I252" i="1"/>
  <c r="C252" i="1"/>
  <c r="B252" i="1"/>
  <c r="A252" i="1"/>
  <c r="U251" i="1"/>
  <c r="I251" i="1"/>
  <c r="C251" i="1"/>
  <c r="B251" i="1"/>
  <c r="A251" i="1"/>
  <c r="U250" i="1"/>
  <c r="I250" i="1"/>
  <c r="C250" i="1"/>
  <c r="B250" i="1"/>
  <c r="A250" i="1"/>
  <c r="U249" i="1"/>
  <c r="I249" i="1"/>
  <c r="C249" i="1"/>
  <c r="B249" i="1"/>
  <c r="A249" i="1"/>
  <c r="U248" i="1"/>
  <c r="I248" i="1"/>
  <c r="C248" i="1"/>
  <c r="B248" i="1"/>
  <c r="A248" i="1"/>
  <c r="U247" i="1"/>
  <c r="I247" i="1"/>
  <c r="C247" i="1"/>
  <c r="B247" i="1"/>
  <c r="A247" i="1"/>
  <c r="U246" i="1"/>
  <c r="I246" i="1"/>
  <c r="C246" i="1"/>
  <c r="B246" i="1"/>
  <c r="A246" i="1"/>
  <c r="U245" i="1"/>
  <c r="I245" i="1"/>
  <c r="C245" i="1"/>
  <c r="B245" i="1"/>
  <c r="A245" i="1"/>
  <c r="U244" i="1"/>
  <c r="I244" i="1"/>
  <c r="C244" i="1"/>
  <c r="B244" i="1"/>
  <c r="A244" i="1"/>
  <c r="U243" i="1"/>
  <c r="I243" i="1"/>
  <c r="C243" i="1"/>
  <c r="B243" i="1"/>
  <c r="A243" i="1"/>
  <c r="U242" i="1"/>
  <c r="I242" i="1"/>
  <c r="C242" i="1"/>
  <c r="B242" i="1"/>
  <c r="A242" i="1"/>
  <c r="U241" i="1"/>
  <c r="I241" i="1"/>
  <c r="C241" i="1"/>
  <c r="B241" i="1"/>
  <c r="A241" i="1"/>
  <c r="U240" i="1"/>
  <c r="I240" i="1"/>
  <c r="C240" i="1"/>
  <c r="B240" i="1"/>
  <c r="A240" i="1"/>
  <c r="U239" i="1"/>
  <c r="I239" i="1"/>
  <c r="C239" i="1"/>
  <c r="B239" i="1"/>
  <c r="A239" i="1"/>
  <c r="U238" i="1"/>
  <c r="I238" i="1"/>
  <c r="C238" i="1"/>
  <c r="B238" i="1"/>
  <c r="A238" i="1"/>
  <c r="U237" i="1"/>
  <c r="I237" i="1"/>
  <c r="C237" i="1"/>
  <c r="B237" i="1"/>
  <c r="A237" i="1"/>
  <c r="U236" i="1"/>
  <c r="I236" i="1"/>
  <c r="C236" i="1"/>
  <c r="B236" i="1"/>
  <c r="A236" i="1"/>
  <c r="U235" i="1"/>
  <c r="I235" i="1"/>
  <c r="C235" i="1"/>
  <c r="B235" i="1"/>
  <c r="A235" i="1"/>
  <c r="U234" i="1"/>
  <c r="I234" i="1"/>
  <c r="C234" i="1"/>
  <c r="B234" i="1"/>
  <c r="A234" i="1"/>
  <c r="U233" i="1"/>
  <c r="I233" i="1"/>
  <c r="C233" i="1"/>
  <c r="B233" i="1"/>
  <c r="A233" i="1"/>
  <c r="U232" i="1"/>
  <c r="I232" i="1"/>
  <c r="C232" i="1"/>
  <c r="B232" i="1"/>
  <c r="A232" i="1"/>
  <c r="U231" i="1"/>
  <c r="I231" i="1"/>
  <c r="C231" i="1"/>
  <c r="B231" i="1"/>
  <c r="A231" i="1"/>
  <c r="U230" i="1"/>
  <c r="I230" i="1"/>
  <c r="C230" i="1"/>
  <c r="B230" i="1"/>
  <c r="A230" i="1"/>
  <c r="U229" i="1"/>
  <c r="I229" i="1"/>
  <c r="C229" i="1"/>
  <c r="B229" i="1"/>
  <c r="A229" i="1"/>
  <c r="U228" i="1"/>
  <c r="I228" i="1"/>
  <c r="C228" i="1"/>
  <c r="B228" i="1"/>
  <c r="A228" i="1"/>
  <c r="U227" i="1"/>
  <c r="I227" i="1"/>
  <c r="C227" i="1"/>
  <c r="B227" i="1"/>
  <c r="A227" i="1"/>
  <c r="U226" i="1"/>
  <c r="I226" i="1"/>
  <c r="C226" i="1"/>
  <c r="B226" i="1"/>
  <c r="A226" i="1"/>
  <c r="U225" i="1"/>
  <c r="I225" i="1"/>
  <c r="C225" i="1"/>
  <c r="B225" i="1"/>
  <c r="A225" i="1"/>
  <c r="U224" i="1"/>
  <c r="I224" i="1"/>
  <c r="C224" i="1"/>
  <c r="B224" i="1"/>
  <c r="A224" i="1"/>
  <c r="U223" i="1"/>
  <c r="I223" i="1"/>
  <c r="C223" i="1"/>
  <c r="B223" i="1"/>
  <c r="A223" i="1"/>
  <c r="U222" i="1"/>
  <c r="I222" i="1"/>
  <c r="C222" i="1"/>
  <c r="B222" i="1"/>
  <c r="A222" i="1"/>
  <c r="U221" i="1"/>
  <c r="I221" i="1"/>
  <c r="C221" i="1"/>
  <c r="B221" i="1"/>
  <c r="A221" i="1"/>
  <c r="U220" i="1"/>
  <c r="I220" i="1"/>
  <c r="C220" i="1"/>
  <c r="B220" i="1"/>
  <c r="A220" i="1"/>
  <c r="U219" i="1"/>
  <c r="I219" i="1"/>
  <c r="C219" i="1"/>
  <c r="B219" i="1"/>
  <c r="A219" i="1"/>
  <c r="U218" i="1"/>
  <c r="I218" i="1"/>
  <c r="C218" i="1"/>
  <c r="B218" i="1"/>
  <c r="A218" i="1"/>
  <c r="U217" i="1"/>
  <c r="I217" i="1"/>
  <c r="C217" i="1"/>
  <c r="B217" i="1"/>
  <c r="A217" i="1"/>
  <c r="U216" i="1"/>
  <c r="I216" i="1"/>
  <c r="C216" i="1"/>
  <c r="B216" i="1"/>
  <c r="A216" i="1"/>
  <c r="U215" i="1"/>
  <c r="I215" i="1"/>
  <c r="C215" i="1"/>
  <c r="B215" i="1"/>
  <c r="A215" i="1"/>
  <c r="U214" i="1"/>
  <c r="I214" i="1"/>
  <c r="C214" i="1"/>
  <c r="B214" i="1"/>
  <c r="A214" i="1"/>
  <c r="U213" i="1"/>
  <c r="I213" i="1"/>
  <c r="C213" i="1"/>
  <c r="B213" i="1"/>
  <c r="A213" i="1"/>
  <c r="U212" i="1"/>
  <c r="I212" i="1"/>
  <c r="C212" i="1"/>
  <c r="B212" i="1"/>
  <c r="A212" i="1"/>
  <c r="U211" i="1"/>
  <c r="I211" i="1"/>
  <c r="C211" i="1"/>
  <c r="B211" i="1"/>
  <c r="A211" i="1"/>
  <c r="U210" i="1"/>
  <c r="I210" i="1"/>
  <c r="C210" i="1"/>
  <c r="B210" i="1"/>
  <c r="A210" i="1"/>
  <c r="U209" i="1"/>
  <c r="I209" i="1"/>
  <c r="C209" i="1"/>
  <c r="B209" i="1"/>
  <c r="A209" i="1"/>
  <c r="U208" i="1"/>
  <c r="I208" i="1"/>
  <c r="C208" i="1"/>
  <c r="B208" i="1"/>
  <c r="A208" i="1"/>
  <c r="U207" i="1"/>
  <c r="I207" i="1"/>
  <c r="C207" i="1"/>
  <c r="B207" i="1"/>
  <c r="A207" i="1"/>
  <c r="U206" i="1"/>
  <c r="I206" i="1"/>
  <c r="C206" i="1"/>
  <c r="B206" i="1"/>
  <c r="A206" i="1"/>
  <c r="U205" i="1"/>
  <c r="I205" i="1"/>
  <c r="C205" i="1"/>
  <c r="B205" i="1"/>
  <c r="A205" i="1"/>
  <c r="U204" i="1"/>
  <c r="I204" i="1"/>
  <c r="C204" i="1"/>
  <c r="U203" i="1"/>
  <c r="I203" i="1"/>
  <c r="C203" i="1"/>
  <c r="B203" i="1"/>
  <c r="A203" i="1"/>
  <c r="U202" i="1"/>
  <c r="I202" i="1"/>
  <c r="C202" i="1"/>
  <c r="B202" i="1"/>
  <c r="A202" i="1"/>
  <c r="U201" i="1"/>
  <c r="I201" i="1"/>
  <c r="C201" i="1"/>
  <c r="B201" i="1"/>
  <c r="A201" i="1"/>
  <c r="U200" i="1"/>
  <c r="I200" i="1"/>
  <c r="C200" i="1"/>
  <c r="B200" i="1"/>
  <c r="A200" i="1"/>
  <c r="U199" i="1"/>
  <c r="I199" i="1"/>
  <c r="C199" i="1"/>
  <c r="B199" i="1"/>
  <c r="A199" i="1"/>
  <c r="U198" i="1"/>
  <c r="I198" i="1"/>
  <c r="C198" i="1"/>
  <c r="B198" i="1"/>
  <c r="A198" i="1"/>
  <c r="U197" i="1"/>
  <c r="I197" i="1"/>
  <c r="C197" i="1"/>
  <c r="B197" i="1"/>
  <c r="A197" i="1"/>
  <c r="U196" i="1"/>
  <c r="I196" i="1"/>
  <c r="C196" i="1"/>
  <c r="B196" i="1"/>
  <c r="A196" i="1"/>
  <c r="U195" i="1"/>
  <c r="I195" i="1"/>
  <c r="C195" i="1"/>
  <c r="B195" i="1"/>
  <c r="A195" i="1"/>
  <c r="U194" i="1"/>
  <c r="I194" i="1"/>
  <c r="C194" i="1"/>
  <c r="B194" i="1"/>
  <c r="A194" i="1"/>
  <c r="U193" i="1"/>
  <c r="I193" i="1"/>
  <c r="C193" i="1"/>
  <c r="B193" i="1"/>
  <c r="A193" i="1"/>
  <c r="U192" i="1"/>
  <c r="I192" i="1"/>
  <c r="C192" i="1"/>
  <c r="B192" i="1"/>
  <c r="A192" i="1"/>
  <c r="U191" i="1"/>
  <c r="I191" i="1"/>
  <c r="C191" i="1"/>
  <c r="B191" i="1"/>
  <c r="A191" i="1"/>
  <c r="U190" i="1"/>
  <c r="I190" i="1"/>
  <c r="C190" i="1"/>
  <c r="B190" i="1"/>
  <c r="A190" i="1"/>
  <c r="U189" i="1"/>
  <c r="I189" i="1"/>
  <c r="C189" i="1"/>
  <c r="B189" i="1"/>
  <c r="A189" i="1"/>
  <c r="U188" i="1"/>
  <c r="I188" i="1"/>
  <c r="C188" i="1"/>
  <c r="B188" i="1"/>
  <c r="A188" i="1"/>
  <c r="U187" i="1"/>
  <c r="I187" i="1"/>
  <c r="C187" i="1"/>
  <c r="B187" i="1"/>
  <c r="A187" i="1"/>
  <c r="U186" i="1"/>
  <c r="I186" i="1"/>
  <c r="C186" i="1"/>
  <c r="B186" i="1"/>
  <c r="A186" i="1"/>
  <c r="U185" i="1"/>
  <c r="I185" i="1"/>
  <c r="C185" i="1"/>
  <c r="B185" i="1"/>
  <c r="A185" i="1"/>
  <c r="U184" i="1"/>
  <c r="I184" i="1"/>
  <c r="C184" i="1"/>
  <c r="B184" i="1"/>
  <c r="A184" i="1"/>
  <c r="U183" i="1"/>
  <c r="I183" i="1"/>
  <c r="C183" i="1"/>
  <c r="B183" i="1"/>
  <c r="A183" i="1"/>
  <c r="U182" i="1"/>
  <c r="I182" i="1"/>
  <c r="C182" i="1"/>
  <c r="B182" i="1"/>
  <c r="A182" i="1"/>
  <c r="U181" i="1"/>
  <c r="I181" i="1"/>
  <c r="C181" i="1"/>
  <c r="B181" i="1"/>
  <c r="A181" i="1"/>
  <c r="U180" i="1"/>
  <c r="I180" i="1"/>
  <c r="C180" i="1"/>
  <c r="B180" i="1"/>
  <c r="A180" i="1"/>
  <c r="U179" i="1"/>
  <c r="I179" i="1"/>
  <c r="C179" i="1"/>
  <c r="B179" i="1"/>
  <c r="A179" i="1"/>
  <c r="U178" i="1"/>
  <c r="I178" i="1"/>
  <c r="C178" i="1"/>
  <c r="B178" i="1"/>
  <c r="A178" i="1"/>
  <c r="U177" i="1"/>
  <c r="I177" i="1"/>
  <c r="C177" i="1"/>
  <c r="B177" i="1"/>
  <c r="A177" i="1"/>
  <c r="U176" i="1"/>
  <c r="I176" i="1"/>
  <c r="C176" i="1"/>
  <c r="B176" i="1"/>
  <c r="A176" i="1"/>
  <c r="U175" i="1"/>
  <c r="I175" i="1"/>
  <c r="C175" i="1"/>
  <c r="B175" i="1"/>
  <c r="A175" i="1"/>
  <c r="U174" i="1"/>
  <c r="I174" i="1"/>
  <c r="C174" i="1"/>
  <c r="B174" i="1"/>
  <c r="A174" i="1"/>
  <c r="U173" i="1"/>
  <c r="I173" i="1"/>
  <c r="C173" i="1"/>
  <c r="B173" i="1"/>
  <c r="A173" i="1"/>
  <c r="U172" i="1"/>
  <c r="I172" i="1"/>
  <c r="C172" i="1"/>
  <c r="B172" i="1"/>
  <c r="A172" i="1"/>
  <c r="U171" i="1"/>
  <c r="I171" i="1"/>
  <c r="C171" i="1"/>
  <c r="B171" i="1"/>
  <c r="A171" i="1"/>
  <c r="U170" i="1"/>
  <c r="I170" i="1"/>
  <c r="C170" i="1"/>
  <c r="B170" i="1"/>
  <c r="A170" i="1"/>
  <c r="U169" i="1"/>
  <c r="I169" i="1"/>
  <c r="C169" i="1"/>
  <c r="B169" i="1"/>
  <c r="A169" i="1"/>
  <c r="U168" i="1"/>
  <c r="I168" i="1"/>
  <c r="C168" i="1"/>
  <c r="B168" i="1"/>
  <c r="A168" i="1"/>
  <c r="U167" i="1"/>
  <c r="I167" i="1"/>
  <c r="C167" i="1"/>
  <c r="B167" i="1"/>
  <c r="A167" i="1"/>
  <c r="U166" i="1"/>
  <c r="I166" i="1"/>
  <c r="C166" i="1"/>
  <c r="B166" i="1"/>
  <c r="A166" i="1"/>
  <c r="U165" i="1"/>
  <c r="I165" i="1"/>
  <c r="C165" i="1"/>
  <c r="B165" i="1"/>
  <c r="A165" i="1"/>
  <c r="U164" i="1"/>
  <c r="I164" i="1"/>
  <c r="C164" i="1"/>
  <c r="B164" i="1"/>
  <c r="A164" i="1"/>
  <c r="U163" i="1"/>
  <c r="I163" i="1"/>
  <c r="C163" i="1"/>
  <c r="B163" i="1"/>
  <c r="A163" i="1"/>
  <c r="U162" i="1"/>
  <c r="I162" i="1"/>
  <c r="C162" i="1"/>
  <c r="B162" i="1"/>
  <c r="A162" i="1"/>
  <c r="U161" i="1"/>
  <c r="I161" i="1"/>
  <c r="C161" i="1"/>
  <c r="B161" i="1"/>
  <c r="A161" i="1"/>
  <c r="U160" i="1"/>
  <c r="I160" i="1"/>
  <c r="C160" i="1"/>
  <c r="B160" i="1"/>
  <c r="A160" i="1"/>
  <c r="U159" i="1"/>
  <c r="I159" i="1"/>
  <c r="C159" i="1"/>
  <c r="B159" i="1"/>
  <c r="A159" i="1"/>
  <c r="U158" i="1"/>
  <c r="I158" i="1"/>
  <c r="C158" i="1"/>
  <c r="B158" i="1"/>
  <c r="A158" i="1"/>
  <c r="U157" i="1"/>
  <c r="I157" i="1"/>
  <c r="C157" i="1"/>
  <c r="B157" i="1"/>
  <c r="A157" i="1"/>
  <c r="U156" i="1"/>
  <c r="I156" i="1"/>
  <c r="C156" i="1"/>
  <c r="B156" i="1"/>
  <c r="A156" i="1"/>
  <c r="U155" i="1"/>
  <c r="I155" i="1"/>
  <c r="C155" i="1"/>
  <c r="B155" i="1"/>
  <c r="A155" i="1"/>
  <c r="U154" i="1"/>
  <c r="I154" i="1"/>
  <c r="C154" i="1"/>
  <c r="B154" i="1"/>
  <c r="A154" i="1"/>
  <c r="U153" i="1"/>
  <c r="I153" i="1"/>
  <c r="C153" i="1"/>
  <c r="B153" i="1"/>
  <c r="A153" i="1"/>
  <c r="U152" i="1"/>
  <c r="I152" i="1"/>
  <c r="C152" i="1"/>
  <c r="B152" i="1"/>
  <c r="A152" i="1"/>
  <c r="U151" i="1"/>
  <c r="I151" i="1"/>
  <c r="C151" i="1"/>
  <c r="B151" i="1"/>
  <c r="A151" i="1"/>
  <c r="U150" i="1"/>
  <c r="I150" i="1"/>
  <c r="C150" i="1"/>
  <c r="B150" i="1"/>
  <c r="A150" i="1"/>
  <c r="U149" i="1"/>
  <c r="I149" i="1"/>
  <c r="C149" i="1"/>
  <c r="B149" i="1"/>
  <c r="A149" i="1"/>
  <c r="U148" i="1"/>
  <c r="I148" i="1"/>
  <c r="C148" i="1"/>
  <c r="B148" i="1"/>
  <c r="A148" i="1"/>
  <c r="U147" i="1"/>
  <c r="I147" i="1"/>
  <c r="C147" i="1"/>
  <c r="B147" i="1"/>
  <c r="A147" i="1"/>
  <c r="U146" i="1"/>
  <c r="I146" i="1"/>
  <c r="C146" i="1"/>
  <c r="B146" i="1"/>
  <c r="A146" i="1"/>
  <c r="U145" i="1"/>
  <c r="I145" i="1"/>
  <c r="C145" i="1"/>
  <c r="B145" i="1"/>
  <c r="A145" i="1"/>
  <c r="U144" i="1"/>
  <c r="I144" i="1"/>
  <c r="C144" i="1"/>
  <c r="B144" i="1"/>
  <c r="A144" i="1"/>
  <c r="U143" i="1"/>
  <c r="I143" i="1"/>
  <c r="C143" i="1"/>
  <c r="B143" i="1"/>
  <c r="A143" i="1"/>
  <c r="U142" i="1"/>
  <c r="I142" i="1"/>
  <c r="C142" i="1"/>
  <c r="B142" i="1"/>
  <c r="A142" i="1"/>
  <c r="U141" i="1"/>
  <c r="I141" i="1"/>
  <c r="C141" i="1"/>
  <c r="B141" i="1"/>
  <c r="A141" i="1"/>
  <c r="U140" i="1"/>
  <c r="I140" i="1"/>
  <c r="C140" i="1"/>
  <c r="B140" i="1"/>
  <c r="A140" i="1"/>
  <c r="U139" i="1"/>
  <c r="I139" i="1"/>
  <c r="C139" i="1"/>
  <c r="B139" i="1"/>
  <c r="A139" i="1"/>
  <c r="U138" i="1"/>
  <c r="I138" i="1"/>
  <c r="C138" i="1"/>
  <c r="B138" i="1"/>
  <c r="A138" i="1"/>
  <c r="U137" i="1"/>
  <c r="I137" i="1"/>
  <c r="C137" i="1"/>
  <c r="B137" i="1"/>
  <c r="A137" i="1"/>
  <c r="U136" i="1"/>
  <c r="I136" i="1"/>
  <c r="C136" i="1"/>
  <c r="B136" i="1"/>
  <c r="A136" i="1"/>
  <c r="U135" i="1"/>
  <c r="I135" i="1"/>
  <c r="C135" i="1"/>
  <c r="B135" i="1"/>
  <c r="A135" i="1"/>
  <c r="U134" i="1"/>
  <c r="I134" i="1"/>
  <c r="C134" i="1"/>
  <c r="B134" i="1"/>
  <c r="A134" i="1"/>
  <c r="U133" i="1"/>
  <c r="I133" i="1"/>
  <c r="C133" i="1"/>
  <c r="B133" i="1"/>
  <c r="A133" i="1"/>
  <c r="U132" i="1"/>
  <c r="I132" i="1"/>
  <c r="C132" i="1"/>
  <c r="B132" i="1"/>
  <c r="A132" i="1"/>
  <c r="U131" i="1"/>
  <c r="I131" i="1"/>
  <c r="C131" i="1"/>
  <c r="B131" i="1"/>
  <c r="A131" i="1"/>
  <c r="U130" i="1"/>
  <c r="I130" i="1"/>
  <c r="C130" i="1"/>
  <c r="B130" i="1"/>
  <c r="A130" i="1"/>
  <c r="U129" i="1"/>
  <c r="I129" i="1"/>
  <c r="C129" i="1"/>
  <c r="B129" i="1"/>
  <c r="A129" i="1"/>
  <c r="U128" i="1"/>
  <c r="I128" i="1"/>
  <c r="C128" i="1"/>
  <c r="B128" i="1"/>
  <c r="A128" i="1"/>
  <c r="U127" i="1"/>
  <c r="I127" i="1"/>
  <c r="C127" i="1"/>
  <c r="B127" i="1"/>
  <c r="A127" i="1"/>
  <c r="U126" i="1"/>
  <c r="I126" i="1"/>
  <c r="C126" i="1"/>
  <c r="B126" i="1"/>
  <c r="A126" i="1"/>
  <c r="U125" i="1"/>
  <c r="I125" i="1"/>
  <c r="C125" i="1"/>
  <c r="B125" i="1"/>
  <c r="A125" i="1"/>
  <c r="U124" i="1"/>
  <c r="I124" i="1"/>
  <c r="C124" i="1"/>
  <c r="B124" i="1"/>
  <c r="A124" i="1"/>
  <c r="U123" i="1"/>
  <c r="I123" i="1"/>
  <c r="C123" i="1"/>
  <c r="B123" i="1"/>
  <c r="A123" i="1"/>
  <c r="U122" i="1"/>
  <c r="I122" i="1"/>
  <c r="C122" i="1"/>
  <c r="B122" i="1"/>
  <c r="A122" i="1"/>
  <c r="U121" i="1"/>
  <c r="I121" i="1"/>
  <c r="C121" i="1"/>
  <c r="B121" i="1"/>
  <c r="A121" i="1"/>
  <c r="U120" i="1"/>
  <c r="I120" i="1"/>
  <c r="C120" i="1"/>
  <c r="B120" i="1"/>
  <c r="A120" i="1"/>
  <c r="U119" i="1"/>
  <c r="I119" i="1"/>
  <c r="C119" i="1"/>
  <c r="B119" i="1"/>
  <c r="A119" i="1"/>
  <c r="U118" i="1"/>
  <c r="I118" i="1"/>
  <c r="C118" i="1"/>
  <c r="B118" i="1"/>
  <c r="A118" i="1"/>
  <c r="U117" i="1"/>
  <c r="I117" i="1"/>
  <c r="C117" i="1"/>
  <c r="B117" i="1"/>
  <c r="A117" i="1"/>
  <c r="U116" i="1"/>
  <c r="I116" i="1"/>
  <c r="C116" i="1"/>
  <c r="B116" i="1"/>
  <c r="A116" i="1"/>
  <c r="U115" i="1"/>
  <c r="I115" i="1"/>
  <c r="C115" i="1"/>
  <c r="B115" i="1"/>
  <c r="A115" i="1"/>
  <c r="U114" i="1"/>
  <c r="I114" i="1"/>
  <c r="C114" i="1"/>
  <c r="B114" i="1"/>
  <c r="A114" i="1"/>
  <c r="U113" i="1"/>
  <c r="I113" i="1"/>
  <c r="C113" i="1"/>
  <c r="B113" i="1"/>
  <c r="A113" i="1"/>
  <c r="U112" i="1"/>
  <c r="I112" i="1"/>
  <c r="C112" i="1"/>
  <c r="B112" i="1"/>
  <c r="A112" i="1"/>
  <c r="U111" i="1"/>
  <c r="I111" i="1"/>
  <c r="C111" i="1"/>
  <c r="B111" i="1"/>
  <c r="A111" i="1"/>
  <c r="U110" i="1"/>
  <c r="I110" i="1"/>
  <c r="C110" i="1"/>
  <c r="B110" i="1"/>
  <c r="A110" i="1"/>
  <c r="U109" i="1"/>
  <c r="I109" i="1"/>
  <c r="C109" i="1"/>
  <c r="B109" i="1"/>
  <c r="A109" i="1"/>
  <c r="U108" i="1"/>
  <c r="I108" i="1"/>
  <c r="C108" i="1"/>
  <c r="B108" i="1"/>
  <c r="A108" i="1"/>
  <c r="U107" i="1"/>
  <c r="I107" i="1"/>
  <c r="C107" i="1"/>
  <c r="U106" i="1"/>
  <c r="I106" i="1"/>
  <c r="C106" i="1"/>
  <c r="U105" i="1"/>
  <c r="I105" i="1"/>
  <c r="C105" i="1"/>
  <c r="U104" i="1"/>
  <c r="I104" i="1"/>
  <c r="C104" i="1"/>
  <c r="U103" i="1"/>
  <c r="I103" i="1"/>
  <c r="C103" i="1"/>
  <c r="U102" i="1"/>
  <c r="I102" i="1"/>
  <c r="C102" i="1"/>
  <c r="U101" i="1"/>
  <c r="I101" i="1"/>
  <c r="C101" i="1"/>
  <c r="U100" i="1"/>
  <c r="I100" i="1"/>
  <c r="C100" i="1"/>
  <c r="U99" i="1"/>
  <c r="I99" i="1"/>
  <c r="C99" i="1"/>
  <c r="U98" i="1"/>
  <c r="I98" i="1"/>
  <c r="C98" i="1"/>
  <c r="B98" i="1"/>
  <c r="A98" i="1"/>
  <c r="U97" i="1"/>
  <c r="I97" i="1"/>
  <c r="C97" i="1"/>
  <c r="U96" i="1"/>
  <c r="I96" i="1"/>
  <c r="C96" i="1"/>
  <c r="U95" i="1"/>
  <c r="I95" i="1"/>
  <c r="C95" i="1"/>
  <c r="U94" i="1"/>
  <c r="I94" i="1"/>
  <c r="C94" i="1"/>
  <c r="U93" i="1"/>
  <c r="I93" i="1"/>
  <c r="C93" i="1"/>
  <c r="B93" i="1"/>
  <c r="A93" i="1"/>
  <c r="U92" i="1"/>
  <c r="I92" i="1"/>
  <c r="C92" i="1"/>
  <c r="B92" i="1" s="1"/>
  <c r="A92" i="1"/>
  <c r="U91" i="1"/>
  <c r="I91" i="1"/>
  <c r="C91" i="1"/>
  <c r="B91" i="1"/>
  <c r="A91" i="1"/>
  <c r="U90" i="1"/>
  <c r="I90" i="1"/>
  <c r="C90" i="1"/>
  <c r="B90" i="1" s="1"/>
  <c r="A90" i="1"/>
  <c r="U89" i="1"/>
  <c r="I89" i="1"/>
  <c r="C89" i="1"/>
  <c r="U88" i="1"/>
  <c r="I88" i="1"/>
  <c r="C88" i="1"/>
  <c r="B88" i="1"/>
  <c r="A88" i="1"/>
  <c r="U87" i="1"/>
  <c r="I87" i="1"/>
  <c r="C87" i="1"/>
  <c r="U86" i="1"/>
  <c r="I86" i="1"/>
  <c r="C86" i="1"/>
  <c r="U85" i="1"/>
  <c r="I85" i="1"/>
  <c r="C85" i="1"/>
  <c r="U84" i="1"/>
  <c r="I84" i="1"/>
  <c r="C84" i="1"/>
  <c r="B84" i="1" s="1"/>
  <c r="A84" i="1"/>
  <c r="U83" i="1"/>
  <c r="I83" i="1"/>
  <c r="C83" i="1"/>
  <c r="B83" i="1" s="1"/>
  <c r="A83" i="1"/>
  <c r="U82" i="1"/>
  <c r="I82" i="1"/>
  <c r="C82" i="1"/>
  <c r="U81" i="1"/>
  <c r="I81" i="1"/>
  <c r="C81" i="1"/>
  <c r="U80" i="1"/>
  <c r="I80" i="1"/>
  <c r="C80" i="1"/>
  <c r="U79" i="1"/>
  <c r="I79" i="1"/>
  <c r="C79" i="1"/>
  <c r="U78" i="1"/>
  <c r="I78" i="1"/>
  <c r="C78" i="1"/>
  <c r="U77" i="1"/>
  <c r="I77" i="1"/>
  <c r="C77" i="1"/>
  <c r="B77" i="1"/>
  <c r="A77" i="1"/>
  <c r="U76" i="1"/>
  <c r="I76" i="1"/>
  <c r="C76" i="1"/>
  <c r="B76" i="1"/>
  <c r="A76" i="1"/>
  <c r="U75" i="1"/>
  <c r="I75" i="1"/>
  <c r="C75" i="1"/>
  <c r="B75" i="1"/>
  <c r="A75" i="1"/>
  <c r="U74" i="1"/>
  <c r="I74" i="1"/>
  <c r="C74" i="1"/>
  <c r="B74" i="1"/>
  <c r="A74" i="1"/>
  <c r="U73" i="1"/>
  <c r="I73" i="1"/>
  <c r="C73" i="1"/>
  <c r="U72" i="1"/>
  <c r="I72" i="1"/>
  <c r="C72" i="1"/>
  <c r="U71" i="1"/>
  <c r="I71" i="1"/>
  <c r="C71" i="1"/>
  <c r="U70" i="1"/>
  <c r="I70" i="1"/>
  <c r="C70" i="1"/>
  <c r="U69" i="1"/>
  <c r="I69" i="1"/>
  <c r="C69" i="1"/>
  <c r="U68" i="1"/>
  <c r="I68" i="1"/>
  <c r="C68" i="1"/>
  <c r="U67" i="1"/>
  <c r="I67" i="1"/>
  <c r="C67" i="1"/>
  <c r="U66" i="1"/>
  <c r="I66" i="1"/>
  <c r="C66" i="1"/>
  <c r="U65" i="1"/>
  <c r="I65" i="1"/>
  <c r="C65" i="1"/>
  <c r="U64" i="1"/>
  <c r="I64" i="1"/>
  <c r="C64" i="1"/>
  <c r="U63" i="1"/>
  <c r="I63" i="1"/>
  <c r="C63" i="1"/>
  <c r="U62" i="1"/>
  <c r="I62" i="1"/>
  <c r="C62" i="1"/>
  <c r="U61" i="1"/>
  <c r="I61" i="1"/>
  <c r="C61" i="1"/>
  <c r="U60" i="1"/>
  <c r="I60" i="1"/>
  <c r="C60" i="1"/>
  <c r="U59" i="1"/>
  <c r="I59" i="1"/>
  <c r="C59" i="1"/>
  <c r="U58" i="1"/>
  <c r="I58" i="1"/>
  <c r="C58" i="1"/>
  <c r="U57" i="1"/>
  <c r="I57" i="1"/>
  <c r="C57" i="1"/>
  <c r="U56" i="1"/>
  <c r="I56" i="1"/>
  <c r="C56" i="1"/>
  <c r="U55" i="1"/>
  <c r="I55" i="1"/>
  <c r="C55" i="1"/>
  <c r="B55" i="1" s="1"/>
  <c r="A55" i="1"/>
  <c r="U54" i="1"/>
  <c r="I54" i="1"/>
  <c r="C54" i="1"/>
  <c r="U53" i="1"/>
  <c r="I53" i="1"/>
  <c r="C53" i="1"/>
  <c r="U52" i="1"/>
  <c r="I52" i="1"/>
  <c r="C52" i="1"/>
  <c r="U51" i="1"/>
  <c r="I51" i="1"/>
  <c r="C51" i="1"/>
  <c r="B51" i="1"/>
  <c r="A51" i="1"/>
  <c r="U50" i="1"/>
  <c r="I50" i="1"/>
  <c r="C50" i="1"/>
  <c r="U49" i="1"/>
  <c r="I49" i="1"/>
  <c r="C49" i="1"/>
  <c r="U48" i="1"/>
  <c r="I48" i="1"/>
  <c r="C48" i="1"/>
  <c r="U47" i="1"/>
  <c r="I47" i="1"/>
  <c r="C47" i="1"/>
  <c r="U46" i="1"/>
  <c r="I46" i="1"/>
  <c r="C46" i="1"/>
  <c r="U45" i="1"/>
  <c r="I45" i="1"/>
  <c r="C45" i="1"/>
  <c r="B45" i="1"/>
  <c r="A45" i="1"/>
  <c r="U44" i="1"/>
  <c r="I44" i="1"/>
  <c r="C44" i="1"/>
  <c r="U43" i="1"/>
  <c r="I43" i="1"/>
  <c r="C43" i="1"/>
  <c r="B43" i="1"/>
  <c r="A43" i="1"/>
  <c r="U42" i="1"/>
  <c r="I42" i="1"/>
  <c r="C42" i="1"/>
  <c r="U41" i="1"/>
  <c r="I41" i="1"/>
  <c r="C41" i="1"/>
  <c r="U40" i="1"/>
  <c r="I40" i="1"/>
  <c r="C40" i="1"/>
  <c r="U39" i="1"/>
  <c r="I39" i="1"/>
  <c r="C39" i="1"/>
  <c r="U38" i="1"/>
  <c r="I38" i="1"/>
  <c r="C38" i="1"/>
  <c r="U37" i="1"/>
  <c r="I37" i="1"/>
  <c r="C37" i="1"/>
  <c r="U36" i="1"/>
  <c r="I36" i="1"/>
  <c r="C36" i="1"/>
  <c r="U35" i="1"/>
  <c r="I35" i="1"/>
  <c r="C35" i="1"/>
  <c r="B35" i="1"/>
  <c r="A35" i="1"/>
  <c r="U34" i="1"/>
  <c r="I34" i="1"/>
  <c r="C34" i="1"/>
  <c r="B34" i="1"/>
  <c r="A34" i="1"/>
  <c r="U33" i="1"/>
  <c r="I33" i="1"/>
  <c r="C33" i="1"/>
  <c r="B33" i="1"/>
  <c r="A33" i="1"/>
  <c r="U32" i="1"/>
  <c r="I32" i="1"/>
  <c r="C32" i="1"/>
  <c r="B32" i="1"/>
  <c r="A32" i="1"/>
  <c r="U31" i="1"/>
  <c r="I31" i="1"/>
  <c r="C31" i="1"/>
  <c r="B31" i="1"/>
  <c r="A31" i="1"/>
  <c r="U30" i="1"/>
  <c r="I30" i="1"/>
  <c r="C30" i="1"/>
  <c r="B30" i="1"/>
  <c r="A30" i="1"/>
  <c r="U29" i="1"/>
  <c r="I29" i="1"/>
  <c r="C29" i="1"/>
  <c r="B29" i="1"/>
  <c r="A29" i="1"/>
  <c r="U28" i="1"/>
  <c r="I28" i="1"/>
  <c r="C28" i="1"/>
  <c r="B28" i="1"/>
  <c r="A28" i="1"/>
  <c r="U27" i="1"/>
  <c r="I27" i="1"/>
  <c r="C27" i="1"/>
  <c r="B27" i="1"/>
  <c r="A27" i="1"/>
  <c r="U26" i="1"/>
  <c r="I26" i="1"/>
  <c r="C26" i="1"/>
  <c r="B26" i="1"/>
  <c r="A26" i="1"/>
  <c r="U25" i="1"/>
  <c r="I25" i="1"/>
  <c r="C25" i="1"/>
  <c r="B25" i="1"/>
  <c r="A25" i="1"/>
  <c r="U24" i="1"/>
  <c r="I24" i="1"/>
  <c r="C24" i="1"/>
  <c r="B24" i="1"/>
  <c r="A24" i="1"/>
  <c r="U23" i="1"/>
  <c r="I23" i="1"/>
  <c r="C23" i="1"/>
  <c r="B23" i="1"/>
  <c r="A23" i="1"/>
  <c r="U22" i="1"/>
  <c r="I22" i="1"/>
  <c r="C22" i="1"/>
  <c r="B22" i="1"/>
  <c r="A22" i="1"/>
  <c r="U21" i="1"/>
  <c r="I21" i="1"/>
  <c r="C21" i="1"/>
  <c r="B21" i="1"/>
  <c r="A21" i="1"/>
  <c r="U20" i="1"/>
  <c r="I20" i="1"/>
  <c r="C20" i="1"/>
  <c r="B20" i="1"/>
  <c r="A20" i="1"/>
  <c r="U19" i="1"/>
  <c r="I19" i="1"/>
  <c r="C19" i="1"/>
  <c r="B19" i="1"/>
  <c r="A19" i="1"/>
  <c r="U18" i="1"/>
  <c r="I18" i="1"/>
  <c r="C18" i="1"/>
  <c r="B18" i="1"/>
  <c r="A18" i="1"/>
  <c r="U17" i="1"/>
  <c r="I17" i="1"/>
  <c r="C17" i="1"/>
  <c r="B17" i="1"/>
  <c r="A17" i="1"/>
  <c r="U16" i="1"/>
  <c r="I16" i="1"/>
  <c r="C16" i="1"/>
  <c r="B16" i="1"/>
  <c r="A16" i="1"/>
  <c r="U15" i="1"/>
  <c r="I15" i="1"/>
  <c r="C15" i="1"/>
  <c r="B15" i="1"/>
  <c r="A15" i="1"/>
  <c r="U14" i="1"/>
  <c r="I14" i="1"/>
  <c r="C14" i="1"/>
  <c r="B14" i="1"/>
  <c r="A14" i="1"/>
  <c r="U13" i="1"/>
  <c r="I13" i="1"/>
  <c r="C13" i="1"/>
  <c r="B13" i="1"/>
  <c r="A13" i="1"/>
  <c r="U12" i="1"/>
  <c r="I12" i="1"/>
  <c r="C12" i="1"/>
  <c r="B12" i="1"/>
  <c r="A12" i="1"/>
  <c r="U11" i="1"/>
  <c r="I11" i="1"/>
  <c r="C11" i="1"/>
  <c r="B11" i="1"/>
  <c r="A11" i="1"/>
  <c r="U10" i="1"/>
  <c r="I10" i="1"/>
  <c r="C10" i="1"/>
  <c r="B10" i="1"/>
  <c r="A10" i="1"/>
  <c r="U9" i="1"/>
  <c r="I9" i="1"/>
  <c r="C9" i="1"/>
  <c r="B9" i="1"/>
  <c r="A9" i="1"/>
  <c r="U8" i="1"/>
  <c r="I8" i="1"/>
  <c r="C8" i="1"/>
  <c r="B8" i="1"/>
  <c r="A8" i="1"/>
  <c r="U7" i="1"/>
  <c r="I7" i="1"/>
  <c r="C7" i="1"/>
  <c r="B7" i="1"/>
  <c r="A7" i="1"/>
  <c r="G2" i="1" a="1"/>
  <c r="F2" i="1" a="1"/>
  <c r="E2" i="1" a="1"/>
  <c r="D2" i="1" a="1"/>
  <c r="C2" i="1" a="1"/>
  <c r="B2" i="1" a="1"/>
  <c r="A2" i="1" a="1"/>
  <c r="H2" i="1" s="1"/>
  <c r="B1719" i="1" l="1"/>
  <c r="A1719" i="1"/>
  <c r="A1718" i="1"/>
  <c r="B1718" i="1"/>
  <c r="B1717" i="1"/>
  <c r="A1717" i="1"/>
  <c r="A1716" i="1"/>
  <c r="B1716" i="1"/>
  <c r="B1715" i="1"/>
  <c r="A1715" i="1"/>
  <c r="B1714" i="1"/>
  <c r="A1714" i="1"/>
  <c r="A1713" i="1"/>
  <c r="B1713" i="1"/>
  <c r="A1712" i="1"/>
  <c r="B1712" i="1"/>
  <c r="B1711" i="1"/>
  <c r="A1711" i="1"/>
  <c r="B1710" i="1"/>
  <c r="A1710" i="1"/>
  <c r="B1709" i="1"/>
  <c r="A1709" i="1"/>
  <c r="A1708" i="1"/>
  <c r="B1708" i="1"/>
  <c r="B1707" i="1"/>
  <c r="A1707" i="1"/>
  <c r="B1706" i="1"/>
  <c r="A1706" i="1"/>
  <c r="B1705" i="1"/>
  <c r="A1705" i="1"/>
  <c r="B1704" i="1"/>
  <c r="A1704" i="1"/>
  <c r="B1703" i="1"/>
  <c r="A1703" i="1"/>
  <c r="A1702" i="1"/>
  <c r="B1702" i="1"/>
  <c r="B1701" i="1"/>
  <c r="A1701" i="1"/>
  <c r="B1700" i="1"/>
  <c r="A1700" i="1"/>
  <c r="B1650" i="1"/>
  <c r="A1650" i="1"/>
  <c r="B1645" i="1"/>
  <c r="A1645" i="1"/>
  <c r="B1785" i="1"/>
  <c r="A1785" i="1"/>
  <c r="A1784" i="1"/>
  <c r="B1784" i="1"/>
  <c r="B1783" i="1"/>
  <c r="A1783" i="1"/>
  <c r="B1782" i="1"/>
  <c r="A1782" i="1"/>
  <c r="B1781" i="1"/>
  <c r="A1781" i="1"/>
  <c r="B1780" i="1"/>
  <c r="A1780" i="1"/>
  <c r="A1779" i="1"/>
  <c r="B1779" i="1"/>
  <c r="B1778" i="1"/>
  <c r="A1778" i="1"/>
  <c r="B1777" i="1"/>
  <c r="A1777" i="1"/>
  <c r="B1776" i="1"/>
  <c r="A1776" i="1"/>
  <c r="B1775" i="1"/>
  <c r="A1775" i="1"/>
  <c r="B1774" i="1"/>
  <c r="A1774" i="1"/>
  <c r="B1773" i="1"/>
  <c r="A1773" i="1"/>
  <c r="B1772" i="1"/>
  <c r="A1772" i="1"/>
  <c r="B1771" i="1"/>
  <c r="A1771" i="1"/>
  <c r="B1770" i="1"/>
  <c r="A1770" i="1"/>
  <c r="B1769" i="1"/>
  <c r="A1769" i="1"/>
  <c r="B1768" i="1"/>
  <c r="A1768" i="1"/>
  <c r="A1767" i="1"/>
  <c r="B1767" i="1"/>
  <c r="A1766" i="1"/>
  <c r="B1766" i="1"/>
  <c r="B1765" i="1"/>
  <c r="A1765" i="1"/>
  <c r="B1764" i="1"/>
  <c r="A1764" i="1"/>
  <c r="A1763" i="1"/>
  <c r="B1763" i="1"/>
  <c r="B1762" i="1"/>
  <c r="A1762" i="1"/>
  <c r="A1761" i="1"/>
  <c r="B1761" i="1"/>
  <c r="A1760" i="1"/>
  <c r="B1760" i="1"/>
  <c r="B1759" i="1"/>
  <c r="A1759" i="1"/>
  <c r="B1758" i="1"/>
  <c r="A1758" i="1"/>
  <c r="A1757" i="1"/>
  <c r="B1757" i="1"/>
  <c r="A1756" i="1"/>
  <c r="B1756" i="1"/>
  <c r="B1699" i="1"/>
  <c r="A1699" i="1"/>
  <c r="A700" i="1"/>
  <c r="B700" i="1"/>
  <c r="B459" i="1"/>
  <c r="A459" i="1"/>
  <c r="B454" i="1"/>
  <c r="A454" i="1"/>
  <c r="B452" i="1"/>
  <c r="A452" i="1"/>
  <c r="B204" i="1"/>
  <c r="A204" i="1"/>
  <c r="A107" i="1"/>
  <c r="B107" i="1"/>
  <c r="B106" i="1"/>
  <c r="A106" i="1"/>
  <c r="B105" i="1"/>
  <c r="A105" i="1"/>
  <c r="B104" i="1"/>
  <c r="A104" i="1"/>
  <c r="A103" i="1"/>
  <c r="B103" i="1"/>
  <c r="A102" i="1"/>
  <c r="B102" i="1"/>
  <c r="B101" i="1"/>
  <c r="A101" i="1"/>
  <c r="B100" i="1"/>
  <c r="A100" i="1"/>
  <c r="B99" i="1"/>
  <c r="A99" i="1"/>
  <c r="A97" i="1"/>
  <c r="B97" i="1"/>
  <c r="A96" i="1"/>
  <c r="B96" i="1"/>
  <c r="B95" i="1"/>
  <c r="A95" i="1"/>
  <c r="B94" i="1"/>
  <c r="A94" i="1"/>
  <c r="B89" i="1"/>
  <c r="A89" i="1"/>
  <c r="B87" i="1"/>
  <c r="A87" i="1"/>
  <c r="B86" i="1"/>
  <c r="A86" i="1"/>
  <c r="B85" i="1"/>
  <c r="A85" i="1"/>
  <c r="A82" i="1"/>
  <c r="B82" i="1"/>
  <c r="A81" i="1"/>
  <c r="B81" i="1"/>
  <c r="B80" i="1"/>
  <c r="A80" i="1"/>
  <c r="A79" i="1"/>
  <c r="B79" i="1"/>
  <c r="B78" i="1"/>
  <c r="A78" i="1"/>
  <c r="B73" i="1"/>
  <c r="A73" i="1"/>
  <c r="A72" i="1"/>
  <c r="B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A62" i="1"/>
  <c r="B62" i="1"/>
  <c r="A61" i="1"/>
  <c r="B61" i="1"/>
  <c r="A60" i="1"/>
  <c r="B60" i="1"/>
  <c r="A59" i="1"/>
  <c r="B59" i="1"/>
  <c r="A58" i="1"/>
  <c r="B58" i="1"/>
  <c r="A57" i="1"/>
  <c r="B57" i="1"/>
  <c r="B56" i="1"/>
  <c r="A56" i="1"/>
  <c r="B54" i="1"/>
  <c r="A54" i="1"/>
  <c r="A53" i="1"/>
  <c r="B53" i="1"/>
  <c r="B52" i="1"/>
  <c r="A52" i="1"/>
  <c r="A50" i="1"/>
  <c r="B50" i="1"/>
  <c r="B49" i="1"/>
  <c r="A49" i="1"/>
  <c r="A48" i="1"/>
  <c r="B48" i="1"/>
  <c r="B47" i="1"/>
  <c r="A47" i="1"/>
  <c r="A46" i="1"/>
  <c r="B46" i="1"/>
  <c r="B44" i="1"/>
  <c r="A44" i="1"/>
  <c r="B42" i="1"/>
  <c r="A42" i="1"/>
  <c r="A41" i="1"/>
  <c r="B41" i="1"/>
  <c r="B40" i="1"/>
  <c r="A40" i="1"/>
  <c r="A39" i="1"/>
  <c r="B39" i="1"/>
  <c r="B38" i="1"/>
  <c r="A38" i="1"/>
  <c r="B37" i="1"/>
  <c r="A37" i="1"/>
  <c r="A36" i="1"/>
  <c r="B3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Ellen Da Silva Souza</author>
  </authors>
  <commentList>
    <comment ref="E1101" authorId="0" shapeId="0" xr:uid="{D3A4E394-B08B-49B8-9EB3-EDDB81F3C7CE}">
      <text>
        <r>
          <rPr>
            <sz val="11"/>
            <color theme="1"/>
            <rFont val="Calibri"/>
            <family val="2"/>
            <scheme val="minor"/>
          </rPr>
          <t>Ellen Da Silva Souza:
Já tem tarifa de reavaliação paga. Conforme e-mail do dia 30/12/2025 encaminhado pela CEF ao abrir demanda de reavaliação informar.
(Quando abrirem demanda para reavaliação do empreendimento, gentileza explicitarem que a TCCREC do módulo 1 já foi recolhida em 23/12/2025, conforme comprovante #13663037 disponibilizado no SIOPI.)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<sst xmlns="http://schemas.openxmlformats.org/spreadsheetml/2006/main" count="8894" uniqueCount="2378">
  <si>
    <t>TOTAL</t>
  </si>
  <si>
    <t>FINALIZADOS</t>
  </si>
  <si>
    <t>REAVALIAÇÃO</t>
  </si>
  <si>
    <t>CONTESTAÇÃO</t>
  </si>
  <si>
    <t>AGUARDANDO DOCUMENTAÇÃO</t>
  </si>
  <si>
    <t>AGUARDANDO COMPROVANTE</t>
  </si>
  <si>
    <t>AGUARDANDO ACEITE</t>
  </si>
  <si>
    <t>EM ABERTO</t>
  </si>
  <si>
    <t>Diretoria</t>
  </si>
  <si>
    <t>Regional</t>
  </si>
  <si>
    <t>Cidade</t>
  </si>
  <si>
    <t>TIPO</t>
  </si>
  <si>
    <t>Empreendimento</t>
  </si>
  <si>
    <t>Modulo</t>
  </si>
  <si>
    <t>APF</t>
  </si>
  <si>
    <t>SIOPI</t>
  </si>
  <si>
    <t>UH</t>
  </si>
  <si>
    <t>Data 100%</t>
  </si>
  <si>
    <t>Selo Azul CEF</t>
  </si>
  <si>
    <t>Última avaliação</t>
  </si>
  <si>
    <t>VGV Anterior</t>
  </si>
  <si>
    <t>VGV Proposto</t>
  </si>
  <si>
    <t>VGV Acatado</t>
  </si>
  <si>
    <t>Status Atual</t>
  </si>
  <si>
    <t>Demanda Atender / SIOPI</t>
  </si>
  <si>
    <t xml:space="preserve">Prazo das demandas </t>
  </si>
  <si>
    <t>Comparativo</t>
  </si>
  <si>
    <t>Observações</t>
  </si>
  <si>
    <t>ID Empreendimento</t>
  </si>
  <si>
    <t>CONTRATADO</t>
  </si>
  <si>
    <t>CONDOMINIO JARDIM DOS ANTÚRIOS</t>
  </si>
  <si>
    <t>I</t>
  </si>
  <si>
    <t>556247-47</t>
  </si>
  <si>
    <t>-</t>
  </si>
  <si>
    <t>FINALIZADO</t>
  </si>
  <si>
    <t xml:space="preserve">F98Q </t>
  </si>
  <si>
    <t>II</t>
  </si>
  <si>
    <t>607537-44</t>
  </si>
  <si>
    <t>FTL5</t>
  </si>
  <si>
    <t>III</t>
  </si>
  <si>
    <t>607538-59</t>
  </si>
  <si>
    <t>RESIDENCIAL FONTE ROYAL</t>
  </si>
  <si>
    <t>Global</t>
  </si>
  <si>
    <t>536861-71</t>
  </si>
  <si>
    <t>8db34ec5-5fa4-4c31-b034-d685763f9cd5</t>
  </si>
  <si>
    <t>RESERVA ESTÂNCIA DAS FLORES_FLORES DO VALE</t>
  </si>
  <si>
    <t>530235-54</t>
  </si>
  <si>
    <t>FOGX</t>
  </si>
  <si>
    <t>536795-69</t>
  </si>
  <si>
    <t>536797-87</t>
  </si>
  <si>
    <t>IV</t>
  </si>
  <si>
    <t>536798-91</t>
  </si>
  <si>
    <t>RESIDENCIAL CORES DE OUTONO</t>
  </si>
  <si>
    <t>601363-23</t>
  </si>
  <si>
    <t>609714-39</t>
  </si>
  <si>
    <t>609715-44</t>
  </si>
  <si>
    <t>609716-59</t>
  </si>
  <si>
    <t>V</t>
  </si>
  <si>
    <t>609717-63</t>
  </si>
  <si>
    <t>RESIDENCIAL FLORES DO OUTONO</t>
  </si>
  <si>
    <t>533182-89</t>
  </si>
  <si>
    <t>FMA2</t>
  </si>
  <si>
    <t>542657-14</t>
  </si>
  <si>
    <t>542658-28</t>
  </si>
  <si>
    <t>542660-61</t>
  </si>
  <si>
    <t>RESIDENCIAL MONTEZZI</t>
  </si>
  <si>
    <t>555949-19</t>
  </si>
  <si>
    <t>FSQO</t>
  </si>
  <si>
    <t>PRAIA DE ATALAIA</t>
  </si>
  <si>
    <t>536217-64</t>
  </si>
  <si>
    <t>4aade275-5b79-4eec-a85b-f4d063206c36</t>
  </si>
  <si>
    <t>610636-01</t>
  </si>
  <si>
    <t>623026-91</t>
  </si>
  <si>
    <t>626320-34</t>
  </si>
  <si>
    <t>PARQUE PORTO SIENA</t>
  </si>
  <si>
    <t>474600-75</t>
  </si>
  <si>
    <t>b4550284-630a-4d27-ba9b-f88e6becdb27</t>
  </si>
  <si>
    <t>496920-16</t>
  </si>
  <si>
    <t>496922-34</t>
  </si>
  <si>
    <t>TRILHAS DO HORIZONTE RESIDENCE</t>
  </si>
  <si>
    <t>540918-28</t>
  </si>
  <si>
    <t>AGUARDANDO INF./CONTRATAÇÃO PJ</t>
  </si>
  <si>
    <t>bf843593-ebd8-4ac6-aef7-a910bec6b607</t>
  </si>
  <si>
    <t>603145-12</t>
  </si>
  <si>
    <t>602929-77</t>
  </si>
  <si>
    <t>NÃO CONTRATADO</t>
  </si>
  <si>
    <t>603146-26</t>
  </si>
  <si>
    <t>RESIDENCIAL PORTO CAMBARÁ</t>
  </si>
  <si>
    <t>499664-78</t>
  </si>
  <si>
    <t>ba38bad2-3775-4ecf-9ddc-b6449a0f2fbc</t>
  </si>
  <si>
    <t>535268-60</t>
  </si>
  <si>
    <t>RESIDENCIAL PORTO MONTENEGRO</t>
  </si>
  <si>
    <t>524657-36</t>
  </si>
  <si>
    <t>754276a8-2a4f-4964-bce3-2b743c5010c4</t>
  </si>
  <si>
    <t>RESERVA BRISA DO MAR</t>
  </si>
  <si>
    <t>545542-90</t>
  </si>
  <si>
    <t>6a92f2e1-1edb-471c-b31c-deb4258957ba</t>
  </si>
  <si>
    <t>626503-45</t>
  </si>
  <si>
    <t>RESIDENCIAL CAIRÓS</t>
  </si>
  <si>
    <t>601478-03</t>
  </si>
  <si>
    <t>5de97bf8-b027-4424-a8d6-b7765e97e9f1</t>
  </si>
  <si>
    <t>625789-76</t>
  </si>
  <si>
    <t>JARDIM TROPICAL</t>
  </si>
  <si>
    <t>558064-89</t>
  </si>
  <si>
    <t>8194cb37-0c3b-48c2-8829-52043d001f5b</t>
  </si>
  <si>
    <t>641426-14</t>
  </si>
  <si>
    <t>644502-07</t>
  </si>
  <si>
    <t>RESIDENCIAL ÁGATA</t>
  </si>
  <si>
    <t>600832-79</t>
  </si>
  <si>
    <t>645eae66-180b-407c-8b7b-2e370a8e5fef</t>
  </si>
  <si>
    <t>CONDOMÍNIO RESIDENCIAL PORTO SAVANA</t>
  </si>
  <si>
    <t>532920-97</t>
  </si>
  <si>
    <t>3b847e0b-d2b8-42d8-af9a-fedac807b38c</t>
  </si>
  <si>
    <t>RESIDENCIAL ARTEMIA ROYAL TOWER</t>
  </si>
  <si>
    <t>601225-46</t>
  </si>
  <si>
    <t>RESIDENCIAL CELESTIAL</t>
  </si>
  <si>
    <t>613126-91</t>
  </si>
  <si>
    <t>3f2d31eb-fe33-4725-ae64-3e8809a689a3</t>
  </si>
  <si>
    <t>623731-33</t>
  </si>
  <si>
    <t>RESIDENCIAL ARES</t>
  </si>
  <si>
    <t>544261-78</t>
  </si>
  <si>
    <t>09b52566-beaa-4839-add7-8f61e38cce83</t>
  </si>
  <si>
    <t>605659-89</t>
  </si>
  <si>
    <t>FIORENTTINO RESIDENCE</t>
  </si>
  <si>
    <t>610484-71</t>
  </si>
  <si>
    <t>fe3a351b-fa44-46f2-9438-00c1912b81fc</t>
  </si>
  <si>
    <t>612578-47</t>
  </si>
  <si>
    <t>FLORES DO LITORAL_RESIDENCIAL VIOLETAS</t>
  </si>
  <si>
    <t>533180-61</t>
  </si>
  <si>
    <t>615704-48</t>
  </si>
  <si>
    <t>621303-19</t>
  </si>
  <si>
    <t>RESIDENCIAL CAMPO DAS FIGUEIRAS</t>
  </si>
  <si>
    <t>552288-52</t>
  </si>
  <si>
    <t>GF1A</t>
  </si>
  <si>
    <t>TORRES DE TRINDADE</t>
  </si>
  <si>
    <t>601681-79</t>
  </si>
  <si>
    <t>f0399f1e-0ee4-4a36-9147-74452cc7e120</t>
  </si>
  <si>
    <t>609914-58</t>
  </si>
  <si>
    <t>BARÃO DA SERRA</t>
  </si>
  <si>
    <t>602256-42</t>
  </si>
  <si>
    <t>92cbeedf-0f7b-4bc0-8cf4-c319ca4f1a58</t>
  </si>
  <si>
    <t>610579-11</t>
  </si>
  <si>
    <t>RESIDENCIAL SPAZIO LIFE</t>
  </si>
  <si>
    <t>604883-70</t>
  </si>
  <si>
    <t>GHOD</t>
  </si>
  <si>
    <t>613288-55</t>
  </si>
  <si>
    <t>RESIDENCIAL VITÓRIA RÉGIA</t>
  </si>
  <si>
    <t>539558-58</t>
  </si>
  <si>
    <t>Safira/Ouro</t>
  </si>
  <si>
    <t>GSFR</t>
  </si>
  <si>
    <t>539599-41</t>
  </si>
  <si>
    <t>539607-40</t>
  </si>
  <si>
    <t>CITTÁ SPLENDORE</t>
  </si>
  <si>
    <t>631600-24</t>
  </si>
  <si>
    <t>c8fd8587-b669-46c5-a433-15245162708d</t>
  </si>
  <si>
    <t>632359-10</t>
  </si>
  <si>
    <t>RESIDENCIAL PORTO BELLO</t>
  </si>
  <si>
    <t>600331-13</t>
  </si>
  <si>
    <t>ef6d9a48-651a-45af-a386-2c26d9c5a917</t>
  </si>
  <si>
    <t>604263-75</t>
  </si>
  <si>
    <t>604265-94</t>
  </si>
  <si>
    <t>604283-14</t>
  </si>
  <si>
    <t>SOLAR DAS AMOREIRAS</t>
  </si>
  <si>
    <t>551129-04</t>
  </si>
  <si>
    <t>Cristal/Bronze</t>
  </si>
  <si>
    <t>79e07f15-2f3f-4057-af34-bd7afb7e64df</t>
  </si>
  <si>
    <t>633016-80</t>
  </si>
  <si>
    <t>638522-25</t>
  </si>
  <si>
    <t>RESIDENCIAL JARDIM DE FIRENZE</t>
  </si>
  <si>
    <t>519999-60</t>
  </si>
  <si>
    <t>FTSU</t>
  </si>
  <si>
    <t>PORTO DAS MARÉS</t>
  </si>
  <si>
    <t>567684-73</t>
  </si>
  <si>
    <t>06d7202f-6927-4d01-a7cf-8eeb89168d38</t>
  </si>
  <si>
    <t>623261-50</t>
  </si>
  <si>
    <t>638495-91</t>
  </si>
  <si>
    <t>RESERVA DO MIRANTE_PARQUE MIRANTE DAS ESTRELAS</t>
  </si>
  <si>
    <t>543572-14</t>
  </si>
  <si>
    <t>GPRK</t>
  </si>
  <si>
    <t>RESIDENCIAL CROMO</t>
  </si>
  <si>
    <t>552331-80</t>
  </si>
  <si>
    <t>06b6df16-6bb6-422e-8c57-648c9803ee5c</t>
  </si>
  <si>
    <t>601010-53</t>
  </si>
  <si>
    <t>601012-71</t>
  </si>
  <si>
    <t>PORTO ROTTERDAM</t>
  </si>
  <si>
    <t>602421-42</t>
  </si>
  <si>
    <t>d0a6ef9d-7017-4e8e-9de7-424cd73d70f6</t>
  </si>
  <si>
    <t>RESIDENCIAL PORTO FAZENDA REAL</t>
  </si>
  <si>
    <t>543161-48</t>
  </si>
  <si>
    <t>af2b4b8e-4f01-4584-892e-234b8d31307c</t>
  </si>
  <si>
    <t>CAMINHO DAS BROMÉLIAS</t>
  </si>
  <si>
    <t>602012-96</t>
  </si>
  <si>
    <t>1d0b9537-1e55-4d7c-b976-8208a4ab3ad6</t>
  </si>
  <si>
    <t>615118-45</t>
  </si>
  <si>
    <t>RESIDENCIAL LE CHALET</t>
  </si>
  <si>
    <t>529324-10</t>
  </si>
  <si>
    <t>667c2fc5-1265-40f9-a6bd-588d28ba2181</t>
  </si>
  <si>
    <t>RESERVA AQUARIUS</t>
  </si>
  <si>
    <t>609444-62</t>
  </si>
  <si>
    <t>FHYD</t>
  </si>
  <si>
    <t>612581-94</t>
  </si>
  <si>
    <t>TERRAZO VILLA AUGUSTA</t>
  </si>
  <si>
    <t>614517-41</t>
  </si>
  <si>
    <t>ec928f7d-d878-4a6d-8a13-7c4f7d6793d4</t>
  </si>
  <si>
    <t>616116-42</t>
  </si>
  <si>
    <t>RESIDENCIAL LITUÂNIA</t>
  </si>
  <si>
    <t>558582-52</t>
  </si>
  <si>
    <t>f6d50573-bd54-40b8-843c-8f58d7d83bfe</t>
  </si>
  <si>
    <t>598863-94</t>
  </si>
  <si>
    <t>598864-07</t>
  </si>
  <si>
    <t>RESIDENCIAL VALE DO OURO</t>
  </si>
  <si>
    <t>631638-63</t>
  </si>
  <si>
    <t>20debbdc-6b49-4b37-990d-db83bc1be100</t>
  </si>
  <si>
    <t>611282-50</t>
  </si>
  <si>
    <t>638905-55</t>
  </si>
  <si>
    <t>RESERVA BELA VISTA</t>
  </si>
  <si>
    <t>601601-06</t>
  </si>
  <si>
    <t>d9d3d98e-00bd-428c-a2fe-576af52d3cb5</t>
  </si>
  <si>
    <t>623948-45</t>
  </si>
  <si>
    <t>632867-69</t>
  </si>
  <si>
    <t>SENSIA PARQUE PRADO</t>
  </si>
  <si>
    <t>545986-65</t>
  </si>
  <si>
    <t>FZMB</t>
  </si>
  <si>
    <t>552188-47</t>
  </si>
  <si>
    <t>TERRAZZO OITI</t>
  </si>
  <si>
    <t>555301-92</t>
  </si>
  <si>
    <t>15f38cc8-dfa3-4b27-965d-16244db3df0c</t>
  </si>
  <si>
    <t>641186-14</t>
  </si>
  <si>
    <t>644637-27</t>
  </si>
  <si>
    <t>RESIDENCIAL PIAZZA RAVENA</t>
  </si>
  <si>
    <t>556259-93</t>
  </si>
  <si>
    <t>335c2fc4-51ab-487b-99b8-631a60a8bc33</t>
  </si>
  <si>
    <t>625236-86</t>
  </si>
  <si>
    <t>635078-82</t>
  </si>
  <si>
    <t>638594-91</t>
  </si>
  <si>
    <t>PORTO IBIZA</t>
  </si>
  <si>
    <t>543226-11</t>
  </si>
  <si>
    <t>GWVL</t>
  </si>
  <si>
    <t>ESPLENDOR CARIOCA</t>
  </si>
  <si>
    <t>600022-71</t>
  </si>
  <si>
    <t>GSGT</t>
  </si>
  <si>
    <t>605856-75</t>
  </si>
  <si>
    <t>605855-61</t>
  </si>
  <si>
    <t>GRAN CAMPOLIM</t>
  </si>
  <si>
    <t>603623-04</t>
  </si>
  <si>
    <t>12d9178b-47ad-4bd5-ae6f-bb865af890f2</t>
  </si>
  <si>
    <t>PARQUE RIO DE PORTUGAL</t>
  </si>
  <si>
    <t>598580-70</t>
  </si>
  <si>
    <t>d0859a2f-d1f9-4a0e-acf4-2b6331bed476</t>
  </si>
  <si>
    <t>623980-55</t>
  </si>
  <si>
    <t>635095-90</t>
  </si>
  <si>
    <t>RESIDENCIAL GRANDENA</t>
  </si>
  <si>
    <t>604880-47</t>
  </si>
  <si>
    <t>ae0fb8db-87b5-4d45-b732-ff003fac9043</t>
  </si>
  <si>
    <t>637056-64</t>
  </si>
  <si>
    <t>644425-66</t>
  </si>
  <si>
    <t>644458-65</t>
  </si>
  <si>
    <t>VILLE DOS VENTOS</t>
  </si>
  <si>
    <t>603764-14</t>
  </si>
  <si>
    <t>e10fbd03-2e82-4578-936a-bb54fbe758f9</t>
  </si>
  <si>
    <t>622353-41</t>
  </si>
  <si>
    <t>637138-43</t>
  </si>
  <si>
    <t>RESERVA DO MIRANTE_PARQUE MIRANTE DO SOL</t>
  </si>
  <si>
    <t>612925-44</t>
  </si>
  <si>
    <t>5a36a037-1093-4413-8452-6b746de42fd6</t>
  </si>
  <si>
    <t>VISTABELA RESIDENCE</t>
  </si>
  <si>
    <t>612619-33</t>
  </si>
  <si>
    <t>654019-56</t>
  </si>
  <si>
    <t>Não possui</t>
  </si>
  <si>
    <t>GIARDINI DI PIAZZA</t>
  </si>
  <si>
    <t>632675-47</t>
  </si>
  <si>
    <t>3cc04369-162e-4f27-afd2-8fbd4e92c0a2</t>
  </si>
  <si>
    <t>636935-70</t>
  </si>
  <si>
    <t>RESIDENCIAL MARSELHA</t>
  </si>
  <si>
    <t>545302-91</t>
  </si>
  <si>
    <t>FTL8</t>
  </si>
  <si>
    <t>609833-70</t>
  </si>
  <si>
    <t>611400-88</t>
  </si>
  <si>
    <t>TORRES DO CAMPO</t>
  </si>
  <si>
    <t>619652-03</t>
  </si>
  <si>
    <t>9fdcb529-fa8b-4b46-9b55-674fe5eba292</t>
  </si>
  <si>
    <t>623852-03</t>
  </si>
  <si>
    <t>TERRAZO DI DANTE</t>
  </si>
  <si>
    <t>604297-77</t>
  </si>
  <si>
    <t>dc8d4fbf-3fb7-4bc1-84a2-9d0d45190307</t>
  </si>
  <si>
    <t>RESIDENCIAL MORADA DA COLINA</t>
  </si>
  <si>
    <t>600894-28</t>
  </si>
  <si>
    <t>GHRC</t>
  </si>
  <si>
    <t>621304-23</t>
  </si>
  <si>
    <t>624996-50</t>
  </si>
  <si>
    <t>MIRANTE BELA VISTA</t>
  </si>
  <si>
    <t>556065-54</t>
  </si>
  <si>
    <t>MORADA DE PIATÃ</t>
  </si>
  <si>
    <t>613404-64</t>
  </si>
  <si>
    <t>ee053545-191a-447a-83dc-b3ce744ac48b</t>
  </si>
  <si>
    <t>622837-88</t>
  </si>
  <si>
    <t>PORTAL DE PIATÃ</t>
  </si>
  <si>
    <t>625607-72</t>
  </si>
  <si>
    <t>632674-32</t>
  </si>
  <si>
    <t>RESERVA DOS GIRASSÓIS - TO</t>
  </si>
  <si>
    <t>632869-87</t>
  </si>
  <si>
    <t>9c5d68b9-1362-49de-98ec-85cff4bd697b</t>
  </si>
  <si>
    <t>638459-57</t>
  </si>
  <si>
    <t>644150-50</t>
  </si>
  <si>
    <t>646170-41</t>
  </si>
  <si>
    <t>RESIDENCIAL JARDINS</t>
  </si>
  <si>
    <t>542061-19</t>
  </si>
  <si>
    <t>611218-68</t>
  </si>
  <si>
    <t>611224-45</t>
  </si>
  <si>
    <t>623733-52</t>
  </si>
  <si>
    <t>BOSQUE DAS AMENDOEIRAS</t>
  </si>
  <si>
    <t>599088-26</t>
  </si>
  <si>
    <t>1757f28b-a160-4146-a02a-1d8916a1dc43</t>
  </si>
  <si>
    <t>631025-51</t>
  </si>
  <si>
    <t>VALE DO SERENO_RESIDENCIAL VEREDAS</t>
  </si>
  <si>
    <t>607371-53</t>
  </si>
  <si>
    <t>c05be4a3-2024-4eb9-8f42-3270807144d0</t>
  </si>
  <si>
    <t>635097-17</t>
  </si>
  <si>
    <t>638596-19</t>
  </si>
  <si>
    <t>MONTE DOS CEDROS</t>
  </si>
  <si>
    <t>603761-83</t>
  </si>
  <si>
    <t>4e3f00f0-b57a-4e1b-88c6-76517da41e39</t>
  </si>
  <si>
    <t>639631-66</t>
  </si>
  <si>
    <t>RESIDENCIAL ALAMEDA DAS ANDORINHAS</t>
  </si>
  <si>
    <t>622522-80</t>
  </si>
  <si>
    <t>6b276114-277d-4ee5-a0a0-ea6a825a511b</t>
  </si>
  <si>
    <t>RESIDENCIAL TULUM</t>
  </si>
  <si>
    <t>612577-33</t>
  </si>
  <si>
    <t>GNRH</t>
  </si>
  <si>
    <t>SENSIA SERRA</t>
  </si>
  <si>
    <t>634347-05</t>
  </si>
  <si>
    <t>79eac08d-8b1e-4ee1-bef7-aaaea046669d</t>
  </si>
  <si>
    <t>RESIDENCIAL GRAND GUARULHOS</t>
  </si>
  <si>
    <t>600128-49</t>
  </si>
  <si>
    <t>GJIQ</t>
  </si>
  <si>
    <t>615572-50</t>
  </si>
  <si>
    <t>RESIDENCIAL VILLA DAS LARANJEIRAS</t>
  </si>
  <si>
    <t>545310-98</t>
  </si>
  <si>
    <t>GVP7</t>
  </si>
  <si>
    <t>RESIDENCIAL VALE DO SOL</t>
  </si>
  <si>
    <t>606218-61</t>
  </si>
  <si>
    <t>e311134e-d0c5-4381-b2ed-ec75f7f6fc1d</t>
  </si>
  <si>
    <t>623923-55</t>
  </si>
  <si>
    <t>632850-75</t>
  </si>
  <si>
    <t>CAMINHOS DOS YPÊS</t>
  </si>
  <si>
    <t>624873-73</t>
  </si>
  <si>
    <t>4465794a-7ee4-4cfd-a989-107444a33ad3</t>
  </si>
  <si>
    <t>643835-02</t>
  </si>
  <si>
    <t>RESIDENCIAL TORRES DE BRISTOL</t>
  </si>
  <si>
    <t>551086-91</t>
  </si>
  <si>
    <t>FLOR DE LÍRIO</t>
  </si>
  <si>
    <t>608432-03</t>
  </si>
  <si>
    <t>Regional irá dar continuidade na contestação pelo modelo CEI</t>
  </si>
  <si>
    <t>RESIDENCIAL PORTO DAS AMÉRICAS</t>
  </si>
  <si>
    <t>551942-59</t>
  </si>
  <si>
    <t>fb6cbaa2-d6bf-44af-91dd-2ecd66f8cdf0</t>
  </si>
  <si>
    <t>601091-38</t>
  </si>
  <si>
    <t>601092-42</t>
  </si>
  <si>
    <t>601093-57</t>
  </si>
  <si>
    <t>601094-61</t>
  </si>
  <si>
    <t>VI</t>
  </si>
  <si>
    <t>601095-76</t>
  </si>
  <si>
    <t>FLOR DE IRIS</t>
  </si>
  <si>
    <t>612172-45</t>
  </si>
  <si>
    <t>COSTA DOS ALPES</t>
  </si>
  <si>
    <t>608581-11</t>
  </si>
  <si>
    <t>b2e5ce5c-af82-44e2-801e-701eeb6d491e</t>
  </si>
  <si>
    <t>RESIDENCIAL MINERVA II</t>
  </si>
  <si>
    <t>608109-86</t>
  </si>
  <si>
    <t>0ee74b6d-478a-4a4c-91a2-dbd501f3f7d6</t>
  </si>
  <si>
    <t>627443-35</t>
  </si>
  <si>
    <t>612174-64</t>
  </si>
  <si>
    <t>638671-32</t>
  </si>
  <si>
    <t>PARQUE SORRENTO</t>
  </si>
  <si>
    <t>613020-21</t>
  </si>
  <si>
    <t>8f14bf51-5d46-4c8d-acc4-c9e18de3a9b2</t>
  </si>
  <si>
    <t>646243-10</t>
  </si>
  <si>
    <t>RESIDENCIAL LAGO DE VERSALHES</t>
  </si>
  <si>
    <t>609725-60</t>
  </si>
  <si>
    <t>RESIDENCIAL MATA DOS CARDEAIS</t>
  </si>
  <si>
    <t>607636-44</t>
  </si>
  <si>
    <t>719ca392-9bf5-4c8e-b64e-bbfe4c634a91</t>
  </si>
  <si>
    <t>626414-60</t>
  </si>
  <si>
    <t>PRIMOR CARIOCA</t>
  </si>
  <si>
    <t>612576-29</t>
  </si>
  <si>
    <t>64dc83af-902e-4950-a4f2-ac24dd384c7f</t>
  </si>
  <si>
    <t>625350-87</t>
  </si>
  <si>
    <t>632797-19</t>
  </si>
  <si>
    <t>SENSIA WAY</t>
  </si>
  <si>
    <t>610194-64</t>
  </si>
  <si>
    <t>3c95a2f9-8c95-42e6-85a5-3865aa292f0b</t>
  </si>
  <si>
    <t>LOJAS</t>
  </si>
  <si>
    <t>19ffd1e0-e3fc-4f20-9079-1b79a958fa13</t>
  </si>
  <si>
    <t>GIARDINI DI FIORI</t>
  </si>
  <si>
    <t>631694-58</t>
  </si>
  <si>
    <t>afd53bfd-6a4b-4f6f-b39e-cf913df31898</t>
  </si>
  <si>
    <t>RESIDENCIAL JARDIM AREZZO</t>
  </si>
  <si>
    <t>543315-97</t>
  </si>
  <si>
    <t>e91c19c4-44ec-43e0-a0ad-16befb5373a6</t>
  </si>
  <si>
    <t>602472-64</t>
  </si>
  <si>
    <t>545990-24</t>
  </si>
  <si>
    <t>RESIDENCIAL CASA DE ATENAS</t>
  </si>
  <si>
    <t>601593-07</t>
  </si>
  <si>
    <t>8a6c402c-7bbd-4010-837a-d69c0db46542</t>
  </si>
  <si>
    <t>Demanda não aberta por manutenção no SIGMA</t>
  </si>
  <si>
    <t>609826-88</t>
  </si>
  <si>
    <t>RESIDENCIAL RECANTO DAS PALMEIRAS</t>
  </si>
  <si>
    <t>598218-73</t>
  </si>
  <si>
    <t>d5bfb821-d815-4de0-a418-81adace60453</t>
  </si>
  <si>
    <t>615694-21</t>
  </si>
  <si>
    <t>RESIDENCIAL JARDIM INDEPENDÊNCIA</t>
  </si>
  <si>
    <t>608149-66</t>
  </si>
  <si>
    <t>eef94be3-46fa-4805-a859-9b77a5390fb9</t>
  </si>
  <si>
    <t>615039-86</t>
  </si>
  <si>
    <t>615040-13</t>
  </si>
  <si>
    <t>RESIDENCIAL BAMBURGO</t>
  </si>
  <si>
    <t>614702-94</t>
  </si>
  <si>
    <t>d48659a4-5832-4a15-81bb-41c673f885d2</t>
  </si>
  <si>
    <t>644687-34</t>
  </si>
  <si>
    <t>657487-98</t>
  </si>
  <si>
    <t>TORRES DOS PORTUGUESES</t>
  </si>
  <si>
    <t>611504-38</t>
  </si>
  <si>
    <t>38de867d-c3f6-43f7-8686-c3688e421497</t>
  </si>
  <si>
    <t>RESIDENCIAL LA VIENA</t>
  </si>
  <si>
    <t>614640-41</t>
  </si>
  <si>
    <t>GU19</t>
  </si>
  <si>
    <t>RESERVA DAS AMARÍLIS</t>
  </si>
  <si>
    <t>545520-31</t>
  </si>
  <si>
    <t>5c71fdb1-40dd-4506-84f0-9651a2a12f89</t>
  </si>
  <si>
    <t>633090-97</t>
  </si>
  <si>
    <t>SPAZIO SAN SALVADOR</t>
  </si>
  <si>
    <t>544366-32</t>
  </si>
  <si>
    <t>49244484-ba38-49aa-b0e5-fc6fde19e613</t>
  </si>
  <si>
    <t>SPAZIO BOULEVARD</t>
  </si>
  <si>
    <t>614638-09</t>
  </si>
  <si>
    <t>RESIDENCIAL TOULON</t>
  </si>
  <si>
    <t>611953-78</t>
  </si>
  <si>
    <t>95080a56-a847-4200-8bca-60e33c72a56c</t>
  </si>
  <si>
    <t>622757-25</t>
  </si>
  <si>
    <t>PORTO DAS MISSÕES</t>
  </si>
  <si>
    <t>601560-10</t>
  </si>
  <si>
    <t>978f2a7e-555f-4deb-a092-b0cedeb91aad</t>
  </si>
  <si>
    <t>616115-38</t>
  </si>
  <si>
    <t>631557-97</t>
  </si>
  <si>
    <t>RESIDENCIAL CARMINATTI</t>
  </si>
  <si>
    <t>603509-15</t>
  </si>
  <si>
    <t>GNLF</t>
  </si>
  <si>
    <t>621145-91</t>
  </si>
  <si>
    <t>SENSIA GALLERIA</t>
  </si>
  <si>
    <t>606940-11</t>
  </si>
  <si>
    <t>b39595d0-66f2-4016-b34e-056855f3a80f</t>
  </si>
  <si>
    <t>RESIDENCIAL PORTO MADRID</t>
  </si>
  <si>
    <t>497313-84</t>
  </si>
  <si>
    <t>021f3619-22f4-42b0-b546-64b308d2c7e6</t>
  </si>
  <si>
    <t>529345-66</t>
  </si>
  <si>
    <t>529346-70</t>
  </si>
  <si>
    <t>529347-84</t>
  </si>
  <si>
    <t>VISTA DAS OLIVEIRAS</t>
  </si>
  <si>
    <t>609838-20</t>
  </si>
  <si>
    <t>6dc2739b-4efe-4221-a3ed-f5c32f4e3250</t>
  </si>
  <si>
    <t>625024-23</t>
  </si>
  <si>
    <t>628090-90</t>
  </si>
  <si>
    <t>RESIDENCIAL MATA DAS OLIVEIRAS</t>
  </si>
  <si>
    <t>614518-56</t>
  </si>
  <si>
    <t>a1777368-39e6-434e-a14b-fb5986a83332</t>
  </si>
  <si>
    <t>623989-41</t>
  </si>
  <si>
    <t>626865-28</t>
  </si>
  <si>
    <t>RESIDENCIAL PORTO MUNIQUE</t>
  </si>
  <si>
    <t>531551-16</t>
  </si>
  <si>
    <t>fc8e8270-65be-4852-ac04-299b2eef9f85</t>
  </si>
  <si>
    <t>542694-62</t>
  </si>
  <si>
    <t>542695-77</t>
  </si>
  <si>
    <t>RESIDENCIAL CANTO DAS ÁGUIAS</t>
  </si>
  <si>
    <t>602191-68</t>
  </si>
  <si>
    <t>624741-74</t>
  </si>
  <si>
    <t>633729-05</t>
  </si>
  <si>
    <t>RESIDENCIAL PRÍNCIPE DE ATENAS</t>
  </si>
  <si>
    <t>601288-00</t>
  </si>
  <si>
    <t>9fdb20f1-6a30-4ca0-bbbe-abde834a65b2</t>
  </si>
  <si>
    <t>637076-03</t>
  </si>
  <si>
    <t>PARQUE PORTO BOA VISTA</t>
  </si>
  <si>
    <t>513819-52</t>
  </si>
  <si>
    <t>70729bba-5dbc-44e6-9145-c99e5ec673ed</t>
  </si>
  <si>
    <t>536789-80</t>
  </si>
  <si>
    <t>536792-35</t>
  </si>
  <si>
    <t>536793-49</t>
  </si>
  <si>
    <t>RESIDENCIAL CANTO DAS ARAUCÁRIAS</t>
  </si>
  <si>
    <t>612984-62</t>
  </si>
  <si>
    <t>GE26</t>
  </si>
  <si>
    <t>621013-02</t>
  </si>
  <si>
    <t>RESIDENCIAL JARDIM VERONA</t>
  </si>
  <si>
    <t>601993-43</t>
  </si>
  <si>
    <t>86b39412-2704-422a-9bd9-a7a7f7497f25</t>
  </si>
  <si>
    <t>612580-80</t>
  </si>
  <si>
    <t>PORTO DOS IMIGRANTES</t>
  </si>
  <si>
    <t>541721-72</t>
  </si>
  <si>
    <t>c8ba4ff0-282d-4796-8753-0d973436f5fd</t>
  </si>
  <si>
    <t>630042-42</t>
  </si>
  <si>
    <t>641284-09</t>
  </si>
  <si>
    <t>TERRAZZO PARNAÍBA</t>
  </si>
  <si>
    <t>647219-35</t>
  </si>
  <si>
    <t>RESIDENCIAL MONTE DAS COLINAS</t>
  </si>
  <si>
    <t>611536-12</t>
  </si>
  <si>
    <t>6b202f33-2f62-40cb-892f-a1ac6a70cdef</t>
  </si>
  <si>
    <t>638593-87</t>
  </si>
  <si>
    <t>BELLE GIARDINO</t>
  </si>
  <si>
    <t>510534-54</t>
  </si>
  <si>
    <t>b06d6bbf-df85-47d5-9e79-fbcdc895605e</t>
  </si>
  <si>
    <t>534679-08</t>
  </si>
  <si>
    <t>534680-36</t>
  </si>
  <si>
    <t>534681-40</t>
  </si>
  <si>
    <t>RESIDENCIAL PRINCIPE DE LUXEMBURGO</t>
  </si>
  <si>
    <t>609916-77</t>
  </si>
  <si>
    <t>IMPÉRIO DO OURO</t>
  </si>
  <si>
    <t>604233-07</t>
  </si>
  <si>
    <t>5157fe97-aa27-4f30-af0e-306b1fedb8f5</t>
  </si>
  <si>
    <t>615119-50</t>
  </si>
  <si>
    <t>623855-36</t>
  </si>
  <si>
    <t>VISTA DO PARQUE</t>
  </si>
  <si>
    <t>615410-95</t>
  </si>
  <si>
    <t>fcfa5d5c-6f45-42bd-a42f-24cb51a594e1</t>
  </si>
  <si>
    <t>621836-59</t>
  </si>
  <si>
    <t>626705-83</t>
  </si>
  <si>
    <t>632356-89</t>
  </si>
  <si>
    <t>NORTE PLAZA RESIDENCIAL</t>
  </si>
  <si>
    <t>543306-86</t>
  </si>
  <si>
    <t>d0a97919-d979-48c1-94ce-b4a74586975d</t>
  </si>
  <si>
    <t>599791-41</t>
  </si>
  <si>
    <t>604400-38</t>
  </si>
  <si>
    <t>622910-83</t>
  </si>
  <si>
    <t>625689-62</t>
  </si>
  <si>
    <t>630833-14</t>
  </si>
  <si>
    <t>CONDOMINIO JARDIM DOS CORAIS</t>
  </si>
  <si>
    <t>558063-75</t>
  </si>
  <si>
    <t>5e450677-d6b6-4554-ae85-045e63577601</t>
  </si>
  <si>
    <t>609103-45</t>
  </si>
  <si>
    <t>609106-79</t>
  </si>
  <si>
    <t>RESIDENCIAL PORTO DAS ARARAS</t>
  </si>
  <si>
    <t>507122-16</t>
  </si>
  <si>
    <t>3893f795-d394-4106-a01f-19101c854f38</t>
  </si>
  <si>
    <t>RESIDENCIAL BELGRANO</t>
  </si>
  <si>
    <t xml:space="preserve">635093-71 </t>
  </si>
  <si>
    <t>f6a59fb5-1123-4416-846c-ac1254a41fb9</t>
  </si>
  <si>
    <t>RESIDENCIAL LUZ DO CAMPO</t>
  </si>
  <si>
    <t>606858-17</t>
  </si>
  <si>
    <t>615045-65</t>
  </si>
  <si>
    <t>620067-31</t>
  </si>
  <si>
    <t>623982-73</t>
  </si>
  <si>
    <t>RESIDENCIAL JARDIM DI FLORENÇA</t>
  </si>
  <si>
    <t>601097-94</t>
  </si>
  <si>
    <t>FSJS</t>
  </si>
  <si>
    <t>COLINA IMPERIAL_SPAZIO REALEZA</t>
  </si>
  <si>
    <t>615712-45</t>
  </si>
  <si>
    <t>8a2d769a-ae6b-4ce3-90eb-2e367318748a</t>
  </si>
  <si>
    <t>RESIDENCIAL RAVENNA</t>
  </si>
  <si>
    <t>533921-25</t>
  </si>
  <si>
    <t>9c80a203-c59a-4d75-bf49-fbde20d5343e</t>
  </si>
  <si>
    <t>535925-14</t>
  </si>
  <si>
    <t>535930-89</t>
  </si>
  <si>
    <t>PALÁCIO DE TURIM</t>
  </si>
  <si>
    <t>556686-63</t>
  </si>
  <si>
    <t>f3b0b88a-456a-4f3d-89a3-4463f10258ec</t>
  </si>
  <si>
    <t>614758-66</t>
  </si>
  <si>
    <t>627389-79</t>
  </si>
  <si>
    <t>CHAPADA DAS CEREJEIRAS</t>
  </si>
  <si>
    <t>544867-98</t>
  </si>
  <si>
    <t>5b5c86c7-d3ad-4b8e-bb92-bd723854dc9d</t>
  </si>
  <si>
    <t>625691-03</t>
  </si>
  <si>
    <t>631689-84</t>
  </si>
  <si>
    <t>637274-02</t>
  </si>
  <si>
    <t>RESIDENCIAL RESERVA DA MATA</t>
  </si>
  <si>
    <t>608737-88</t>
  </si>
  <si>
    <t>ded2c06c-ef89-44ea-ae20-edac549a5f13</t>
  </si>
  <si>
    <t>646431-96</t>
  </si>
  <si>
    <t>CASTELO DE EDIMBURGO</t>
  </si>
  <si>
    <t>615729-39</t>
  </si>
  <si>
    <t>7491be08-77fa-4713-b0a2-2561925776ec</t>
  </si>
  <si>
    <t>627309-06</t>
  </si>
  <si>
    <t>RESIDENCIAL CAMEMBERT</t>
  </si>
  <si>
    <t>601683-97</t>
  </si>
  <si>
    <t>GWSO</t>
  </si>
  <si>
    <t>623847-27</t>
  </si>
  <si>
    <t>CASA DE VALOIS</t>
  </si>
  <si>
    <t>539154-74</t>
  </si>
  <si>
    <t>3067133b-3955-47de-ba38-6dc2d8682862</t>
  </si>
  <si>
    <t>616014-19</t>
  </si>
  <si>
    <t>621826-33</t>
  </si>
  <si>
    <t>RESERVA DAS FLORES</t>
  </si>
  <si>
    <t>556681-11</t>
  </si>
  <si>
    <t>40ad4807-7f4d-42d4-b828-7454e2ab1382</t>
  </si>
  <si>
    <t>646439-79</t>
  </si>
  <si>
    <t>CASTELLO DI LORENZO</t>
  </si>
  <si>
    <t>615726-07</t>
  </si>
  <si>
    <t>5aa846a6-3734-4873-96b3-c675d555bd7c</t>
  </si>
  <si>
    <t>643687-19</t>
  </si>
  <si>
    <t>RESIDENCIAL LUZ DO SOL</t>
  </si>
  <si>
    <t>612515-84</t>
  </si>
  <si>
    <t>GNQM</t>
  </si>
  <si>
    <t>623202-31</t>
  </si>
  <si>
    <t>623931-52</t>
  </si>
  <si>
    <t>626686-55</t>
  </si>
  <si>
    <t>631347-40</t>
  </si>
  <si>
    <t>635094-85</t>
  </si>
  <si>
    <t>GRAN REGENCE</t>
  </si>
  <si>
    <t>607771-90</t>
  </si>
  <si>
    <t>c92d68f5-d527-4e8b-b8fc-860fa1a3e116</t>
  </si>
  <si>
    <t>631731-07</t>
  </si>
  <si>
    <t>639043-43</t>
  </si>
  <si>
    <t>SENSIA TAQUARAL</t>
  </si>
  <si>
    <t>617195-25</t>
  </si>
  <si>
    <t>1bcfb9a9-9f70-4766-b7b4-2f644bddec4b</t>
  </si>
  <si>
    <t>CHELSEA</t>
  </si>
  <si>
    <t>610846-44</t>
  </si>
  <si>
    <t>f09fe4d0-b3d2-45ef-bdb3-6c27e8b96b63</t>
  </si>
  <si>
    <t>RESIDENCIAL BERATI</t>
  </si>
  <si>
    <t>598080-28</t>
  </si>
  <si>
    <t>GXBQ</t>
  </si>
  <si>
    <t>609824-69</t>
  </si>
  <si>
    <t>609825-74</t>
  </si>
  <si>
    <t>MALDIVAS RESIDENCIAL</t>
  </si>
  <si>
    <t>553003-35</t>
  </si>
  <si>
    <t>GM9G</t>
  </si>
  <si>
    <t>602626-12</t>
  </si>
  <si>
    <t>RESIDENCIAL BORUSSIA</t>
  </si>
  <si>
    <t>545830-89</t>
  </si>
  <si>
    <t>4f4b4b3a-7b9e-427c-9a83-edee059c4dc6</t>
  </si>
  <si>
    <t>615451-91</t>
  </si>
  <si>
    <t>627354-63</t>
  </si>
  <si>
    <t>EPARQUE RIO PRETO LESTE MÓDULO 01</t>
  </si>
  <si>
    <t>630674-93</t>
  </si>
  <si>
    <t>ec647304-e9b9-403e-9eed-2b6d00374054</t>
  </si>
  <si>
    <t>EPARQUE RIO PRETO LESTE MÓDULO 02</t>
  </si>
  <si>
    <t>614323-00</t>
  </si>
  <si>
    <t>0aa28109-f95a-4a83-98a6-ad9b3b28d854</t>
  </si>
  <si>
    <t>EPARQUE RIO PRETO LESTE MÓDULO 03</t>
  </si>
  <si>
    <t>646677-62</t>
  </si>
  <si>
    <t>24310136-b1b2-4e94-bddb-288d88ee85e0</t>
  </si>
  <si>
    <t>RESIDENCIAL SCARPONE</t>
  </si>
  <si>
    <t>617199-62</t>
  </si>
  <si>
    <t>c9fd784b-3f46-449b-824f-4f590ca94a18</t>
  </si>
  <si>
    <t>RESERVA DO MIRANTE_PARQUE MIRANTE DA PRAIA</t>
  </si>
  <si>
    <t>618740-47</t>
  </si>
  <si>
    <t>8f1331d8-2082-456d-8db4-086f94fb67fd</t>
  </si>
  <si>
    <t>639379-07</t>
  </si>
  <si>
    <t>643270-89</t>
  </si>
  <si>
    <t>TORRE DO MAR</t>
  </si>
  <si>
    <t>611293-89</t>
  </si>
  <si>
    <t>637133-93</t>
  </si>
  <si>
    <t>PORTO SÃO MIGUEL</t>
  </si>
  <si>
    <t>612648-85</t>
  </si>
  <si>
    <t>39cfb3a9-48f4-4624-b121-22199f321075</t>
  </si>
  <si>
    <t>625026-42</t>
  </si>
  <si>
    <t>637047-40</t>
  </si>
  <si>
    <t>641281-78</t>
  </si>
  <si>
    <t>COLINA IMPERIAL_PARQUE DOS DUQUES</t>
  </si>
  <si>
    <t>610339-00</t>
  </si>
  <si>
    <t>4e58a1cd-efae-4e52-b20e-dc18ae894285</t>
  </si>
  <si>
    <t>RESIDENCIAL CORES DA PRIMAVERA</t>
  </si>
  <si>
    <t>553106-73</t>
  </si>
  <si>
    <t>FXKE</t>
  </si>
  <si>
    <t>613955-36</t>
  </si>
  <si>
    <t>SENSIA AURORA</t>
  </si>
  <si>
    <t>616207-45</t>
  </si>
  <si>
    <t>demanda aberta pelo PJ</t>
  </si>
  <si>
    <t>RESIDENCIAL JARDIM DAS FLORES</t>
  </si>
  <si>
    <t>619435-66</t>
  </si>
  <si>
    <t>5bba2397-afe5-4806-86ce-01e661ccc28b</t>
  </si>
  <si>
    <t>PARQUE ANDINO</t>
  </si>
  <si>
    <t>484025-14</t>
  </si>
  <si>
    <t>29b96ddb-8a26-487d-9afe-a03281d296f1</t>
  </si>
  <si>
    <t>627750-64</t>
  </si>
  <si>
    <t>515895-39</t>
  </si>
  <si>
    <t>643274-24</t>
  </si>
  <si>
    <t>RESIDENCIAL OLÍMPIA</t>
  </si>
  <si>
    <t>606375-75</t>
  </si>
  <si>
    <t>e03fc099-6fa5-4d5c-be78-395ce1372b3b</t>
  </si>
  <si>
    <t>31/03 - Valores ratificados</t>
  </si>
  <si>
    <t>633921-40</t>
  </si>
  <si>
    <t>633924-73</t>
  </si>
  <si>
    <t>633971-58</t>
  </si>
  <si>
    <t>PARQUE JARDIM DOS JATOBÁS</t>
  </si>
  <si>
    <t>600194-50</t>
  </si>
  <si>
    <t>2b359701-4980-44b6-9208-901ac7295b8d</t>
  </si>
  <si>
    <t>622352-37</t>
  </si>
  <si>
    <t>RESIDENCIAL CONQUISTA</t>
  </si>
  <si>
    <t>520459-56</t>
  </si>
  <si>
    <t>0da3d251-9134-40e9-809d-0298789a4f33</t>
  </si>
  <si>
    <t>aguardando selo azul</t>
  </si>
  <si>
    <t>627391-10</t>
  </si>
  <si>
    <t>645610-45</t>
  </si>
  <si>
    <t>651011-17</t>
  </si>
  <si>
    <t>RESIDENCIAL MAUÁ</t>
  </si>
  <si>
    <t>610195-79</t>
  </si>
  <si>
    <t>FONTANA DI TERNI</t>
  </si>
  <si>
    <t>545219-71</t>
  </si>
  <si>
    <t>ff5f859d-df4d-453f-9cf1-e05e90b25922</t>
  </si>
  <si>
    <t>545222-26</t>
  </si>
  <si>
    <t>545224-44</t>
  </si>
  <si>
    <t>RESIDENCIAL BRISAS DO OUTEIRO</t>
  </si>
  <si>
    <t>552626-48</t>
  </si>
  <si>
    <t>FXUZ</t>
  </si>
  <si>
    <t>554918-13</t>
  </si>
  <si>
    <t>GRAND TOPÁZIO</t>
  </si>
  <si>
    <t>557576-59</t>
  </si>
  <si>
    <t>9b6ebecc-5e0f-4f02-8369-7464b62f9736</t>
  </si>
  <si>
    <t>610887-40</t>
  </si>
  <si>
    <t>VILLAGIO GARDEN</t>
  </si>
  <si>
    <t>601602-10</t>
  </si>
  <si>
    <t>GSSF</t>
  </si>
  <si>
    <t>604868-81</t>
  </si>
  <si>
    <t>RECANTO DA LAGOA</t>
  </si>
  <si>
    <t>533550-42</t>
  </si>
  <si>
    <t>ad8d6506-cf15-40b5-9a5c-7a47826c7f53</t>
  </si>
  <si>
    <t>624648-38</t>
  </si>
  <si>
    <t>625801-34</t>
  </si>
  <si>
    <t>RESERVA VILA JARDIM</t>
  </si>
  <si>
    <t>536427-06</t>
  </si>
  <si>
    <t>FZC9</t>
  </si>
  <si>
    <t>544760-14</t>
  </si>
  <si>
    <t>544761-28</t>
  </si>
  <si>
    <t>RESIDENCIAL MARTINI</t>
  </si>
  <si>
    <t>542491-10</t>
  </si>
  <si>
    <t>7533c263-4455-4615-83ee-9709dccdbf8f</t>
  </si>
  <si>
    <t>547205-50</t>
  </si>
  <si>
    <t>CAMINHO DOS SABIÁS</t>
  </si>
  <si>
    <t>619434-51</t>
  </si>
  <si>
    <t>PARQUE MAR DA NORUEGA</t>
  </si>
  <si>
    <t>604884-84</t>
  </si>
  <si>
    <t>17804ea9-15c7-4f42-96c9-9c935be1fe2f</t>
  </si>
  <si>
    <t>613365-97</t>
  </si>
  <si>
    <t>613401-31</t>
  </si>
  <si>
    <t>SENSIA LA VIE</t>
  </si>
  <si>
    <t>639982-18</t>
  </si>
  <si>
    <t>bb51476f-2240-4da3-96eb-bf47df26aee6</t>
  </si>
  <si>
    <t>634396-08</t>
  </si>
  <si>
    <t>RESIDENCIAL JARDIM DAS ARAUCÁRIAS</t>
  </si>
  <si>
    <t>619668-84</t>
  </si>
  <si>
    <t>ALAMEDA DOS COQUEIROS</t>
  </si>
  <si>
    <t>536809-21</t>
  </si>
  <si>
    <t>79014fc9-d703-4425-bb8c-0afb5b0fdc92</t>
  </si>
  <si>
    <t>615489-38</t>
  </si>
  <si>
    <t>553103-49</t>
  </si>
  <si>
    <t>553114-79</t>
  </si>
  <si>
    <t>553104-54</t>
  </si>
  <si>
    <t>RESIDENCIAL ENSEADA DO MAR</t>
  </si>
  <si>
    <t>607094-93</t>
  </si>
  <si>
    <t>GHON</t>
  </si>
  <si>
    <t>622348-66</t>
  </si>
  <si>
    <t>SENSIA URBAN</t>
  </si>
  <si>
    <t>610926-18</t>
  </si>
  <si>
    <t>7ef95b1a-be8a-451a-b114-32610afee64d</t>
  </si>
  <si>
    <t>SENSIA SWISS VIEW</t>
  </si>
  <si>
    <t>603084-86</t>
  </si>
  <si>
    <t>SENSIA PARIS</t>
  </si>
  <si>
    <t>621501-10</t>
  </si>
  <si>
    <t>RESIDENCIAL SAN LEVI</t>
  </si>
  <si>
    <t>611721-65</t>
  </si>
  <si>
    <t>a4b3d1c5-ecd3-4c88-9d3f-318ce65bc578</t>
  </si>
  <si>
    <t>626283-85</t>
  </si>
  <si>
    <t>COLINA DO SOL</t>
  </si>
  <si>
    <t>611158-45</t>
  </si>
  <si>
    <t>de14ac4e-2977-4288-9c81-be974b36f0df</t>
  </si>
  <si>
    <t>643919-12</t>
  </si>
  <si>
    <t>PARQUE DOM PEDRO II</t>
  </si>
  <si>
    <t>610335-65</t>
  </si>
  <si>
    <t>69269691-b9d7-43ac-93cc-cb1fc6c92d39</t>
  </si>
  <si>
    <t>RESIDENCIAL MORUMBI</t>
  </si>
  <si>
    <t>608431-90</t>
  </si>
  <si>
    <t>9bf0b18e-420b-4ff3-8824-8df854c4ef95</t>
  </si>
  <si>
    <t>639630-52</t>
  </si>
  <si>
    <t>644966-12</t>
  </si>
  <si>
    <t>89bb58ee-22cc-46f8-8775-887fec5cea97</t>
  </si>
  <si>
    <t>BELLE VILLE PARNAMIRIM</t>
  </si>
  <si>
    <t>609910-11</t>
  </si>
  <si>
    <t>5f7e19df-ab34-4d60-94e3-599d6925791f</t>
  </si>
  <si>
    <t>651454-78</t>
  </si>
  <si>
    <t>658383-62</t>
  </si>
  <si>
    <t>RESIDENCIAL CANTO DA MATA</t>
  </si>
  <si>
    <t>619700-83</t>
  </si>
  <si>
    <t>b5e6f522-0f50-4711-afb3-cea6d0b4f3d4</t>
  </si>
  <si>
    <t>635096-03</t>
  </si>
  <si>
    <t>RESIDENCIAL JARDIM DI ÁVILA</t>
  </si>
  <si>
    <t>521306-27</t>
  </si>
  <si>
    <t>3de67de0-5972-47b1-aec1-1ebe44909b73</t>
  </si>
  <si>
    <t>RESIDENCIAL REAL PALACE</t>
  </si>
  <si>
    <t>620214-19</t>
  </si>
  <si>
    <t>Topázio/Prata</t>
  </si>
  <si>
    <t>29cbd001-b1ec-4681-b836-d4aa2c834fa0</t>
  </si>
  <si>
    <t>632816-47</t>
  </si>
  <si>
    <t>RESIDENCIAL LAKE PORTINARI</t>
  </si>
  <si>
    <t>620384-71</t>
  </si>
  <si>
    <t> 56ac4685-6c43-40c1-ab11-a993bfd066d3</t>
  </si>
  <si>
    <t>622250-05</t>
  </si>
  <si>
    <t>624460-89</t>
  </si>
  <si>
    <t>SENSIA BARRA</t>
  </si>
  <si>
    <t>620350-70</t>
  </si>
  <si>
    <t>2476d3ed-7f8c-4cd2-b796-924f59f54af4</t>
  </si>
  <si>
    <t>CONDOMÍNIO COSTA DOS VENTOS</t>
  </si>
  <si>
    <t>552366-07</t>
  </si>
  <si>
    <t>016e93b5-f7f4-498e-b816-a2be251354a1</t>
  </si>
  <si>
    <t>623638-99</t>
  </si>
  <si>
    <t>RESIDENCIAL LAGUNA DI SEVILHA</t>
  </si>
  <si>
    <t>608580-07</t>
  </si>
  <si>
    <t xml:space="preserve">GSGS </t>
  </si>
  <si>
    <t>ESPLENDORE</t>
  </si>
  <si>
    <t>623031-65</t>
  </si>
  <si>
    <t>f77d1ac6-67c8-4c19-b8ee-cbd05b960c4c</t>
  </si>
  <si>
    <t>643877-12</t>
  </si>
  <si>
    <t>PIAZZA SIRENA</t>
  </si>
  <si>
    <t>620597-47</t>
  </si>
  <si>
    <t>37bc8b39-a483-4244-9de2-e3a0a334546f</t>
  </si>
  <si>
    <t>18/05/2026 - valores ratificados</t>
  </si>
  <si>
    <t>642708-40</t>
  </si>
  <si>
    <t>PONTAL DE ITAMARACÁ</t>
  </si>
  <si>
    <t>620600-96</t>
  </si>
  <si>
    <t>4f1abbcb-18d4-4f0e-9bf5-b4c5013e7972</t>
  </si>
  <si>
    <t>628086-39</t>
  </si>
  <si>
    <t>633869-01</t>
  </si>
  <si>
    <t>637222-78</t>
  </si>
  <si>
    <t>RESIDENCIAL NASCENTE DAS DUNAS</t>
  </si>
  <si>
    <t>620407-45</t>
  </si>
  <si>
    <t>RESIDENCIAL RITMOS DA BARRA</t>
  </si>
  <si>
    <t>631538-59</t>
  </si>
  <si>
    <t>ba3c41e0-1523-4541-a61c-0d127c9dd457</t>
  </si>
  <si>
    <t>RESERVA DO MAR</t>
  </si>
  <si>
    <t>552287-47</t>
  </si>
  <si>
    <t>3f6dc81a-2ec6-4957-9657-620dd952b1af</t>
  </si>
  <si>
    <t>615218-50</t>
  </si>
  <si>
    <t>623633-47</t>
  </si>
  <si>
    <t>627529-66</t>
  </si>
  <si>
    <t>RESIDENCIAL LE MONDE</t>
  </si>
  <si>
    <t>620545-12</t>
  </si>
  <si>
    <t>b9c5726f-4b6e-4a31-a6f9-f73433c19044</t>
  </si>
  <si>
    <t>624766-77</t>
  </si>
  <si>
    <t>RESIDENCIAL FLORES DO PORTO</t>
  </si>
  <si>
    <t>599774-33</t>
  </si>
  <si>
    <t>GX5H</t>
  </si>
  <si>
    <t>622556-94</t>
  </si>
  <si>
    <t>623269-32</t>
  </si>
  <si>
    <t>624607-44</t>
  </si>
  <si>
    <t>ALTIPLANO VILLAGE/SENSIA ALTIPLANO</t>
  </si>
  <si>
    <t>611160-88</t>
  </si>
  <si>
    <t>87488700-f132-43c3-b3f3-32cc0f2ea9df</t>
  </si>
  <si>
    <t>651202-24</t>
  </si>
  <si>
    <t>Não Possui</t>
  </si>
  <si>
    <t>RESERVA DAS ÍRIS</t>
  </si>
  <si>
    <t>594297-48</t>
  </si>
  <si>
    <t>G5SQ</t>
  </si>
  <si>
    <t>602239-22</t>
  </si>
  <si>
    <t>602255-38</t>
  </si>
  <si>
    <t>609828-05</t>
  </si>
  <si>
    <t>SENSIA PONTA NEGRA</t>
  </si>
  <si>
    <t>553081-80</t>
  </si>
  <si>
    <t>9219b586-5b39-4c6c-8bea-283f483920b6</t>
  </si>
  <si>
    <t>635627-25</t>
  </si>
  <si>
    <t>RESERVA ATLÂNTICA</t>
  </si>
  <si>
    <t>614296-77</t>
  </si>
  <si>
    <t>MIRANTE DO CAMPO</t>
  </si>
  <si>
    <t>621491-93</t>
  </si>
  <si>
    <t>875ff574-8bdd-4ead-9b50-a4e58a67ad3e</t>
  </si>
  <si>
    <t>626860-78</t>
  </si>
  <si>
    <t>RESIDENCIAL TERENCE</t>
  </si>
  <si>
    <t>621325-79</t>
  </si>
  <si>
    <t>05de562b-a74c-479e-ba4c-33d5e2acbf93</t>
  </si>
  <si>
    <t>632071-45</t>
  </si>
  <si>
    <t>632184-06</t>
  </si>
  <si>
    <t>RESIDENCIAL COLORADO</t>
  </si>
  <si>
    <t>613366-00</t>
  </si>
  <si>
    <t>7113a013-1c98-42aa-9670-01f1d6811f41</t>
  </si>
  <si>
    <t>623373-06</t>
  </si>
  <si>
    <t>SENSIA PATAMARES</t>
  </si>
  <si>
    <t>610969-32</t>
  </si>
  <si>
    <t>TERRAZO IPIRANGA</t>
  </si>
  <si>
    <t>553843-99</t>
  </si>
  <si>
    <t>e4d771b5-7bec-42ba-a9ab-4530b436c95f</t>
  </si>
  <si>
    <t>BALVANO RESIDENCIAL</t>
  </si>
  <si>
    <t>519329-58</t>
  </si>
  <si>
    <t>7c71a7de-7699-47b8-96b5-fe44dcaa5aca</t>
  </si>
  <si>
    <t>637077-17</t>
  </si>
  <si>
    <t>RESIDENCIAL LAKE VAN GOGH</t>
  </si>
  <si>
    <t>621190-57</t>
  </si>
  <si>
    <t>a9ce0226-8eee-4129-bca1-54e1490401c3</t>
  </si>
  <si>
    <t>622251-19</t>
  </si>
  <si>
    <t>SENSIA HORIZON</t>
  </si>
  <si>
    <t>621388-32</t>
  </si>
  <si>
    <t>RESIDENCIAL PEDRA DE GUARATIBA</t>
  </si>
  <si>
    <t>545773-99</t>
  </si>
  <si>
    <t>f679d6fd-65eb-49f5-9383-7eacdc66dac2</t>
  </si>
  <si>
    <t>Demanda aberta para correção do laudo.</t>
  </si>
  <si>
    <t>615723-75</t>
  </si>
  <si>
    <t>552846-06</t>
  </si>
  <si>
    <t>RESIDENCIAL BÁLSAMO</t>
  </si>
  <si>
    <t>621715-91</t>
  </si>
  <si>
    <t>fdc5f41f-91b5-4b0f-9d34-7fd510f2bc94</t>
  </si>
  <si>
    <t>637205-61</t>
  </si>
  <si>
    <t>643876-08</t>
  </si>
  <si>
    <t>BEACH PLAZA RESIDENCE</t>
  </si>
  <si>
    <t>621566-94</t>
  </si>
  <si>
    <t>0166aae9-b49a-4f67-b022-556258d05681</t>
  </si>
  <si>
    <t>641722-00</t>
  </si>
  <si>
    <t>RESIDENCIAL CAPRI VILLAGE</t>
  </si>
  <si>
    <t>621837-63</t>
  </si>
  <si>
    <t>GU4P</t>
  </si>
  <si>
    <t>ILHA DE SAN ANDRÉS</t>
  </si>
  <si>
    <t>613402-45</t>
  </si>
  <si>
    <t>727a7180-4778-431f-92bd-d281f65949df</t>
  </si>
  <si>
    <t>626477-24</t>
  </si>
  <si>
    <t>TORRES DO SERIDÓ</t>
  </si>
  <si>
    <t>622061-16</t>
  </si>
  <si>
    <t>8b084a58-d803-4892-90b2-4d91cdb45c41</t>
  </si>
  <si>
    <t>630048-07</t>
  </si>
  <si>
    <t>639497-33</t>
  </si>
  <si>
    <t>SENSIA ALAMEDA</t>
  </si>
  <si>
    <t>647538-95</t>
  </si>
  <si>
    <t>RESIDENCIAL CAMBOATÁ</t>
  </si>
  <si>
    <t>622128-07</t>
  </si>
  <si>
    <t>RESIDENCIAL PIAZZA DI MILANO</t>
  </si>
  <si>
    <t>545988-83</t>
  </si>
  <si>
    <t>fb29c5ac-6616-4273-95cd-3a4fe86a2d63</t>
  </si>
  <si>
    <t>557483-35</t>
  </si>
  <si>
    <t>557484-49</t>
  </si>
  <si>
    <t>PARQUE DOS CONDES</t>
  </si>
  <si>
    <t>610333-45</t>
  </si>
  <si>
    <t>db80ac62-fa2d-462d-8104-426f4e600711</t>
  </si>
  <si>
    <t>RESIDENCIAL FLORES DE GAIA</t>
  </si>
  <si>
    <t>622252-23</t>
  </si>
  <si>
    <t>1e93c6ef-cae3-41b3-9746-c25047aaa521</t>
  </si>
  <si>
    <t>632897-23</t>
  </si>
  <si>
    <t>PORTO DE HAMBURGO</t>
  </si>
  <si>
    <t>660434-14</t>
  </si>
  <si>
    <t>RECANTO DOS SABIÁS</t>
  </si>
  <si>
    <t>622375-00</t>
  </si>
  <si>
    <t>c4f9ba05-9a75-497c-bc6a-a744640dd6bb</t>
  </si>
  <si>
    <t>631110-99</t>
  </si>
  <si>
    <t>633801-97</t>
  </si>
  <si>
    <t>RESIDENCIAL MAIORI</t>
  </si>
  <si>
    <t>622316-83</t>
  </si>
  <si>
    <t>Unidades mão caastraa no BPM 12</t>
  </si>
  <si>
    <t>RESIDENCIAL LORETO</t>
  </si>
  <si>
    <t>622350-19</t>
  </si>
  <si>
    <t>58cff369-f842-4a4e-b063-8505cacad93c</t>
  </si>
  <si>
    <t>637159-09</t>
  </si>
  <si>
    <t>641213-48</t>
  </si>
  <si>
    <t>VISTA DAS FLORES</t>
  </si>
  <si>
    <t>611404-23</t>
  </si>
  <si>
    <t>0af512fa-866e-4b79-ada3-ba4810d15f76</t>
  </si>
  <si>
    <t>644426-70</t>
  </si>
  <si>
    <t>647048-69</t>
  </si>
  <si>
    <t>RESIDENCIAL ROTTERDAM</t>
  </si>
  <si>
    <t>622834-55</t>
  </si>
  <si>
    <t>e2eec836-2e5c-47a2-b6f3-4b11cdf2a5a9</t>
  </si>
  <si>
    <t>JOY GARDEN</t>
  </si>
  <si>
    <t>536785-43</t>
  </si>
  <si>
    <t>0f47a8f2-c95f-4215-b936-b8fbf3bf42d0</t>
  </si>
  <si>
    <t>551091-65</t>
  </si>
  <si>
    <t>TORRES DO AEROPORTO</t>
  </si>
  <si>
    <t>620404-12</t>
  </si>
  <si>
    <t>31ba5874-75a8-4513-9f67-c7f4c30e3ee3</t>
  </si>
  <si>
    <t>638553-06</t>
  </si>
  <si>
    <t>641570-72</t>
  </si>
  <si>
    <t>CONDOMÍNIO RESIDENCIAL PARQUE DOS DIAMANTES</t>
  </si>
  <si>
    <t>622713-97</t>
  </si>
  <si>
    <t>d15499e1-16fe-427d-8184-f9e6ecbcc845</t>
  </si>
  <si>
    <t>640974-38</t>
  </si>
  <si>
    <t>RESIDENCIAL FAROL DO ATLÂNTICO</t>
  </si>
  <si>
    <t>622840-33</t>
  </si>
  <si>
    <t>f7a02904-b427-4fb5-82fb-4e87e2fae051</t>
  </si>
  <si>
    <t>RESERVA COSTA DO SOL</t>
  </si>
  <si>
    <t>471113-15</t>
  </si>
  <si>
    <t>47b62d8a-f624-4d02-8202-27dec0ffa8eb</t>
  </si>
  <si>
    <t>639428-91</t>
  </si>
  <si>
    <t>643307-14</t>
  </si>
  <si>
    <t>RESIDENCIAL NASCENTE SEMPRE VIVA</t>
  </si>
  <si>
    <t>622980-39</t>
  </si>
  <si>
    <t>GU1B</t>
  </si>
  <si>
    <t>REFÚGIO CAMORIM</t>
  </si>
  <si>
    <t>656848-31</t>
  </si>
  <si>
    <t>Demanda aberta pelo PJ</t>
  </si>
  <si>
    <t>ALAMEDA IMPERIAL</t>
  </si>
  <si>
    <t>620412-19</t>
  </si>
  <si>
    <t>bbd55efc-09e6-4280-a1a3-6328deaa1382</t>
  </si>
  <si>
    <t>633730-33</t>
  </si>
  <si>
    <t>645967-54</t>
  </si>
  <si>
    <t>654234-63</t>
  </si>
  <si>
    <t>RESIDENCIAL RIO NORTE</t>
  </si>
  <si>
    <t>623217-07</t>
  </si>
  <si>
    <t>RESIDENCIAL DUNAS DO HORIZONTE</t>
  </si>
  <si>
    <t>623345-59</t>
  </si>
  <si>
    <t>b016fd65-03d1-45d4-858c-604cb807c65c</t>
  </si>
  <si>
    <t>aguardar o Selo Azul</t>
  </si>
  <si>
    <t>MORADA DOS SONHOS</t>
  </si>
  <si>
    <t>608654-93</t>
  </si>
  <si>
    <t>af982590-384c-4992-a083-5c0cea6518e0</t>
  </si>
  <si>
    <t>631959-51</t>
  </si>
  <si>
    <t>RESIDENCIAL RIVIERA</t>
  </si>
  <si>
    <t>622376-14</t>
  </si>
  <si>
    <t>db73541e-551c-44fe-8b74-70fb8680c679</t>
  </si>
  <si>
    <t>641563-89</t>
  </si>
  <si>
    <t>641564-93</t>
  </si>
  <si>
    <t>RESERVA DOS VENTOS</t>
  </si>
  <si>
    <t>548221-78</t>
  </si>
  <si>
    <t>2f8a613c-9220-4670-ba34-0596c977be63</t>
  </si>
  <si>
    <t>602158-57</t>
  </si>
  <si>
    <t>602221-24</t>
  </si>
  <si>
    <t>SAN RICCI</t>
  </si>
  <si>
    <t>620409-64</t>
  </si>
  <si>
    <t>3bc69336-0d06-47c9-8381-b50e207a7b72</t>
  </si>
  <si>
    <t>626505-65</t>
  </si>
  <si>
    <t>627629-70</t>
  </si>
  <si>
    <t>627630-07</t>
  </si>
  <si>
    <t>MIRANTE CARDEAL</t>
  </si>
  <si>
    <t>557834-70</t>
  </si>
  <si>
    <t>4e0bf759-c04d-4880-a881-58ae2bd0cd1e</t>
  </si>
  <si>
    <t>630834-28</t>
  </si>
  <si>
    <t>635121-19</t>
  </si>
  <si>
    <t>PARQUE FLORA DAS CARNAÚBAS</t>
  </si>
  <si>
    <t>511536-98</t>
  </si>
  <si>
    <t>RESIDENCIAL FLORES DE ÉVORA</t>
  </si>
  <si>
    <t>623276-25</t>
  </si>
  <si>
    <t>6f3b7d5f-ae37-42fc-8761-29e20cc8f5a9</t>
  </si>
  <si>
    <t>634272-17</t>
  </si>
  <si>
    <t>638390-35</t>
  </si>
  <si>
    <t>RESIDENCIAL CAMPO DI VIENA</t>
  </si>
  <si>
    <t>623758-55</t>
  </si>
  <si>
    <t>3a722336-21a2-475f-8504-ab7c02f0377f</t>
  </si>
  <si>
    <t>RESERVA DA LAGOA</t>
  </si>
  <si>
    <t>608297-69</t>
  </si>
  <si>
    <t>b0b6fec9-a2f5-4a5c-b54b-62f497346b2c</t>
  </si>
  <si>
    <t>Ratificado</t>
  </si>
  <si>
    <t>VILA AMETISTA</t>
  </si>
  <si>
    <t>602569-22</t>
  </si>
  <si>
    <t>351d6bf6-f212-45b5-879d-efe09b3d2957</t>
  </si>
  <si>
    <t>RESERVA DAS MAGNÓLIAS</t>
  </si>
  <si>
    <t>606535-01</t>
  </si>
  <si>
    <t>59fd0569-1b3a-4b7a-9701-5e30aaa4481f</t>
  </si>
  <si>
    <t>RESIDENCIAL BELLA SUÉCIA</t>
  </si>
  <si>
    <t>600388-90</t>
  </si>
  <si>
    <t>d845d165-49c7-450d-852c-b0596a341c97</t>
  </si>
  <si>
    <t>06/03/2026 - valores ratificados</t>
  </si>
  <si>
    <t>636827-69</t>
  </si>
  <si>
    <t>643918-08</t>
  </si>
  <si>
    <t>CHAPADA FLAMBOYANT</t>
  </si>
  <si>
    <t>552486-52</t>
  </si>
  <si>
    <t>9666c048-75dd-4b0e-af42-aaa609e7e6d2</t>
  </si>
  <si>
    <t>SENSIA SOLARIUM</t>
  </si>
  <si>
    <t>624241-22</t>
  </si>
  <si>
    <t>4df1c125-04b7-4af4-aae1-c7f796e1d2ec</t>
  </si>
  <si>
    <t>Falta cadastrar aberto chamado 2436955</t>
  </si>
  <si>
    <t>641966-58</t>
  </si>
  <si>
    <t>644759-01</t>
  </si>
  <si>
    <t>663935-35</t>
  </si>
  <si>
    <t>RESIDENCIAL ILHA DE MALTA</t>
  </si>
  <si>
    <t>619713-39</t>
  </si>
  <si>
    <t>b21f5c46-d292-45ce-8f56-eec6e2537eb7</t>
  </si>
  <si>
    <t>639276-62</t>
  </si>
  <si>
    <t>657488-01</t>
  </si>
  <si>
    <t>RESIDENCIAL POENTE DO BURITI</t>
  </si>
  <si>
    <t>624288-84</t>
  </si>
  <si>
    <t>636933-51</t>
  </si>
  <si>
    <t>637869-94</t>
  </si>
  <si>
    <t>JARDIM DAS AMOREIRAS</t>
  </si>
  <si>
    <t>623984-91</t>
  </si>
  <si>
    <t>86f4e250-4b1a-4773-9d07-fe52ef338058</t>
  </si>
  <si>
    <t>RESIDENCIAL BERGER</t>
  </si>
  <si>
    <t>624289-98</t>
  </si>
  <si>
    <t>15206016-2c49-43fb-af9a-8c84abf90efb</t>
  </si>
  <si>
    <t>640131-31</t>
  </si>
  <si>
    <t>VISTA DOS JASMINS</t>
  </si>
  <si>
    <t>610088-72</t>
  </si>
  <si>
    <t>8ac19ddf-9372-4d3b-acb1-6e22d17ebad8</t>
  </si>
  <si>
    <t>20/03/2026 - valores ratificados</t>
  </si>
  <si>
    <t>632227-11</t>
  </si>
  <si>
    <t>636789-04</t>
  </si>
  <si>
    <t>RESIDENCIAL DON PAGLIATO</t>
  </si>
  <si>
    <t>624414-17</t>
  </si>
  <si>
    <t>fe674837-1507-433f-8f24-3b5a250cace9</t>
  </si>
  <si>
    <t>PORTO BREMEN</t>
  </si>
  <si>
    <t>624302-61</t>
  </si>
  <si>
    <t>79ab2966-8ce9-431f-91e8-3926f9249e5a</t>
  </si>
  <si>
    <t>641285-14</t>
  </si>
  <si>
    <t>RESIDENCIAL MATA DAS CARNAÚBAS</t>
  </si>
  <si>
    <t>624764-58</t>
  </si>
  <si>
    <t>a83d54a2-40dc-497a-98cd-afedfc03d02c</t>
  </si>
  <si>
    <t>648189-94</t>
  </si>
  <si>
    <t>RESIDENCIAL LARANJEIRAS</t>
  </si>
  <si>
    <t>624609-63</t>
  </si>
  <si>
    <t>bd1e626f-1fe8-459c-8241-2fd694b69595</t>
  </si>
  <si>
    <t>PARQUE FLORENCE</t>
  </si>
  <si>
    <t>605493-85</t>
  </si>
  <si>
    <t>GN6F</t>
  </si>
  <si>
    <t>RESIDENCIAL JARDIM DI TURIM</t>
  </si>
  <si>
    <t>552993-95</t>
  </si>
  <si>
    <t>f0e8b01c-c77d-4394-b75d-a002e7892697</t>
  </si>
  <si>
    <t>JARDIM VILA RICA</t>
  </si>
  <si>
    <t>624816-74</t>
  </si>
  <si>
    <t>1f54ab0d-dda7-43aa-91ac-dc01be9cf4b5</t>
  </si>
  <si>
    <t>645424-88</t>
  </si>
  <si>
    <t>ECO PARK</t>
  </si>
  <si>
    <t>624995-45</t>
  </si>
  <si>
    <t>2655d1b4-5112-423a-a25a-35062ef8a823</t>
  </si>
  <si>
    <t>636784-54</t>
  </si>
  <si>
    <t>RESIDENCIAL MIRANTE DAS DUNAS</t>
  </si>
  <si>
    <t>625139-03</t>
  </si>
  <si>
    <t>df39a892-30f6-4c0c-96b5-1bb1e4410390</t>
  </si>
  <si>
    <t>GRAN ESSENCE</t>
  </si>
  <si>
    <t>624813-40</t>
  </si>
  <si>
    <t>3d5fe598-4f6a-4671-9fca-b4939b50bd81</t>
  </si>
  <si>
    <t>636826-55</t>
  </si>
  <si>
    <t>638523-39</t>
  </si>
  <si>
    <t>643199-01</t>
  </si>
  <si>
    <t>643273-10</t>
  </si>
  <si>
    <t>662343-52</t>
  </si>
  <si>
    <t>RESIDENCIAL POENTE DOS SABIÁS</t>
  </si>
  <si>
    <t>625362-29</t>
  </si>
  <si>
    <t>RESIDENCIAL AUTENTICITÀ</t>
  </si>
  <si>
    <t>601885-33</t>
  </si>
  <si>
    <t>5c6eb0af-ecda-46aa-a605-5ec31aad8d15</t>
  </si>
  <si>
    <t>RESIDENCIAL REAL PRIME</t>
  </si>
  <si>
    <t>558302-61</t>
  </si>
  <si>
    <t>426383f1-ad09-42e6-84a5-38c16da17f19</t>
  </si>
  <si>
    <t>642277-32</t>
  </si>
  <si>
    <t>PALÁCIO DE ESTOCOLMO</t>
  </si>
  <si>
    <t>543681-39</t>
  </si>
  <si>
    <t>770690ad-6c04-494b-8374-c75691afb288</t>
  </si>
  <si>
    <t>639632-70</t>
  </si>
  <si>
    <t>RESIDENCIAL CAMÉLIAS</t>
  </si>
  <si>
    <t>625364-47</t>
  </si>
  <si>
    <t>6c195ca2-e741-4eab-8c77-e9c3096f8d63</t>
  </si>
  <si>
    <t>634277-69</t>
  </si>
  <si>
    <t>RESIDENCIAL TOKYO</t>
  </si>
  <si>
    <t>625239-17</t>
  </si>
  <si>
    <t>b723546e-2e15-4350-9be3-6eb99ecc6f62</t>
  </si>
  <si>
    <t>14/04/2026 - valores ratificados</t>
  </si>
  <si>
    <t>637055-50</t>
  </si>
  <si>
    <t>638437-87</t>
  </si>
  <si>
    <t>RESIDENCIAL LAKE DA VINCI</t>
  </si>
  <si>
    <t>625476-96</t>
  </si>
  <si>
    <t>b80b0190-893c-4e68-85f3-b48fcc9654ab</t>
  </si>
  <si>
    <t>RESIDENCIAL JARDIM BONSAI</t>
  </si>
  <si>
    <t>622927-77</t>
  </si>
  <si>
    <t>83e14dd3-ef92-4457-80a0-9e1ca9fe1d79</t>
  </si>
  <si>
    <t>634392-62</t>
  </si>
  <si>
    <t>638554-10</t>
  </si>
  <si>
    <t>638555-25</t>
  </si>
  <si>
    <t>640535-15</t>
  </si>
  <si>
    <t>PARQUE DAS CORES_CORES DO POENTE</t>
  </si>
  <si>
    <t>625635-18</t>
  </si>
  <si>
    <t>e9d6300f-c263-4f67-a72f-3fabfa116050</t>
  </si>
  <si>
    <t>RESIDENCIAL PRAIA DO MADEIRO</t>
  </si>
  <si>
    <t>654.045-75</t>
  </si>
  <si>
    <t>Demanda aberta pela colaboradora Thais F Melo</t>
  </si>
  <si>
    <t>RESIDENCIAL TRILHAS DOS RIOS</t>
  </si>
  <si>
    <t>601141-35</t>
  </si>
  <si>
    <t>8e138af0-5044-4b67-bc71-df71b1a562cb</t>
  </si>
  <si>
    <t>604344-40</t>
  </si>
  <si>
    <t>604345-56</t>
  </si>
  <si>
    <t>604346-60</t>
  </si>
  <si>
    <t>RESIDENCIAL SOLAR DA ILHA</t>
  </si>
  <si>
    <t>625861-67</t>
  </si>
  <si>
    <t>396b5588-45cc-4d94-80d0-c2e0992c6557</t>
  </si>
  <si>
    <t>638619-84</t>
  </si>
  <si>
    <t>RESIDENCIAL POENTE DOS TUCANOS</t>
  </si>
  <si>
    <t>625944-51</t>
  </si>
  <si>
    <t>e55cf54b-cf85-4775-ad08-9133aa927901</t>
  </si>
  <si>
    <t>643780-55</t>
  </si>
  <si>
    <t>FLORES DO CAMBIRELA</t>
  </si>
  <si>
    <t>623460-64</t>
  </si>
  <si>
    <t>PELO PJ</t>
  </si>
  <si>
    <t>RESIDENCIAL CALLAS</t>
  </si>
  <si>
    <t>626224-67</t>
  </si>
  <si>
    <t>1fc6f2c0-dee6-4a3b-964e-18b7311e99c6</t>
  </si>
  <si>
    <t>640789-87</t>
  </si>
  <si>
    <t>CASTELO DE WINDSOR</t>
  </si>
  <si>
    <t>626559-17</t>
  </si>
  <si>
    <t>1572eede-4c53-4434-a326-c86626dcc156</t>
  </si>
  <si>
    <t>637162-56</t>
  </si>
  <si>
    <t>RESIDENCIAL JARDIM OLIVEIRAS</t>
  </si>
  <si>
    <t>614037-30</t>
  </si>
  <si>
    <t>8b7e6016-f4a2-4af3-9357-8dc7b4b441c7</t>
  </si>
  <si>
    <t>649178-80</t>
  </si>
  <si>
    <t>RESIDENCIAL RIO MAR</t>
  </si>
  <si>
    <t>612448-66</t>
  </si>
  <si>
    <t>b261f4fa-10bb-44a9-b67c-274d62964305</t>
  </si>
  <si>
    <t>504420-54</t>
  </si>
  <si>
    <t>CANDEIAS TULIP</t>
  </si>
  <si>
    <t>556250-05</t>
  </si>
  <si>
    <t>77fdc68a-ab48-4242-88a9-b192e0e589a3</t>
  </si>
  <si>
    <t>638458-42</t>
  </si>
  <si>
    <t>DIR. COM E CRED NE</t>
  </si>
  <si>
    <t>GST. COM NE1 (BA 1)</t>
  </si>
  <si>
    <t>VITÓRIA DA CONQUISTA</t>
  </si>
  <si>
    <t>644536-09</t>
  </si>
  <si>
    <t>FORTE ALENCAR</t>
  </si>
  <si>
    <t>598692-26</t>
  </si>
  <si>
    <t>9721524f-319e-48be-bb59-cade113bb1f2</t>
  </si>
  <si>
    <t>RESIDENCIAL LAKE PICASSO</t>
  </si>
  <si>
    <t>626512-57</t>
  </si>
  <si>
    <t>3374a8fa-718a-491b-b016-9a07a4775c4b</t>
  </si>
  <si>
    <t>632798-23</t>
  </si>
  <si>
    <t>639708-84</t>
  </si>
  <si>
    <t>RESIDENCIAL SAORI</t>
  </si>
  <si>
    <t>626693-46</t>
  </si>
  <si>
    <t>MORADAS DO SOL</t>
  </si>
  <si>
    <t>598077-73</t>
  </si>
  <si>
    <t>b5dad9e1-972f-4462-96c2-cd59ab24b223</t>
  </si>
  <si>
    <t>633322-90</t>
  </si>
  <si>
    <t>SAN MILLER</t>
  </si>
  <si>
    <t>626859-49</t>
  </si>
  <si>
    <t>0075859a-9db7-498e-9007-ce327be2de6a</t>
  </si>
  <si>
    <t>08/05/2026 - valores ratificados</t>
  </si>
  <si>
    <t>640120-02</t>
  </si>
  <si>
    <t>RESIDENCIAL POENTE DAS ORQUÍDEAS</t>
  </si>
  <si>
    <t>627045-18</t>
  </si>
  <si>
    <t>b609874b-cbd6-4086-87dd-5a5b6fe2dfce</t>
  </si>
  <si>
    <t>634838-45</t>
  </si>
  <si>
    <t>ALAMEDA DO CERRADO</t>
  </si>
  <si>
    <t>626990-46</t>
  </si>
  <si>
    <t>5847325c-2e3e-405e-ac75-578c3b43de10</t>
  </si>
  <si>
    <t>637207-89</t>
  </si>
  <si>
    <t>638400-53</t>
  </si>
  <si>
    <t>RESIDENCIAL MARANELLO</t>
  </si>
  <si>
    <t>627393-38</t>
  </si>
  <si>
    <t>RECANTO DA MATA</t>
  </si>
  <si>
    <t>619835-02</t>
  </si>
  <si>
    <t>3b0f2450-6205-48cf-b0f7-67c1ed4e8958</t>
  </si>
  <si>
    <t>633798-48</t>
  </si>
  <si>
    <t>RESIDENCE PARK</t>
  </si>
  <si>
    <t>626515-80</t>
  </si>
  <si>
    <t>935c7093-f364-4fbb-9a10-f947f24a18c6</t>
  </si>
  <si>
    <t>639380-35</t>
  </si>
  <si>
    <t>640583-03</t>
  </si>
  <si>
    <t>643786-19</t>
  </si>
  <si>
    <t>TORRES DOS FRANCESES</t>
  </si>
  <si>
    <t>602441-83</t>
  </si>
  <si>
    <t>6e530c96-a078-41c5-8c0c-d12acebec753</t>
  </si>
  <si>
    <t>RESIDENCIAL CAMPO DI RAVENA</t>
  </si>
  <si>
    <t>627445-55</t>
  </si>
  <si>
    <t>677ab8b1-59e9-4678-a722-fedc4c24be47</t>
  </si>
  <si>
    <t>PRIMAVERA GARDEN</t>
  </si>
  <si>
    <t>626586-40</t>
  </si>
  <si>
    <t>333b49d4-359f-45be-b7a6-790021c1d10b</t>
  </si>
  <si>
    <t>648366-49</t>
  </si>
  <si>
    <t>PARQUE JARDIM DI FRANKFURT</t>
  </si>
  <si>
    <t>651467-25</t>
  </si>
  <si>
    <t>663810-30</t>
  </si>
  <si>
    <t>PORTO DOS SABIÁS</t>
  </si>
  <si>
    <t>640963-09</t>
  </si>
  <si>
    <t>d554d4b4-7a64-4651-9e25-a0b3dfc3206d</t>
  </si>
  <si>
    <t>RESIDENCIAL NASCENTE DAS ARAUCÁRIAS</t>
  </si>
  <si>
    <t>627675-40</t>
  </si>
  <si>
    <t>RESERVA DOS LÍRIOS</t>
  </si>
  <si>
    <t>625459-88</t>
  </si>
  <si>
    <t>6aa93a5b-fbb8-4e5b-8051-fb59fc6e89dd</t>
  </si>
  <si>
    <t>637045-22</t>
  </si>
  <si>
    <t>662964-73</t>
  </si>
  <si>
    <t>RESIDENCIAL HORIZONTE</t>
  </si>
  <si>
    <t>630061-81</t>
  </si>
  <si>
    <t>2e9ad6f1-1fc2-4c97-a101-c7a62cdff86d</t>
  </si>
  <si>
    <t>638435-69</t>
  </si>
  <si>
    <t>638460-85</t>
  </si>
  <si>
    <t>MIRANTE DA LUZ</t>
  </si>
  <si>
    <t>627752-82</t>
  </si>
  <si>
    <t>d9b30752-99eb-489f-b4f8-ee3c1185a967</t>
  </si>
  <si>
    <t>640537-33</t>
  </si>
  <si>
    <t>MAR DE CAPRI</t>
  </si>
  <si>
    <t>628098-73</t>
  </si>
  <si>
    <t>5b8634cf-e854-4673-92f2-637c581e9245</t>
  </si>
  <si>
    <t>GST. COM NE 3 (SE+AL)</t>
  </si>
  <si>
    <t>MACEIÓ</t>
  </si>
  <si>
    <t>648056-93</t>
  </si>
  <si>
    <t>199e5aca-ab32-ed11-ba45-005056890018</t>
  </si>
  <si>
    <t>RESIDENCIAL RECANTO DAS ÁRVORES</t>
  </si>
  <si>
    <t>630113-05</t>
  </si>
  <si>
    <t>d5e1f446-d0d6-4931-b02a-5fb7ce60914c</t>
  </si>
  <si>
    <t>CONDOMÍNIO RESIDENCIAL CAMINHOS DO LAGO</t>
  </si>
  <si>
    <t>608981-58</t>
  </si>
  <si>
    <t>7d7eac46-3366-419d-a2c0-9dda9bd94b0b</t>
  </si>
  <si>
    <t>643751-03</t>
  </si>
  <si>
    <t>CASTELLO DI VENETO</t>
  </si>
  <si>
    <t>631068-75</t>
  </si>
  <si>
    <t>5fc7e67a-5d7e-4a90-b83a-89de00420cfa</t>
  </si>
  <si>
    <t>643320-86</t>
  </si>
  <si>
    <t>645930-17</t>
  </si>
  <si>
    <t>RESIDENCIAL CANOAS</t>
  </si>
  <si>
    <t>631067-61</t>
  </si>
  <si>
    <t>9590bef1-36fe-486b-bcd1-c5fe1770cca6</t>
  </si>
  <si>
    <t>VALE DO SERENO_RESIDENCIAL MONTANHAS DO VALE</t>
  </si>
  <si>
    <t>601549-56</t>
  </si>
  <si>
    <t>GRAN ARENA ITAQUERA</t>
  </si>
  <si>
    <t>614727-85</t>
  </si>
  <si>
    <t>2d6d11f9-107e-4426-9c89-c7409c225545</t>
  </si>
  <si>
    <t>634391-58</t>
  </si>
  <si>
    <t>634367-58</t>
  </si>
  <si>
    <t>634395-95</t>
  </si>
  <si>
    <t>634366-43</t>
  </si>
  <si>
    <t>RESIDENCIAL LIVIERO</t>
  </si>
  <si>
    <t>630111-88</t>
  </si>
  <si>
    <t>4b166910-e295-4775-82cc-569e4ca5e93e</t>
  </si>
  <si>
    <t>637206-75</t>
  </si>
  <si>
    <t>637289-79</t>
  </si>
  <si>
    <t>VILA FILOMENO</t>
  </si>
  <si>
    <t>631642-22</t>
  </si>
  <si>
    <t>RESIDENCIAL MANDACARU</t>
  </si>
  <si>
    <t>631334-93</t>
  </si>
  <si>
    <t>68f014fc-c19f-46d1-bd8f-a309daa95157</t>
  </si>
  <si>
    <t>RESIDENCIAL TIBRE</t>
  </si>
  <si>
    <t>631559-14</t>
  </si>
  <si>
    <t>aaa22fe2-587a-4dff-b0d7-9e49a16a5d4a</t>
  </si>
  <si>
    <t>647597-12</t>
  </si>
  <si>
    <t>RESIDENCIAL CACHOEIRA DOS SINOS</t>
  </si>
  <si>
    <t>514478-58</t>
  </si>
  <si>
    <t>61220461-dc70-4b7c-b705-31bc0ad6c7ea</t>
  </si>
  <si>
    <t>514482-17</t>
  </si>
  <si>
    <t>514485-40</t>
  </si>
  <si>
    <t>PALMEIRA BOREAL</t>
  </si>
  <si>
    <t>631964-24</t>
  </si>
  <si>
    <t>c74cc282-8dee-4209-9e8f-db5d89266d49</t>
  </si>
  <si>
    <t>638316-28</t>
  </si>
  <si>
    <t>638416-32</t>
  </si>
  <si>
    <t>642873-51</t>
  </si>
  <si>
    <t>RESIDENCIAL VALE DO AMANHECER</t>
  </si>
  <si>
    <t>647941-87</t>
  </si>
  <si>
    <t>93bbcd9f-a5f7-473c-8b6b-27421cc7c8be</t>
  </si>
  <si>
    <t>662907-74</t>
  </si>
  <si>
    <t>MIRANTE DA COLINA</t>
  </si>
  <si>
    <t>613890-52</t>
  </si>
  <si>
    <t>9aac536d-1245-41ed-971c-a57228a8578c</t>
  </si>
  <si>
    <t>641018-72</t>
  </si>
  <si>
    <t>SAINT ROSE</t>
  </si>
  <si>
    <t>632490-17</t>
  </si>
  <si>
    <t>c68cbe8d-44fb-4056-8fea-6051bc0020b4</t>
  </si>
  <si>
    <t>640162-12</t>
  </si>
  <si>
    <t>CHAPADA REDENTORI</t>
  </si>
  <si>
    <t>632669-69</t>
  </si>
  <si>
    <t>0b078c8b-7aeb-4d2f-a1a7-82fc77ea23f4</t>
  </si>
  <si>
    <t>638461-99</t>
  </si>
  <si>
    <t>641208-75</t>
  </si>
  <si>
    <t>RESERVA VILA DO SOL</t>
  </si>
  <si>
    <t>545707-89</t>
  </si>
  <si>
    <t>609915-63</t>
  </si>
  <si>
    <t>GRAN LUNA E GRAN AURORA</t>
  </si>
  <si>
    <t>632603-72</t>
  </si>
  <si>
    <t>72698230-952d-4ef1-97a8-8a61a73439c3</t>
  </si>
  <si>
    <t>638436-73</t>
  </si>
  <si>
    <t>643275-39</t>
  </si>
  <si>
    <t>648882-94</t>
  </si>
  <si>
    <t>650967-52</t>
  </si>
  <si>
    <t>RESIDENCIAL GIARDINO DI BALI</t>
  </si>
  <si>
    <t>632257-89</t>
  </si>
  <si>
    <t>5213ecba-7a9b-4194-a98d-b71298ace38d</t>
  </si>
  <si>
    <t>639427-87</t>
  </si>
  <si>
    <t>641761-89</t>
  </si>
  <si>
    <t>PARKSIDE RESIDENCE</t>
  </si>
  <si>
    <t>632547-85</t>
  </si>
  <si>
    <t>eaa86814-8633-46d6-a8a8-6a7c27a02684</t>
  </si>
  <si>
    <t>637288-65</t>
  </si>
  <si>
    <t>PARQUE PORTO ÔNIX</t>
  </si>
  <si>
    <t>3db8aa7c-64a6-438f-8653-27d64c7fe825</t>
  </si>
  <si>
    <t>RESIDENCIAL LUZ DA AURORA</t>
  </si>
  <si>
    <t>632910-97</t>
  </si>
  <si>
    <t>641602-57</t>
  </si>
  <si>
    <t>641611-68</t>
  </si>
  <si>
    <t>REAL PARK</t>
  </si>
  <si>
    <t>623836-99</t>
  </si>
  <si>
    <t>28038017-0e3a-4a74-b183-096f77cb2eb0</t>
  </si>
  <si>
    <t>TERRAZO REALEZA</t>
  </si>
  <si>
    <t>632882-58</t>
  </si>
  <si>
    <t>PORTO VERSALHES</t>
  </si>
  <si>
    <t>630045-76</t>
  </si>
  <si>
    <t>1442169b-5ba1-4156-9c2e-0bde06e2ca3a</t>
  </si>
  <si>
    <t>641664-06</t>
  </si>
  <si>
    <t>RESIDENCIAL MIRANTE DO VALE</t>
  </si>
  <si>
    <t>633222-86</t>
  </si>
  <si>
    <t>5dfd42bc-f28c-47d7-92e4-a6365ffe2a7c</t>
  </si>
  <si>
    <t>641601-42</t>
  </si>
  <si>
    <t>SPAZIO IMPERATRIZ</t>
  </si>
  <si>
    <t>610372-23</t>
  </si>
  <si>
    <t>3bf8cf58-ab97-404a-9c74-8ff762136f0e</t>
  </si>
  <si>
    <t>RESIDENCIAL LEON</t>
  </si>
  <si>
    <t>633036-29</t>
  </si>
  <si>
    <t>c5b03af1-7c02-4458-a81e-36efd752ddf2</t>
  </si>
  <si>
    <t>650822-04</t>
  </si>
  <si>
    <t>RESIDENCIAL NASCENTE DO JEQUITIBÁ</t>
  </si>
  <si>
    <t>632814-28</t>
  </si>
  <si>
    <t>644729-34</t>
  </si>
  <si>
    <t>RESIDENCIAL MONTEVIDÉU</t>
  </si>
  <si>
    <t>632985-95</t>
  </si>
  <si>
    <t>366fa677-5606-432f-b8a4-cc4446bff40b</t>
  </si>
  <si>
    <t>30/03/26 - valores ratificados</t>
  </si>
  <si>
    <t>649419-94</t>
  </si>
  <si>
    <t>30/03/2026 - Valores ratificados</t>
  </si>
  <si>
    <t>RESIDENCIAL GREEN PARK</t>
  </si>
  <si>
    <t>633829-19</t>
  </si>
  <si>
    <t>16474b80-a4cc-4ea8-85f5-2d72073af88f</t>
  </si>
  <si>
    <t>643861-32</t>
  </si>
  <si>
    <t>644430-39</t>
  </si>
  <si>
    <t>644429-01</t>
  </si>
  <si>
    <t>RESIDENCIAL ATLANTA</t>
  </si>
  <si>
    <t>601642-91</t>
  </si>
  <si>
    <t>83f5d799-95ba-4419-85b3-2d1646535d61</t>
  </si>
  <si>
    <t>646250-15</t>
  </si>
  <si>
    <t>CHAPADA DAS MANGABEIRAS</t>
  </si>
  <si>
    <t>544874-80</t>
  </si>
  <si>
    <t>e84a7a0a-0a96-4095-974f-eddafb004c3c</t>
  </si>
  <si>
    <t>647526-52</t>
  </si>
  <si>
    <t>650877-63</t>
  </si>
  <si>
    <t>PARQUE DOS MARQUESES</t>
  </si>
  <si>
    <t>610367-50</t>
  </si>
  <si>
    <t>0797e509-ac9a-40bc-9430-419010f638c3</t>
  </si>
  <si>
    <t>CASTELLO DI ANGELO</t>
  </si>
  <si>
    <t>612889-08</t>
  </si>
  <si>
    <t>f9a5a93f-e59b-4413-8fe7-4437264d2959</t>
  </si>
  <si>
    <t>644760-39</t>
  </si>
  <si>
    <t>CANTO DAS MANGUEIRAS</t>
  </si>
  <si>
    <t>604127-15</t>
  </si>
  <si>
    <t>059af788-8bdb-4038-90d0-6e62ad3cb4b7</t>
  </si>
  <si>
    <t>644164-10</t>
  </si>
  <si>
    <t>644861-58</t>
  </si>
  <si>
    <t>647720-14</t>
  </si>
  <si>
    <t>RESIDENCIAL VALPARAÍSO</t>
  </si>
  <si>
    <t>634042-22</t>
  </si>
  <si>
    <t>9bd5a2ea-356b-46f1-85c4-2a50f09254a6</t>
  </si>
  <si>
    <t>EPIC</t>
  </si>
  <si>
    <t>634036-44</t>
  </si>
  <si>
    <t>231fc6ed-23a3-4f22-9e99-c14c0321d990</t>
  </si>
  <si>
    <t>638391-49</t>
  </si>
  <si>
    <t>RESERVA REDENTOR</t>
  </si>
  <si>
    <t>634265-25</t>
  </si>
  <si>
    <t>b97295ca-ccaa-4396-a744-7d8398f05038</t>
  </si>
  <si>
    <t>647322-96</t>
  </si>
  <si>
    <t>RESIDENCIAL MONTANA</t>
  </si>
  <si>
    <t>601753-45</t>
  </si>
  <si>
    <t>ae85f3ca-de49-4cf8-8725-4bb0b4a5bde8</t>
  </si>
  <si>
    <t>PORT VILLE RESIDENCE</t>
  </si>
  <si>
    <t>634514-36</t>
  </si>
  <si>
    <t>VISTA TORQUATO</t>
  </si>
  <si>
    <t>636681-17</t>
  </si>
  <si>
    <t>b4beafbe-6570-498d-a0fe-e0077bb90f63</t>
  </si>
  <si>
    <t>649179-94</t>
  </si>
  <si>
    <t>VISTA DAS ORQUÍDEAS</t>
  </si>
  <si>
    <t>615488-24</t>
  </si>
  <si>
    <t>a629c9ae-6f3e-460c-b181-2b1e35155bb9</t>
  </si>
  <si>
    <t>643278-62</t>
  </si>
  <si>
    <t>PARQUE DAS CORES_CORES DO MIRANTE</t>
  </si>
  <si>
    <t xml:space="preserve">Global </t>
  </si>
  <si>
    <t>638370-96</t>
  </si>
  <si>
    <t>693201 - demanda aberta pelo PJ</t>
  </si>
  <si>
    <t>RESIDENCIAL BECKER</t>
  </si>
  <si>
    <t>637217-03</t>
  </si>
  <si>
    <t>RESIDENCIAL VILA JADE</t>
  </si>
  <si>
    <t>636934-65</t>
  </si>
  <si>
    <t>RESIDENCIAL TULLE</t>
  </si>
  <si>
    <t>637002-19</t>
  </si>
  <si>
    <t>662966-92</t>
  </si>
  <si>
    <t>PARQUE DOS PRÍNCIPES</t>
  </si>
  <si>
    <t>610370-05</t>
  </si>
  <si>
    <t>497d407c-e5c0-451c-b322-12dccf5e5c9d</t>
  </si>
  <si>
    <t>MIRANTE DOS COQUEIROS</t>
  </si>
  <si>
    <t>636937-98</t>
  </si>
  <si>
    <t>1094d270-63b4-4952-ae6c-aa869703e60a</t>
  </si>
  <si>
    <t>RESIDENCIAL LA ROCHE</t>
  </si>
  <si>
    <t>637215-86</t>
  </si>
  <si>
    <t>2793c630-eadd-42b4-a0c7-94120c519b1c</t>
  </si>
  <si>
    <t>644761-43</t>
  </si>
  <si>
    <t>RESIDENCIAL LAKE DALÍ</t>
  </si>
  <si>
    <t>637216-90</t>
  </si>
  <si>
    <t>645972-27</t>
  </si>
  <si>
    <t>PARQUE CANOAS</t>
  </si>
  <si>
    <t>634510-91</t>
  </si>
  <si>
    <t>f100a4d2-45c1-4f69-b1e6-7983330f6ac9</t>
  </si>
  <si>
    <t>643659-73</t>
  </si>
  <si>
    <t>643611-07</t>
  </si>
  <si>
    <t>RESIDENCIAL POENTE FLOR DE MAIO</t>
  </si>
  <si>
    <t>637054-44</t>
  </si>
  <si>
    <t>RESIDENCIAL LANCELOT</t>
  </si>
  <si>
    <t>637130-61</t>
  </si>
  <si>
    <t>b0c268ea-68b0-4d63-851b-5fb80ff3a3b1</t>
  </si>
  <si>
    <t>640713-75</t>
  </si>
  <si>
    <t>640712-61</t>
  </si>
  <si>
    <t>MATA DAS CASTANHEIRAS</t>
  </si>
  <si>
    <t>638098-87</t>
  </si>
  <si>
    <t>d7492690-9c29-42d4-940b-48ee4f14c392</t>
  </si>
  <si>
    <t>644216-36</t>
  </si>
  <si>
    <t>GRAN PORTO</t>
  </si>
  <si>
    <t>609713-25</t>
  </si>
  <si>
    <t>d562fc69-5aae-4c4c-b8fd-b5e1b66dca89</t>
  </si>
  <si>
    <t>643201-45</t>
  </si>
  <si>
    <t>RESIDENCIAL RIO ÁGATA</t>
  </si>
  <si>
    <t>600671-38</t>
  </si>
  <si>
    <t>BENISSA RESIDENCIAL</t>
  </si>
  <si>
    <t>637935-95</t>
  </si>
  <si>
    <t>47b08515-ff5b-459e-8905-fe31ffeb6a27</t>
  </si>
  <si>
    <t>RESIDENCIAL BARRA NOVA</t>
  </si>
  <si>
    <t>637894-07</t>
  </si>
  <si>
    <t>fa7209aa-3869-4d0d-acda-83e45493da35</t>
  </si>
  <si>
    <t>645164-47</t>
  </si>
  <si>
    <t>651992-81</t>
  </si>
  <si>
    <t>PORTO DAS GAIVOTAS</t>
  </si>
  <si>
    <t>507072-19</t>
  </si>
  <si>
    <t>9c4a65a3-8754-49ba-826b-b6baea00baea</t>
  </si>
  <si>
    <t>RESIDENCIAL ESTORIL</t>
  </si>
  <si>
    <t>625799-91</t>
  </si>
  <si>
    <t>c83b0241-da07-4887-91f3-9a09b8533322</t>
  </si>
  <si>
    <t>643342-43</t>
  </si>
  <si>
    <t>643347-95</t>
  </si>
  <si>
    <t>643353-85</t>
  </si>
  <si>
    <t>643352-71</t>
  </si>
  <si>
    <t>VILA RUBI</t>
  </si>
  <si>
    <t>637895-12</t>
  </si>
  <si>
    <t>2b38c709-2333-490b-86cf-390739459394</t>
  </si>
  <si>
    <t>RESIDENCIAL IPÊ AMARELO</t>
  </si>
  <si>
    <t>638293-54</t>
  </si>
  <si>
    <t>55f43b33-f3c4-4115-a597-f9a1c292c29c</t>
  </si>
  <si>
    <t>SENSIA JARDIM</t>
  </si>
  <si>
    <t>638123-93</t>
  </si>
  <si>
    <t>f2acd82c-7742-4bfc-870c-56aa895fb640</t>
  </si>
  <si>
    <t>644867-12</t>
  </si>
  <si>
    <t>TORRES DI VILLA</t>
  </si>
  <si>
    <t>598991-44</t>
  </si>
  <si>
    <t>ILHA DE SAN MARTIN</t>
  </si>
  <si>
    <t>613403-50</t>
  </si>
  <si>
    <t>644603-25</t>
  </si>
  <si>
    <t>RESIDENCIAL MAR DE TRINDADE</t>
  </si>
  <si>
    <t>520511-96</t>
  </si>
  <si>
    <t>6cb42d41-e3a8-4d6f-9d28-592ffcea7399</t>
  </si>
  <si>
    <t>RESIDENCIAL PORTO BÁVARO</t>
  </si>
  <si>
    <t>638565-40</t>
  </si>
  <si>
    <t>DUNAS DO MAR</t>
  </si>
  <si>
    <t>634845-38</t>
  </si>
  <si>
    <t>VISTA DOS OITIS</t>
  </si>
  <si>
    <t>632228-25</t>
  </si>
  <si>
    <t>ce57b332-771d-4513-8526-dfbb49eae87b</t>
  </si>
  <si>
    <t>649202-82</t>
  </si>
  <si>
    <t>GRAN FORNARI</t>
  </si>
  <si>
    <t>638853-38</t>
  </si>
  <si>
    <t>dfe38c6c-e668-4199-8eaf-e2bc12a8308c</t>
  </si>
  <si>
    <t>ILHA DE SANTORINI</t>
  </si>
  <si>
    <t>633648-27</t>
  </si>
  <si>
    <t>2bdd739b-fd9c-4f1c-8201-41063ecc1387</t>
  </si>
  <si>
    <t>SOUL</t>
  </si>
  <si>
    <t>638969-22</t>
  </si>
  <si>
    <t>36987266-fbbf-4405-a9b4-29390ae62f5d</t>
  </si>
  <si>
    <t>644936-45</t>
  </si>
  <si>
    <t>RESERVA DOS BANDEIRANTES</t>
  </si>
  <si>
    <t>638968-18</t>
  </si>
  <si>
    <t>ca4af123-e9fc-43ba-9630-0eb10cc979e1</t>
  </si>
  <si>
    <t>658102-68</t>
  </si>
  <si>
    <t>RESIDENCIAL CANTO DAS ANDORINHAS</t>
  </si>
  <si>
    <t>619436-70</t>
  </si>
  <si>
    <t>658166-36</t>
  </si>
  <si>
    <t>CORES DA ILHA</t>
  </si>
  <si>
    <t>639233-46</t>
  </si>
  <si>
    <t>c3f7fd2e-84a4-4171-9d87-95ececa72c82</t>
  </si>
  <si>
    <t>651963-39</t>
  </si>
  <si>
    <t>JARDIM MORADA DO VERDE</t>
  </si>
  <si>
    <t>639278-80</t>
  </si>
  <si>
    <t>CHAPADA FONTANA</t>
  </si>
  <si>
    <t>640239-28</t>
  </si>
  <si>
    <t>216d2887-1c47-41f7-9625-fd8e27668df1</t>
  </si>
  <si>
    <t>645934-54</t>
  </si>
  <si>
    <t>RESIDENCIAL LAGO DE DAVOS</t>
  </si>
  <si>
    <t>639869-33</t>
  </si>
  <si>
    <t>694948 - demanda aberta pelo PJ</t>
  </si>
  <si>
    <t>RESIDENCIAL JARDIM DOS PRÍNCIPES</t>
  </si>
  <si>
    <t>639905-70</t>
  </si>
  <si>
    <t>b214d488-862b-4a2c-9b2b-33292640eb6d</t>
  </si>
  <si>
    <t>DUNAS PARK</t>
  </si>
  <si>
    <t>639983-22</t>
  </si>
  <si>
    <t>TORRES DO POENTE</t>
  </si>
  <si>
    <t>640237-00</t>
  </si>
  <si>
    <t>85e44299-10f1-41b0-a4a4-512aeaee5c7c</t>
  </si>
  <si>
    <t>644297-12</t>
  </si>
  <si>
    <t>RESIDENCIAL IPÊS</t>
  </si>
  <si>
    <t>614676-74</t>
  </si>
  <si>
    <t>4b47bdc8-33c0-4aa7-9de0-d0c2e16a99f1</t>
  </si>
  <si>
    <t>653935-21</t>
  </si>
  <si>
    <t>RESIDENCIAL DANTE</t>
  </si>
  <si>
    <t>640326-86</t>
  </si>
  <si>
    <t>RESIDENCIAL MIRANTE DOS VENTOS</t>
  </si>
  <si>
    <t>639906-84</t>
  </si>
  <si>
    <t>GRAND GARDEN</t>
  </si>
  <si>
    <t>612343-00</t>
  </si>
  <si>
    <t>RESIDENCIAL POENTE DAS BROMÉLIAS</t>
  </si>
  <si>
    <t>640476-06</t>
  </si>
  <si>
    <t>35bad543-ab2b-4179-bb2a-85b72873ff3e</t>
  </si>
  <si>
    <t>646303-44</t>
  </si>
  <si>
    <t>RESIDENCIAL CARVALHO</t>
  </si>
  <si>
    <t>640470-41</t>
  </si>
  <si>
    <t>534ab7db-5d24-4e67-b1eb-ff74696d7db3</t>
  </si>
  <si>
    <t>644659-98</t>
  </si>
  <si>
    <t>RESIDENCIAL LUNARE</t>
  </si>
  <si>
    <t>597997-85</t>
  </si>
  <si>
    <t>bdb1b3d0-9e83-4f70-a14b-e54a78a63045</t>
  </si>
  <si>
    <t>647868-94</t>
  </si>
  <si>
    <t>651015-55</t>
  </si>
  <si>
    <t>652546-90</t>
  </si>
  <si>
    <t>SOLAR DOS CAJUEIROS</t>
  </si>
  <si>
    <t>600835-01</t>
  </si>
  <si>
    <t>fe867e5f-ee70-4097-b59e-75617010e93a</t>
  </si>
  <si>
    <t>647383-31</t>
  </si>
  <si>
    <t>650929-88</t>
  </si>
  <si>
    <t>PARQUE HOLANDÊS</t>
  </si>
  <si>
    <t>639984-36</t>
  </si>
  <si>
    <t>ENCANTOS DA ZONA NORTE</t>
  </si>
  <si>
    <t>640783-21</t>
  </si>
  <si>
    <t>6a1cbe8b-f424-4f18-8b3a-a4bdcfd3087d</t>
  </si>
  <si>
    <t>VILLA FIORI</t>
  </si>
  <si>
    <t>640966-32</t>
  </si>
  <si>
    <t>03893eca-582a-4493-aabc-621ae63768b2</t>
  </si>
  <si>
    <t>Valores foram retificados no laudo do dia 08/07/2026 pela CEF.</t>
  </si>
  <si>
    <t>RESIDENCIAL FLORA</t>
  </si>
  <si>
    <t>641157-64</t>
  </si>
  <si>
    <t>VILLE DE PORTO</t>
  </si>
  <si>
    <t>639207-28</t>
  </si>
  <si>
    <t>03f8cba9-2ed0-44b1-9f71-254395dd151d</t>
  </si>
  <si>
    <t>SAN TOLEDO</t>
  </si>
  <si>
    <t>619712-25</t>
  </si>
  <si>
    <t>FLORES DE BRAGANÇA</t>
  </si>
  <si>
    <t>641195-25</t>
  </si>
  <si>
    <t>6b9b1a40-d58b-4dc6-8802-3b90da9e2230</t>
  </si>
  <si>
    <t>646145-25</t>
  </si>
  <si>
    <t>RESIDENCIAL LA SERENA</t>
  </si>
  <si>
    <t>641190-75</t>
  </si>
  <si>
    <t>519b3d0f-a5fc-4c9e-b801-7dd9f80445ad</t>
  </si>
  <si>
    <t>PORTO DOS LÍRIOS</t>
  </si>
  <si>
    <t>638415-28</t>
  </si>
  <si>
    <t>7a10321f-50e3-4f3f-ba8b-8b1de3376768</t>
  </si>
  <si>
    <t>663385-88</t>
  </si>
  <si>
    <t>MIRANTE DAS ÁGUAS</t>
  </si>
  <si>
    <t>641206-57</t>
  </si>
  <si>
    <t>7c394298-c467-4328-be81-8b5c01123fac</t>
  </si>
  <si>
    <t>RESERVA JARDIM AMÉRICA</t>
  </si>
  <si>
    <t>555073-34</t>
  </si>
  <si>
    <t>VII</t>
  </si>
  <si>
    <t>VIII</t>
  </si>
  <si>
    <t>IX</t>
  </si>
  <si>
    <t>X</t>
  </si>
  <si>
    <t>XI</t>
  </si>
  <si>
    <t>XII</t>
  </si>
  <si>
    <t>RESIDENCIAL CAMPO DI ESPANHA</t>
  </si>
  <si>
    <t>641401-23</t>
  </si>
  <si>
    <t>7845ac8c-fbf7-448a-b945-796f531e6131</t>
  </si>
  <si>
    <t>VILLA D’ORO</t>
  </si>
  <si>
    <t>641483-13</t>
  </si>
  <si>
    <t>c8c06bf1-8b13-466f-88a6-2b8e42ec440a</t>
  </si>
  <si>
    <t>CANDEIAS GARDEN</t>
  </si>
  <si>
    <t>558243-40</t>
  </si>
  <si>
    <t>d291ed27-ed88-479e-ac89-5c24b46d6884</t>
  </si>
  <si>
    <t>646053-29</t>
  </si>
  <si>
    <t>RESIDENCIAL GOLDEN VILLE</t>
  </si>
  <si>
    <t>607832-25</t>
  </si>
  <si>
    <t>d4780364-f84e-4b70-b1e8-ef0362bc1392</t>
  </si>
  <si>
    <t>645889-07</t>
  </si>
  <si>
    <t>649199-33</t>
  </si>
  <si>
    <t>BELA VISTA RESIDENCIAL</t>
  </si>
  <si>
    <t>636852-85</t>
  </si>
  <si>
    <t>ee7ad7a7-c601-4ee5-aebf-0031b1ffcdc7</t>
  </si>
  <si>
    <t>CITY GALLERIA</t>
  </si>
  <si>
    <t>641740-22</t>
  </si>
  <si>
    <t>dc294c37-7525-422f-bd31-0cbc84a2b129</t>
  </si>
  <si>
    <t>647289-83</t>
  </si>
  <si>
    <t>RESIDENCIAL SABIÁ</t>
  </si>
  <si>
    <t>626449-76</t>
  </si>
  <si>
    <t>3bf80973-dfdb-4ef6-8a56-53f12b10abd4</t>
  </si>
  <si>
    <t>24/03/2026 - será enviada nova FRE, foi alterado RI para abrirmos demanda, Érika (CEF) esta ciente</t>
  </si>
  <si>
    <t>649292-79</t>
  </si>
  <si>
    <t>GRAN VERONA</t>
  </si>
  <si>
    <t>641435-25</t>
  </si>
  <si>
    <t>39503f8f-5da6-49ef-8d78-9d6283e2c0e8</t>
  </si>
  <si>
    <t>647535-63</t>
  </si>
  <si>
    <t>651827-71</t>
  </si>
  <si>
    <t>RESIDENCIAL CAMPOBELLO</t>
  </si>
  <si>
    <t>641901-75</t>
  </si>
  <si>
    <t>fdac5006-c27e-4558-aeab-a57ae111c314</t>
  </si>
  <si>
    <t>650823-18</t>
  </si>
  <si>
    <t>RESIDENCIAL NAGOYA</t>
  </si>
  <si>
    <t>620968-32</t>
  </si>
  <si>
    <t>e1b3d494-83bc-4688-94a6-6af075181d7a</t>
  </si>
  <si>
    <t>649139-01</t>
  </si>
  <si>
    <t>RESIDENCIAL MATIELLO</t>
  </si>
  <si>
    <t>613019-94</t>
  </si>
  <si>
    <t>RESIDENCIAL PAINEIRAS</t>
  </si>
  <si>
    <t>641968-76</t>
  </si>
  <si>
    <t>53673315-1ba9-45b3-8cf4-ea42c1135171</t>
  </si>
  <si>
    <t>RESIDENCIAL GOLF RIVIERA</t>
  </si>
  <si>
    <t>641919-73</t>
  </si>
  <si>
    <t>063e0241-6270-4613-b0db-21a7527d6377</t>
  </si>
  <si>
    <t>Cadastrado somente o Riviera</t>
  </si>
  <si>
    <t>RESIDENCIAL GOLF LAGUNA</t>
  </si>
  <si>
    <t>653590-67</t>
  </si>
  <si>
    <t>090475e9-cbcb-49ac-8757-c0385e213216</t>
  </si>
  <si>
    <t>RESIDENCIAL GOLF TERRAVISTA</t>
  </si>
  <si>
    <t>663936-49</t>
  </si>
  <si>
    <t>RESIDENCIAL MIRANTE DAS BRISAS</t>
  </si>
  <si>
    <t>642420-75</t>
  </si>
  <si>
    <t>badb442a-bf88-44fe-ae99-203bcfe19615</t>
  </si>
  <si>
    <t>21/05/26 - aberta nova demanda, valor proposto anteriormente estava errado</t>
  </si>
  <si>
    <t>660245-26</t>
  </si>
  <si>
    <t>TORRES DOS BURITIS</t>
  </si>
  <si>
    <t>641046-18</t>
  </si>
  <si>
    <t>CORREÇÃO NA CEF</t>
  </si>
  <si>
    <t>8ebd2137-4516-46bb-a331-ec6b02a67e39</t>
  </si>
  <si>
    <t>645600-20</t>
  </si>
  <si>
    <t>651017-73</t>
  </si>
  <si>
    <t>SENSIA PAMPULHA</t>
  </si>
  <si>
    <t>543065-72</t>
  </si>
  <si>
    <t>a6dea3e3-4b49-4190-9513-f46fef2bde63</t>
  </si>
  <si>
    <t>611222-27</t>
  </si>
  <si>
    <t>611223-31</t>
  </si>
  <si>
    <t>RESIDENCIAL MAZARELLO</t>
  </si>
  <si>
    <t>600379-89</t>
  </si>
  <si>
    <t>a7597bd5-b9eb-4dc1-9956-d8f8233d5661</t>
  </si>
  <si>
    <t>640121-16</t>
  </si>
  <si>
    <t>PONTAL DE MARACAÍPE</t>
  </si>
  <si>
    <t>642709-55</t>
  </si>
  <si>
    <t>0a073cd5-6d06-43f6-af25-f70d2d05391b</t>
  </si>
  <si>
    <t>657519-74</t>
  </si>
  <si>
    <t>663561-29</t>
  </si>
  <si>
    <t>RESIDENCIAL JARDIM MATSU</t>
  </si>
  <si>
    <t>642384-38</t>
  </si>
  <si>
    <t>ab12943d-72eb-4e9e-95d2-b229070fd895</t>
  </si>
  <si>
    <t>645581-93</t>
  </si>
  <si>
    <t>649158-49</t>
  </si>
  <si>
    <t>RESIDENCIAL NASCENTE PICO DOS MARINS</t>
  </si>
  <si>
    <t>640927-55</t>
  </si>
  <si>
    <t>3374aaae-542f-4023-974c-60b1551af11a</t>
  </si>
  <si>
    <t>660244-11</t>
  </si>
  <si>
    <t>PORTO GUARANI</t>
  </si>
  <si>
    <t>604296-63</t>
  </si>
  <si>
    <t>e43447ca-92e7-4127-9913-e931dbaadeee</t>
  </si>
  <si>
    <t>651310-35</t>
  </si>
  <si>
    <t>653998-86</t>
  </si>
  <si>
    <t>CAMPO DAS VIDEIRAS</t>
  </si>
  <si>
    <t>642764-35</t>
  </si>
  <si>
    <t>Demanda será aberto pelo PJ via ACC - E-MAIL 22/01</t>
  </si>
  <si>
    <t>RESIDENCIAL SAN GEORGE</t>
  </si>
  <si>
    <t>642885-95</t>
  </si>
  <si>
    <t>7948ce13-9b75-4554-9203-5cdc4414d366</t>
  </si>
  <si>
    <t>662264-03</t>
  </si>
  <si>
    <t>COLINA IMPERIAL_SPAZIO PETRÓPOLIS</t>
  </si>
  <si>
    <t>610373-37</t>
  </si>
  <si>
    <t>97f540e9-0eaf-4ef3-ae04-6b4ab9597fcb</t>
  </si>
  <si>
    <t>645871-09</t>
  </si>
  <si>
    <t>653346-96</t>
  </si>
  <si>
    <t>RESIDENCIAL PALMA</t>
  </si>
  <si>
    <t>642712-00</t>
  </si>
  <si>
    <t>19/05/2026 - Reavaliação solicitada devido a alterações de áreas</t>
  </si>
  <si>
    <t>662909-92</t>
  </si>
  <si>
    <t>MIRANTE DO MAR</t>
  </si>
  <si>
    <t>642342-28</t>
  </si>
  <si>
    <t>643790-70</t>
  </si>
  <si>
    <t>SENSIA BOTÂNICO</t>
  </si>
  <si>
    <t>642121-57</t>
  </si>
  <si>
    <t>bac28427-1101-4ffb-b5c2-0c11ae7e6374</t>
  </si>
  <si>
    <t>VALE DO SERENO_RESIDENCIAL CAMPOS DOURADOS</t>
  </si>
  <si>
    <t>642876-84</t>
  </si>
  <si>
    <t>d04391f7-afc6-4b87-a00d-76aef023c767</t>
  </si>
  <si>
    <t>652481-25</t>
  </si>
  <si>
    <t>RESIDENCIAL PORTO SEVILHA</t>
  </si>
  <si>
    <t>544624-55</t>
  </si>
  <si>
    <t>4a63f1f4-e2bb-4c99-a28a-098356923093</t>
  </si>
  <si>
    <t>651816-41</t>
  </si>
  <si>
    <t>654477-05</t>
  </si>
  <si>
    <t>CHAPADA ATALAIA</t>
  </si>
  <si>
    <t>642872-46</t>
  </si>
  <si>
    <t>6aee9b88-fd1e-49a7-8fd5-68f495a5453e</t>
  </si>
  <si>
    <t>645572-82</t>
  </si>
  <si>
    <t>647489-00</t>
  </si>
  <si>
    <t>VISTA DA LAGOA</t>
  </si>
  <si>
    <t>642643-66</t>
  </si>
  <si>
    <t>RESIDENCIAL FLORES DA ALVORADA</t>
  </si>
  <si>
    <t>643067-14</t>
  </si>
  <si>
    <t>6f30ab78-bea3-4a30-a52a-7a4bed779af4</t>
  </si>
  <si>
    <t>647197-76</t>
  </si>
  <si>
    <t>MARBELLE RESIDENCE</t>
  </si>
  <si>
    <t>643057-90</t>
  </si>
  <si>
    <t>02033ef7-d375-4b7a-bd1e-ca8ef23cd284</t>
  </si>
  <si>
    <t>649203-96</t>
  </si>
  <si>
    <t>VILA DOS LAGOS</t>
  </si>
  <si>
    <t>643104-64</t>
  </si>
  <si>
    <t>1bf1ac6e-38d5-46eb-acc5-223f6224f5f5</t>
  </si>
  <si>
    <t>647498-11</t>
  </si>
  <si>
    <t>648736-19</t>
  </si>
  <si>
    <t>MIRANTE DA LAGOA</t>
  </si>
  <si>
    <t>643040-94</t>
  </si>
  <si>
    <t>fd09ba64-3b95-4cdf-9556-4ab5b524b734</t>
  </si>
  <si>
    <t>RESIDENCIAL PIAZZA DI VIENA</t>
  </si>
  <si>
    <t>642679-98</t>
  </si>
  <si>
    <t>b982881c-e0bd-4ade-bc64-e840a76ea0e6</t>
  </si>
  <si>
    <t>RESIDENCIAL BELLIS</t>
  </si>
  <si>
    <t>643130-83</t>
  </si>
  <si>
    <t>ARCOS DO PLANALTO</t>
  </si>
  <si>
    <t>643217-25</t>
  </si>
  <si>
    <t>b0781825-c717-43cc-9dc9-d58340e21993</t>
  </si>
  <si>
    <t>647493-61</t>
  </si>
  <si>
    <t>GRAN VILLAGE</t>
  </si>
  <si>
    <t>643220-72</t>
  </si>
  <si>
    <t>646472-92</t>
  </si>
  <si>
    <t>GRAN PRIMAVERA</t>
  </si>
  <si>
    <t>643308-28</t>
  </si>
  <si>
    <t>4fa43cd2-546b-45c1-8743-0943c42500ea</t>
  </si>
  <si>
    <t>657440-36</t>
  </si>
  <si>
    <t>RESERVA DI MEDEIROS</t>
  </si>
  <si>
    <t>643041-07</t>
  </si>
  <si>
    <t>662717b1-c78e-4c18-9ad9-a432eb3a792c</t>
  </si>
  <si>
    <t>VILA_SERRANA</t>
  </si>
  <si>
    <t>643277-58</t>
  </si>
  <si>
    <t>7fd8ad68-f8d7-40c3-a593-c7c66bf7bc34</t>
  </si>
  <si>
    <t>645976-65</t>
  </si>
  <si>
    <t>648503-03</t>
  </si>
  <si>
    <t>PALMEIRA SOLARE</t>
  </si>
  <si>
    <t>643502-83</t>
  </si>
  <si>
    <t>62630a5a-747a-4f7c-9d53-e424df34fa81</t>
  </si>
  <si>
    <t>647939-44</t>
  </si>
  <si>
    <t>SENSIA GRAN BOSQUE</t>
  </si>
  <si>
    <t>643356-17</t>
  </si>
  <si>
    <t>50caa0fa-928f-46cd-a650-979552893bed</t>
  </si>
  <si>
    <t>SAINT VIRGINIA</t>
  </si>
  <si>
    <t>643039-66</t>
  </si>
  <si>
    <t>67930c25-5860-4de6-8fee-01d2759d8e7a</t>
  </si>
  <si>
    <t>663304-00</t>
  </si>
  <si>
    <t>PORTO COLÔNIA</t>
  </si>
  <si>
    <t>643527-74</t>
  </si>
  <si>
    <t>SENSIA FIUSA VIEW</t>
  </si>
  <si>
    <t>643648-31</t>
  </si>
  <si>
    <t>RECANTO DO LIMOEIRO</t>
  </si>
  <si>
    <t>643135-33</t>
  </si>
  <si>
    <t>4f9544bf-287f-4fe7-b527-17c1f9e6a9ca</t>
  </si>
  <si>
    <t>663934-20</t>
  </si>
  <si>
    <t>PARQUE MIRANTE DO CASTELO</t>
  </si>
  <si>
    <t>643691-70</t>
  </si>
  <si>
    <t>ac755d48-0935-424a-836b-f3a916a968ba</t>
  </si>
  <si>
    <t>RESIDENCIAL TURMALINA</t>
  </si>
  <si>
    <t>643750-90</t>
  </si>
  <si>
    <t>2da56b4f-8931-45bb-bec3-ff68168a3066</t>
  </si>
  <si>
    <t>646501-45</t>
  </si>
  <si>
    <t>CAMPO DO CERRADO</t>
  </si>
  <si>
    <t>643530-29</t>
  </si>
  <si>
    <t>da5aa940-8cd7-45ae-9ea0-0f401d980193</t>
  </si>
  <si>
    <t>RESIDENCIAL FORTITUDINE</t>
  </si>
  <si>
    <t>631097-25</t>
  </si>
  <si>
    <t>TOP LIFE LOS CABOS</t>
  </si>
  <si>
    <t>643827-05</t>
  </si>
  <si>
    <t>0662fd2d-154d-4c13-87e4-b8e7c9815ee8</t>
  </si>
  <si>
    <t>658106-04</t>
  </si>
  <si>
    <t>RESIDENCIAL MONET</t>
  </si>
  <si>
    <t>643742-81</t>
  </si>
  <si>
    <t>1809401b-d6ca-4a9e-ab70-572845587b3d</t>
  </si>
  <si>
    <t>VILLE DE LISBOA</t>
  </si>
  <si>
    <t>643.878-26</t>
  </si>
  <si>
    <t>8e1b66c3-239a-4e98-9492-7959258539ac</t>
  </si>
  <si>
    <t>PARQUE DAS ESMERALDAS</t>
  </si>
  <si>
    <t>643955-69</t>
  </si>
  <si>
    <t>RESIDENCIAL DUNAS DE ABRANTES</t>
  </si>
  <si>
    <t>644152-78</t>
  </si>
  <si>
    <t>RESIDENCIAL TRILHAS DA MATA</t>
  </si>
  <si>
    <t>644081-14</t>
  </si>
  <si>
    <t>CASTELO DE ORLEANS</t>
  </si>
  <si>
    <t>644372-35</t>
  </si>
  <si>
    <t>4a958819-4a13-4525-acd8-7512d3f1c003</t>
  </si>
  <si>
    <t>652396-88</t>
  </si>
  <si>
    <t>654391-77</t>
  </si>
  <si>
    <t>TORRES DOS TOPÁZIOS</t>
  </si>
  <si>
    <t xml:space="preserve">644163-06 </t>
  </si>
  <si>
    <t>6da23d62-4475-4838-875b-3794daceee49</t>
  </si>
  <si>
    <t>658221-07</t>
  </si>
  <si>
    <t>RESIDENCIAL LINZ</t>
  </si>
  <si>
    <t>644351-82</t>
  </si>
  <si>
    <t>d8868c77-4df4-408c-86aa-87220e0b84c8</t>
  </si>
  <si>
    <t>RESIDENCIAL CIDADE DAS DUNAS</t>
  </si>
  <si>
    <t>644373-49</t>
  </si>
  <si>
    <t>eb883ac8-afe3-4931-8d14-47623d1e0749</t>
  </si>
  <si>
    <t>646639-98</t>
  </si>
  <si>
    <t>VERT</t>
  </si>
  <si>
    <t>644375-69</t>
  </si>
  <si>
    <t>71e20630-1e74-4efa-a713-c3da3ce4ce3d</t>
  </si>
  <si>
    <t>649162-09</t>
  </si>
  <si>
    <t>VISTAPARK CAMPO GRANDE</t>
  </si>
  <si>
    <t>644374-54</t>
  </si>
  <si>
    <t>VISTA DAS LARANJEIRAS</t>
  </si>
  <si>
    <t>636678-62</t>
  </si>
  <si>
    <t>PORTO ESSENZA</t>
  </si>
  <si>
    <t>644532-63</t>
  </si>
  <si>
    <t>6d73dae9-f011-4d4a-bba5-6106a0ed2cee</t>
  </si>
  <si>
    <t>646902-96</t>
  </si>
  <si>
    <t>RESIDENCIAL RITMOS DE PILARES</t>
  </si>
  <si>
    <t>644287-98</t>
  </si>
  <si>
    <t>b399e19d-9806-4147-9441-2e25c3500b1b</t>
  </si>
  <si>
    <t>RESIDENCIAL PORTO ALCÂNTARA</t>
  </si>
  <si>
    <t>541878-62</t>
  </si>
  <si>
    <t>2c198e04-f449-41c5-b58f-addbda5f436f</t>
  </si>
  <si>
    <t>657837-27</t>
  </si>
  <si>
    <t>RESIDENCIAL AMARANTO</t>
  </si>
  <si>
    <t>644975-23</t>
  </si>
  <si>
    <t>24fbb701-8d79-469b-8118-740660e1d081</t>
  </si>
  <si>
    <t>543678-84</t>
  </si>
  <si>
    <t>RESIDENCIAL CAMINHO DOS JERIVÁS</t>
  </si>
  <si>
    <t>644769-26</t>
  </si>
  <si>
    <t>4def62a8-a135-46dc-bdfa-1f4d86976827</t>
  </si>
  <si>
    <t>BRISA DA SERRA</t>
  </si>
  <si>
    <t>609095-47</t>
  </si>
  <si>
    <t>Demanda de reavaliação não foi aberta pela equipe CI - Relacionamento.</t>
  </si>
  <si>
    <t>MATA DAS BORBOLETAS</t>
  </si>
  <si>
    <t>644727-16</t>
  </si>
  <si>
    <t>bd330a45-5dd3-4920-94b4-c80a01b77ace</t>
  </si>
  <si>
    <t>PARQUE DOS MONARCAS</t>
  </si>
  <si>
    <t>610368-64</t>
  </si>
  <si>
    <t>SOROCABA</t>
  </si>
  <si>
    <t>RESIDENCIAL SOLAR DOS EUCALIPTOS</t>
  </si>
  <si>
    <t xml:space="preserve"> 644964-94</t>
  </si>
  <si>
    <t>ce938d57-d7b2-44d8-aa7f-d492b6815cfa</t>
  </si>
  <si>
    <t>PARQUE MARISTA</t>
  </si>
  <si>
    <t>644937-50</t>
  </si>
  <si>
    <t>16fb5cbd-998e-4a68-810c-8d36b3cb768d</t>
  </si>
  <si>
    <t>BRISA RIVIERA</t>
  </si>
  <si>
    <t>644914-87</t>
  </si>
  <si>
    <t>RESIDENCIAL MIRANTE DO ALVORADA</t>
  </si>
  <si>
    <t>644991-26</t>
  </si>
  <si>
    <t>7041f7be-0e4d-4fb9-a87e-f0859d0f6768</t>
  </si>
  <si>
    <t>SENSIA SWISS GARDEN</t>
  </si>
  <si>
    <t>644065-11</t>
  </si>
  <si>
    <t>VEM VIVER ARES</t>
  </si>
  <si>
    <t>645024-41</t>
  </si>
  <si>
    <t>RESIDENCIAL MALDIVAS</t>
  </si>
  <si>
    <t>645136-90</t>
  </si>
  <si>
    <t>demanda aberta pela equipe do PJ conforme e-mail 06/05</t>
  </si>
  <si>
    <t>663562-33</t>
  </si>
  <si>
    <t>RESIDENCIAL PARANÃ</t>
  </si>
  <si>
    <t>645312-30</t>
  </si>
  <si>
    <t>VISTA DOS ROUXINÓIS</t>
  </si>
  <si>
    <t>645222-41</t>
  </si>
  <si>
    <t>TERRAZO IMPERIALLE</t>
  </si>
  <si>
    <t>645400-01</t>
  </si>
  <si>
    <t>RESIDENCIAL FLOR DO SERTÃO</t>
  </si>
  <si>
    <t>645386-24</t>
  </si>
  <si>
    <t>783f1fca-7c86-4c48-a635-d7c268c91fe6</t>
  </si>
  <si>
    <t>RESIDENCIAL VIVENZA</t>
  </si>
  <si>
    <t>644919-37</t>
  </si>
  <si>
    <t>15b82c20-70c8-4a0a-9afd-ea161e8c1b0c</t>
  </si>
  <si>
    <t>VISTA DOURADA</t>
  </si>
  <si>
    <t>645404-47</t>
  </si>
  <si>
    <t>10bc1109-a5ee-478b-9d38-1c6c81c8bd09</t>
  </si>
  <si>
    <t>657307-11</t>
  </si>
  <si>
    <t>CASTELLO DI MATHISA</t>
  </si>
  <si>
    <t>645573-96</t>
  </si>
  <si>
    <t>22eb5ae8-f7cd-4dbd-9471-f050c3a5bc2f</t>
  </si>
  <si>
    <t>648502-90</t>
  </si>
  <si>
    <t>648954-61</t>
  </si>
  <si>
    <t>TORRES DO JARDIM</t>
  </si>
  <si>
    <t>645438-49</t>
  </si>
  <si>
    <t>902c5c70-26f0-4b8b-a234-3bd6d79ea643</t>
  </si>
  <si>
    <t>649137-84</t>
  </si>
  <si>
    <t>RESERVAS DAS CEREJEIRAS</t>
  </si>
  <si>
    <t>645574-09</t>
  </si>
  <si>
    <t>GIARDINO FLORENÇA</t>
  </si>
  <si>
    <t>645603-53</t>
  </si>
  <si>
    <t>ca9fae99-56fb-4c5f-923f-d02b8ea3a817</t>
  </si>
  <si>
    <t>651933-63</t>
  </si>
  <si>
    <t>657402-75</t>
  </si>
  <si>
    <t>PREMIER RESIDENCE</t>
  </si>
  <si>
    <t>645714-96</t>
  </si>
  <si>
    <t>44b22e76-d89f-49ec-a2a5-5cb5b0bd29ef</t>
  </si>
  <si>
    <t>657404-93</t>
  </si>
  <si>
    <t>RESIDENCIAL JARDIM CATARINA</t>
  </si>
  <si>
    <t>645888-94</t>
  </si>
  <si>
    <t>GRAN VISTA ITAQUERA</t>
  </si>
  <si>
    <t>645054-18</t>
  </si>
  <si>
    <t>38a14f4c-cc83-4dd3-95eb-0971b677ddd9</t>
  </si>
  <si>
    <t>MERIT</t>
  </si>
  <si>
    <t>645885-62</t>
  </si>
  <si>
    <t>022f08ce-b48a-4ced-abe8-7fe892c60b20</t>
  </si>
  <si>
    <t>647940-73</t>
  </si>
  <si>
    <t>PARQUE ILHABELA</t>
  </si>
  <si>
    <t>645932-35</t>
  </si>
  <si>
    <t>ff1eab6f-bb18-4fe4-9a5d-f1986b9f2d77</t>
  </si>
  <si>
    <t>657593-81</t>
  </si>
  <si>
    <t>VILLA GARDEN</t>
  </si>
  <si>
    <t>646037-14</t>
  </si>
  <si>
    <t>RESIDENCIAL CAMINHO DAS CEREJEIRAS</t>
  </si>
  <si>
    <t>645314-59</t>
  </si>
  <si>
    <t>a406fd38-083c-49c8-ac93-33d513d255be</t>
  </si>
  <si>
    <t>SAINT GUILHERME</t>
  </si>
  <si>
    <t>644763-62</t>
  </si>
  <si>
    <t>664021-01</t>
  </si>
  <si>
    <t>VISTA DOS TAPAJÓS</t>
  </si>
  <si>
    <t>646191-96</t>
  </si>
  <si>
    <t>ÓRION</t>
  </si>
  <si>
    <t>646332-96</t>
  </si>
  <si>
    <t>PORTO MÔNACO</t>
  </si>
  <si>
    <t>646081-67</t>
  </si>
  <si>
    <t>4dbde207-9b74-44f9-befb-8ae3ff724a65</t>
  </si>
  <si>
    <t>16/04 - Demanda cancelada pela regional</t>
  </si>
  <si>
    <t>663040-12</t>
  </si>
  <si>
    <t>RESIDENCIAL SATRINE</t>
  </si>
  <si>
    <t>646110-19</t>
  </si>
  <si>
    <t>CORES DO CAMPO</t>
  </si>
  <si>
    <t>646246-43</t>
  </si>
  <si>
    <t>PORTAL DOS BURITIS</t>
  </si>
  <si>
    <t>646500-31</t>
  </si>
  <si>
    <t>VISTA DO ATLÂNTICO</t>
  </si>
  <si>
    <t>646392-27</t>
  </si>
  <si>
    <t xml:space="preserve">Aberta pelo PJ </t>
  </si>
  <si>
    <t>SENSIA JARDIM BOTÂNICO</t>
  </si>
  <si>
    <t>646242-06</t>
  </si>
  <si>
    <t>RESIDENCIAL SILVERSTONE</t>
  </si>
  <si>
    <t>625795-55</t>
  </si>
  <si>
    <t>657349-19</t>
  </si>
  <si>
    <t>RESIDENCIAL KYOTO</t>
  </si>
  <si>
    <t>620964-96</t>
  </si>
  <si>
    <t>CACHOEIRA DOS ANJOS</t>
  </si>
  <si>
    <t>646150-01</t>
  </si>
  <si>
    <t>6c0e5968-6898-4292-a0de-770be61f1a5b</t>
  </si>
  <si>
    <t>652023-76</t>
  </si>
  <si>
    <t>654308-59</t>
  </si>
  <si>
    <t>RESIDENCIAL CAMPO DE VENEZA</t>
  </si>
  <si>
    <t>646450-33</t>
  </si>
  <si>
    <t>RESIDENCIAL JARDIM DOS INCONFIDENTES</t>
  </si>
  <si>
    <t>646449-94</t>
  </si>
  <si>
    <t>Demanda de reavaliação aberto pela regional.</t>
  </si>
  <si>
    <t>VISTA DAS SERINGUEIRAS</t>
  </si>
  <si>
    <t>646684-54</t>
  </si>
  <si>
    <t>16a085b9-c8e5-4006-8d31-863941258785</t>
  </si>
  <si>
    <t>654867-27</t>
  </si>
  <si>
    <t>657380-14</t>
  </si>
  <si>
    <t>BARÃO DE BARCELOS</t>
  </si>
  <si>
    <t>646336-32</t>
  </si>
  <si>
    <t>43b3e3a3-d864-4210-a156-c33f90dc9d42</t>
  </si>
  <si>
    <t>SPAZIO BARÃO DO RIO BRANCO</t>
  </si>
  <si>
    <t>610371-19</t>
  </si>
  <si>
    <t>VISTA AURORA</t>
  </si>
  <si>
    <t>646793-79</t>
  </si>
  <si>
    <t>MATA DAS ORQUÍDEAS</t>
  </si>
  <si>
    <t>646907-46</t>
  </si>
  <si>
    <t>d8172d5e-cfb9-4fc7-826a-4b725719b4a0</t>
  </si>
  <si>
    <t>RESIDENCIAL ILHA DOS VINHAIS</t>
  </si>
  <si>
    <t>646897-29</t>
  </si>
  <si>
    <t>dd7c9318-b1a9-4114-8e9b-fa3e138fac8d</t>
  </si>
  <si>
    <t>649244-80</t>
  </si>
  <si>
    <t>TORRES DE MÔNACO</t>
  </si>
  <si>
    <t>647155-78</t>
  </si>
  <si>
    <t>RESIDENCIAL LA COLINE</t>
  </si>
  <si>
    <t>647066-93</t>
  </si>
  <si>
    <t>RESIDENCIAL ALTOS DO PIRAJÁ</t>
  </si>
  <si>
    <t>647082-96</t>
  </si>
  <si>
    <t>SOLAR DOS ALPES</t>
  </si>
  <si>
    <t>640536-29</t>
  </si>
  <si>
    <t>PRIVILEGE</t>
  </si>
  <si>
    <t>647199-94</t>
  </si>
  <si>
    <t>73fbbf46-7471-4274-9f25-e19315753425</t>
  </si>
  <si>
    <t>655119-97</t>
  </si>
  <si>
    <t>662263-90</t>
  </si>
  <si>
    <t>RESIDENCIAL POTENGI</t>
  </si>
  <si>
    <t>647528-70</t>
  </si>
  <si>
    <t>ee0193c3-5d14-4c1a-af5e-032ec44bf60c</t>
  </si>
  <si>
    <t>PARQUE RIO DANÚBIO</t>
  </si>
  <si>
    <t>647687-01</t>
  </si>
  <si>
    <t>DIR. COM E CRED RJ</t>
  </si>
  <si>
    <t>GST. COM RJ1,</t>
  </si>
  <si>
    <t>RIO DE JANEIRO</t>
  </si>
  <si>
    <t>RESIDENCIAL SOLAR DAS OLARIAS</t>
  </si>
  <si>
    <t>647537-81</t>
  </si>
  <si>
    <t>Demanda aberta pela colaboradora Vitoria Mpura</t>
  </si>
  <si>
    <t>RESIDENCIAL MATA DAS AROEIRAS</t>
  </si>
  <si>
    <t>647683-65</t>
  </si>
  <si>
    <t>7d4ab911-5874-46d7-bb2d-c1d25e4f4cfd</t>
  </si>
  <si>
    <t>SALVADOR</t>
  </si>
  <si>
    <t>VILLA PRIME RESIDENCE</t>
  </si>
  <si>
    <t>647831-58</t>
  </si>
  <si>
    <t>TORRES DA ALVORADA</t>
  </si>
  <si>
    <t>647867-80</t>
  </si>
  <si>
    <t>RESERVA DAS GARDÊNIAS</t>
  </si>
  <si>
    <t>648079-65</t>
  </si>
  <si>
    <t>RESIDENCIAL TRILHAS DOS PÁSSAROS</t>
  </si>
  <si>
    <t>647861-24</t>
  </si>
  <si>
    <t>DIR. COM E CRED SPI CP</t>
  </si>
  <si>
    <t>GST. COM CP1</t>
  </si>
  <si>
    <t>PORTAL DOS JATOBÁS</t>
  </si>
  <si>
    <t>647949-60</t>
  </si>
  <si>
    <t>60a37b7c-a9a4-45a4-bd4b-98928b08ba5e</t>
  </si>
  <si>
    <t>SPAZIO SAINT FRANCIS</t>
  </si>
  <si>
    <t>648607-55</t>
  </si>
  <si>
    <t>44458df7-bbcc-4450-91b1-b605a49b8be2</t>
  </si>
  <si>
    <t>CHAPADA JACARANDÁ</t>
  </si>
  <si>
    <t>648649-53</t>
  </si>
  <si>
    <t>979c677c-a93d-4c9e-91f9-96662817b004</t>
  </si>
  <si>
    <t>DIR. COM E CRED SP E VL</t>
  </si>
  <si>
    <t>GST. COM SP2</t>
  </si>
  <si>
    <t>SÃO PAULO</t>
  </si>
  <si>
    <t>SPAZIO SAINT MAURICE</t>
  </si>
  <si>
    <t>544226-36</t>
  </si>
  <si>
    <t>Via BIM - 29/10/2025</t>
  </si>
  <si>
    <t>CAMINHO DAS PITANGUEIRAS</t>
  </si>
  <si>
    <t>648352-88</t>
  </si>
  <si>
    <t>663047-82</t>
  </si>
  <si>
    <t>RESIDENCIAL LOS CABOS</t>
  </si>
  <si>
    <t>648237-73</t>
  </si>
  <si>
    <t>RESIDENCIAL VICENTINI</t>
  </si>
  <si>
    <t>652615-34</t>
  </si>
  <si>
    <t>CHAPADA GIARDINI</t>
  </si>
  <si>
    <t>533612-83</t>
  </si>
  <si>
    <t>863dd472-59d7-4ad5-9d9a-afc08cf282c1</t>
  </si>
  <si>
    <t>654815-93</t>
  </si>
  <si>
    <t>MIRANTE RIO NEGRO</t>
  </si>
  <si>
    <t>544473-38</t>
  </si>
  <si>
    <t>JARDIM DOS CANÁRIOS</t>
  </si>
  <si>
    <t>648906-73</t>
  </si>
  <si>
    <t>2f3e521c-611e-4290-9417-fbc4268ad403</t>
  </si>
  <si>
    <t>CHAPADA DO VALE</t>
  </si>
  <si>
    <t>649111-89</t>
  </si>
  <si>
    <t>662261-72</t>
  </si>
  <si>
    <t>GST. COM NE4 (CE)</t>
  </si>
  <si>
    <t>RESIDENCIAL TORRES DA LAGOA</t>
  </si>
  <si>
    <t>649197-15</t>
  </si>
  <si>
    <t>ALTO NORTE RESIDENCE</t>
  </si>
  <si>
    <t>649180-21</t>
  </si>
  <si>
    <t>RESIDENCIAL CAJAZEIRAS</t>
  </si>
  <si>
    <t>649245-95</t>
  </si>
  <si>
    <t>PORTO BARCELONA</t>
  </si>
  <si>
    <t>649204-09</t>
  </si>
  <si>
    <t>RESIDENCIAL MONTE DOS IPÊS</t>
  </si>
  <si>
    <t>649298-33</t>
  </si>
  <si>
    <t>FORTALEZA</t>
  </si>
  <si>
    <t>RESERVA DOS COLIBRIS</t>
  </si>
  <si>
    <t>610485-86</t>
  </si>
  <si>
    <t>RESIDENCIAL PORTO ATACAMA</t>
  </si>
  <si>
    <t>650854-90</t>
  </si>
  <si>
    <t>demanda aberta oelo pj</t>
  </si>
  <si>
    <t>RESIDENCIAL CORTESE</t>
  </si>
  <si>
    <t>650853-86</t>
  </si>
  <si>
    <t>d5c44dd7-f03b-4022-b1e0-2d28a175b333</t>
  </si>
  <si>
    <t>CAMPINAS</t>
  </si>
  <si>
    <t>RESIDENCIAL BONFIM</t>
  </si>
  <si>
    <t>650878-77</t>
  </si>
  <si>
    <t>GRAN TERRAZZO</t>
  </si>
  <si>
    <t>650876-59</t>
  </si>
  <si>
    <t>RESIDENCIAL LE MANS</t>
  </si>
  <si>
    <t>652515-20</t>
  </si>
  <si>
    <t>RESIDENCIAL SOLLARIUM</t>
  </si>
  <si>
    <t>651000-89</t>
  </si>
  <si>
    <t>DEMANDA DE CONTESTAÇÃO ABERTO PELA ELIDA.SA@MRV.COM.BR</t>
  </si>
  <si>
    <t>HELISI</t>
  </si>
  <si>
    <t>650930-15</t>
  </si>
  <si>
    <t>ESTRELA DO MAR</t>
  </si>
  <si>
    <t>650928-74</t>
  </si>
  <si>
    <t>TORRES DO PARQUE</t>
  </si>
  <si>
    <t>611507-62</t>
  </si>
  <si>
    <t>ILHA DE SAFIRA</t>
  </si>
  <si>
    <t>651030-43</t>
  </si>
  <si>
    <t>SOLAR DAS AMENDOEIRAS</t>
  </si>
  <si>
    <t>600836-15</t>
  </si>
  <si>
    <t>775e999d-10ba-4292-a9b1-29fc660dbb6a</t>
  </si>
  <si>
    <t>662419-66</t>
  </si>
  <si>
    <t>ARCOS DO IPIRANGA</t>
  </si>
  <si>
    <t>651320-51</t>
  </si>
  <si>
    <t>RESIDENCIAL LE CIEL</t>
  </si>
  <si>
    <t>651828-85</t>
  </si>
  <si>
    <t>Sreá pautado na reunião do dia 07/04/2026 - Demanda aberta pela equipe do PJ</t>
  </si>
  <si>
    <t>PALMEIRA SERENA</t>
  </si>
  <si>
    <t>651884-70</t>
  </si>
  <si>
    <t>d5962b26-4f5e-40f8-980d-b983924dfb07</t>
  </si>
  <si>
    <t>656067-97</t>
  </si>
  <si>
    <t>CASTELO DE ALGARVE</t>
  </si>
  <si>
    <t>652095-41</t>
  </si>
  <si>
    <t>VISTA DOS IPÊS</t>
  </si>
  <si>
    <t>652406-04</t>
  </si>
  <si>
    <t>03/04/2026 - Valores ratificados</t>
  </si>
  <si>
    <t>RESIDENCIAL CAMINHO DOS ALECRINS</t>
  </si>
  <si>
    <t>653820-41</t>
  </si>
  <si>
    <t>BRONZE/CRISTAL</t>
  </si>
  <si>
    <t>RESIDENCIAL MORADA REAL</t>
  </si>
  <si>
    <t>652395-74</t>
  </si>
  <si>
    <t>RESERVA DO ATLÂNTICO</t>
  </si>
  <si>
    <t>652393-55</t>
  </si>
  <si>
    <t>DIR. COM E CRED MG E ES</t>
  </si>
  <si>
    <t>GST. COM TM</t>
  </si>
  <si>
    <t>UBERLÂNDIA</t>
  </si>
  <si>
    <t>RESERVA MADRI</t>
  </si>
  <si>
    <t>639028-55</t>
  </si>
  <si>
    <t> </t>
  </si>
  <si>
    <t>UBERABA</t>
  </si>
  <si>
    <t>RESIDENCIAL RESERVA DOS PÁSSAROS</t>
  </si>
  <si>
    <t>626182-67</t>
  </si>
  <si>
    <t>b756ef8d-95b9-4eee-8481-8997f055bf93</t>
  </si>
  <si>
    <t>634506-30</t>
  </si>
  <si>
    <t>MIRANTE DO FAROL</t>
  </si>
  <si>
    <t>652557-30</t>
  </si>
  <si>
    <t>GRAN PARMA</t>
  </si>
  <si>
    <t>653672-59</t>
  </si>
  <si>
    <t>662910-29</t>
  </si>
  <si>
    <t>CASTELO DE SENNA</t>
  </si>
  <si>
    <t>644466-62</t>
  </si>
  <si>
    <t>f92b1a5a-88ff-4b41-bdf3-0e8d7234570f</t>
  </si>
  <si>
    <t>652545-86</t>
  </si>
  <si>
    <t>657730-44</t>
  </si>
  <si>
    <t>RESIDENCIAL JADE</t>
  </si>
  <si>
    <t>653516-50</t>
  </si>
  <si>
    <t>RESIDENCIAL FLORES DE MONTSERRAT</t>
  </si>
  <si>
    <t>653751-18</t>
  </si>
  <si>
    <t>RESIDENCIAL PORTO CHARDONNAY</t>
  </si>
  <si>
    <t>653901-29</t>
  </si>
  <si>
    <t>PORTO DAS TULIPAS</t>
  </si>
  <si>
    <t>638494-86</t>
  </si>
  <si>
    <t>alteração de projeto</t>
  </si>
  <si>
    <t>TORRES DO PITIMBU</t>
  </si>
  <si>
    <t>653838-49</t>
  </si>
  <si>
    <t>ab8f82b8-e3cb-4c33-896e-2de8c0e485a5</t>
  </si>
  <si>
    <t>HORIZONTE RECIFE</t>
  </si>
  <si>
    <t>654048-06</t>
  </si>
  <si>
    <t>CAMPO DAS JABUTICABEIRAS</t>
  </si>
  <si>
    <t>654488-34</t>
  </si>
  <si>
    <t>PARQUE MALTA</t>
  </si>
  <si>
    <t>653.856-74</t>
  </si>
  <si>
    <t>Demanda aberta pela Vitoria Moura</t>
  </si>
  <si>
    <t>LA VICTOIRE RESIDENCE</t>
  </si>
  <si>
    <t>652405-91</t>
  </si>
  <si>
    <t>RESIDENCIAL HORIZONTE DO PLANALTO</t>
  </si>
  <si>
    <t>654236-82</t>
  </si>
  <si>
    <t>VISTA DAS ARARAS</t>
  </si>
  <si>
    <t>654330-30</t>
  </si>
  <si>
    <t>PARQUE VILA DE SETIBA</t>
  </si>
  <si>
    <t>654224-47</t>
  </si>
  <si>
    <t>660246-30</t>
  </si>
  <si>
    <t>RESIDENCIAL PORTO DAS ANDORINHAS</t>
  </si>
  <si>
    <t>654512-37</t>
  </si>
  <si>
    <t>LIFE TERRAZZA</t>
  </si>
  <si>
    <t>654623-71</t>
  </si>
  <si>
    <t>PRIVILEGIE LAGOA NOVA</t>
  </si>
  <si>
    <t>654617-93</t>
  </si>
  <si>
    <t>AZURE</t>
  </si>
  <si>
    <t>654866-13</t>
  </si>
  <si>
    <t>SENSIA VILLAGE GALLERIA</t>
  </si>
  <si>
    <t>654669-27</t>
  </si>
  <si>
    <t>RESIDENCIAL CIDADE DO SOL</t>
  </si>
  <si>
    <t>654620-48</t>
  </si>
  <si>
    <t>RESIDENCIAL FLORATTA</t>
  </si>
  <si>
    <t>654674-92</t>
  </si>
  <si>
    <t>VISTA PARK</t>
  </si>
  <si>
    <t>654527-03</t>
  </si>
  <si>
    <t>SAN GIOVANNI</t>
  </si>
  <si>
    <t>654911-60</t>
  </si>
  <si>
    <t>GRAN SAFIRA</t>
  </si>
  <si>
    <t>656068-00</t>
  </si>
  <si>
    <t>664036-78</t>
  </si>
  <si>
    <t>RESIDENCIAL BITTENCOURT</t>
  </si>
  <si>
    <t>654.673-88</t>
  </si>
  <si>
    <t>CAMINHOS DA MANTIQUEIRA</t>
  </si>
  <si>
    <t>655758-39</t>
  </si>
  <si>
    <t>TORRES DE VERSALHES</t>
  </si>
  <si>
    <t>654586-21</t>
  </si>
  <si>
    <t>VISTA DA MATA</t>
  </si>
  <si>
    <t>655300-02</t>
  </si>
  <si>
    <t>MONTE CARLO RESIDENCE</t>
  </si>
  <si>
    <t>655968-73</t>
  </si>
  <si>
    <t>CANTO DOS PÁSSAROS</t>
  </si>
  <si>
    <t>656554-90</t>
  </si>
  <si>
    <t>APOGEU CARIOCA</t>
  </si>
  <si>
    <t>656511-76</t>
  </si>
  <si>
    <t>CHAPADA DOS INGÁS</t>
  </si>
  <si>
    <t>656857-55</t>
  </si>
  <si>
    <t>CAMPO DOS PAMPAS</t>
  </si>
  <si>
    <t>656874-62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</si>
  <si>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</si>
  <si>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RESIDENCIAL VIVA VERANO</t>
  </si>
  <si>
    <t>655636-56</t>
  </si>
  <si>
    <t>JARDIM DOS ROUXINÓIS</t>
  </si>
  <si>
    <t>656960-14</t>
  </si>
  <si>
    <t>COLINA DAS CASTANHEIRAS</t>
  </si>
  <si>
    <t>656875-77</t>
  </si>
  <si>
    <t>demanda será reaberta pela equipe do PJ, pois terá alteração nas vinculação de vagas de motos.</t>
  </si>
  <si>
    <t>JOÃO ROSA EMP 01</t>
  </si>
  <si>
    <t>657012-54</t>
  </si>
  <si>
    <t>VISTA TARUMÃ</t>
  </si>
  <si>
    <t>657109-11</t>
  </si>
  <si>
    <t>PARQUE DUNAS DA ALVORADA</t>
  </si>
  <si>
    <t>556514-83</t>
  </si>
  <si>
    <t>GRAND TEODORO</t>
  </si>
  <si>
    <t>644295-95</t>
  </si>
  <si>
    <t>Aberta via PJ - BIM</t>
  </si>
  <si>
    <t>CAMINHOS DA SERRA</t>
  </si>
  <si>
    <t>657377-69</t>
  </si>
  <si>
    <t>VALE DO SERENO_RESIDENCIAL DOS COLIBRIS</t>
  </si>
  <si>
    <t>657288-84</t>
  </si>
  <si>
    <t>RESIDENCIAL YOKOHAMA</t>
  </si>
  <si>
    <t>620969-46</t>
  </si>
  <si>
    <t>RESIDENCIAL LINDEN</t>
  </si>
  <si>
    <t>657378-73</t>
  </si>
  <si>
    <t>RESIDENCIAL RIO D'OURO</t>
  </si>
  <si>
    <t>657520-01</t>
  </si>
  <si>
    <t>LUGGO PORTO BALTAZAR</t>
  </si>
  <si>
    <t>657489-15</t>
  </si>
  <si>
    <t>GRAN PLAZA</t>
  </si>
  <si>
    <t>621825-29</t>
  </si>
  <si>
    <t>7a586cc6-6650-43cd-838f-7d52f3d9061c</t>
  </si>
  <si>
    <t>GRAN PARIS</t>
  </si>
  <si>
    <t>555740-04</t>
  </si>
  <si>
    <t>ca0f9f80-6ac6-404a-98de-37c519fb561c</t>
  </si>
  <si>
    <t>623459-35</t>
  </si>
  <si>
    <t>RESIDENCIAL VILA ÁGATA</t>
  </si>
  <si>
    <t>657379-87</t>
  </si>
  <si>
    <t>RESIDENCIAL CASTANHEIRAS</t>
  </si>
  <si>
    <t>657729-16</t>
  </si>
  <si>
    <t>LIFE SIERRA</t>
  </si>
  <si>
    <t>657938-45</t>
  </si>
  <si>
    <t>RESIDENCIAL NASCENTE DAS BORBOLETAS</t>
  </si>
  <si>
    <t>657994-30</t>
  </si>
  <si>
    <t>GRAN HILL</t>
  </si>
  <si>
    <t>658183-43</t>
  </si>
  <si>
    <t xml:space="preserve"> VILLAGE JARAGUÁ</t>
  </si>
  <si>
    <t>659603-47</t>
  </si>
  <si>
    <t>VILLA PIRAJÁ</t>
  </si>
  <si>
    <t>658377-84</t>
  </si>
  <si>
    <t>RESIDENCIAL JARDIM DO OURO</t>
  </si>
  <si>
    <t>658382-58</t>
  </si>
  <si>
    <t>RESIDENCIAL TARANTINO</t>
  </si>
  <si>
    <t>660310-24</t>
  </si>
  <si>
    <t>ÁUREA</t>
  </si>
  <si>
    <t>660335-15</t>
  </si>
  <si>
    <t>VILLE DAS BRISAS</t>
  </si>
  <si>
    <t>660433-00</t>
  </si>
  <si>
    <t>RESIDENCIAL VENTURA</t>
  </si>
  <si>
    <t>660334-00</t>
  </si>
  <si>
    <t>GRAND ITAIM</t>
  </si>
  <si>
    <t>642109-90</t>
  </si>
  <si>
    <t>VALE DA AURORA</t>
  </si>
  <si>
    <t>660236-15</t>
  </si>
  <si>
    <t>CHAPADA DAS LARANJEIRAS</t>
  </si>
  <si>
    <t>662209-22</t>
  </si>
  <si>
    <t>RESIDENCIAL SOBERANO</t>
  </si>
  <si>
    <t>RESIDENCIAL GUARANI</t>
  </si>
  <si>
    <t>661692-63</t>
  </si>
  <si>
    <t>RESIDENCIAL JARDIM DI VERONA</t>
  </si>
  <si>
    <t>662420-94</t>
  </si>
  <si>
    <t>TORRES DAS VEREDAS</t>
  </si>
  <si>
    <t>662436-74</t>
  </si>
  <si>
    <t>RESIDENCIAL COLINA DAS ARAUCÁRIAS</t>
  </si>
  <si>
    <t>662437-88</t>
  </si>
  <si>
    <t>PARQUE VISTA DA SERRA</t>
  </si>
  <si>
    <t xml:space="preserve">662482-43 </t>
  </si>
  <si>
    <t>ILHA DOS COLIBRIS</t>
  </si>
  <si>
    <t>662626-78</t>
  </si>
  <si>
    <t>FEIRA PALACE</t>
  </si>
  <si>
    <t>555703-57</t>
  </si>
  <si>
    <t>5a510dc0-6c6b-4308-91d3-9e4b9b11f9df</t>
  </si>
  <si>
    <t>603807-29</t>
  </si>
  <si>
    <t>642603-86</t>
  </si>
  <si>
    <t>RESERVA PQ DAS CACHOEIRAS_CACHOEIRA DO PARAÍSO</t>
  </si>
  <si>
    <t>662483-58</t>
  </si>
  <si>
    <t>JARDIM DOS SABIÁS</t>
  </si>
  <si>
    <t>662822-59</t>
  </si>
  <si>
    <t>MIRANTE DAS GARÇAS</t>
  </si>
  <si>
    <t>662853-39</t>
  </si>
  <si>
    <t>CHAPADA DAS ACÁCIAS</t>
  </si>
  <si>
    <t>662881-77</t>
  </si>
  <si>
    <t>CHAPADA PRIMAVERA</t>
  </si>
  <si>
    <t>662935-10</t>
  </si>
  <si>
    <t>27/08/2026 - demanda aberta devido alteração de áreas e unidades PCD</t>
  </si>
  <si>
    <t>LA MOUNTAIN</t>
  </si>
  <si>
    <t>662904-40</t>
  </si>
  <si>
    <t>SAN FLORIANO</t>
  </si>
  <si>
    <t>663092-47</t>
  </si>
  <si>
    <t>ROSANE EMP 01</t>
  </si>
  <si>
    <t>663384-73</t>
  </si>
  <si>
    <t>RESIDENCIAL ESPELHO DAS AGUAS</t>
  </si>
  <si>
    <t>663292-66</t>
  </si>
  <si>
    <t>CASTELO BELVEDERE</t>
  </si>
  <si>
    <t>663572-59</t>
  </si>
  <si>
    <t>CAMPO DOS COCAIS</t>
  </si>
  <si>
    <t>663609-85</t>
  </si>
  <si>
    <t>CORES DO LAGO</t>
  </si>
  <si>
    <t>663673-77</t>
  </si>
  <si>
    <t>RESIDENCIAL ILHA DE JADE</t>
  </si>
  <si>
    <t>663570-30</t>
  </si>
  <si>
    <t>RESIDENCIAL ARVOREDO</t>
  </si>
  <si>
    <t>663571-44</t>
  </si>
  <si>
    <t>CARAVELLE</t>
  </si>
  <si>
    <t>663.638-35</t>
  </si>
  <si>
    <t>LA RESERVE</t>
  </si>
  <si>
    <t>663779-45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</si>
</sst>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theme="1"/>
      <name val="Aptos Narrow"/>
      <family val="2"/>
    </font>
    <font>
      <sz val="9"/>
      <name val="Aptos Narrow"/>
      <family val="2"/>
    </font>
    <font>
      <b/>
      <sz val="16"/>
      <color theme="1"/>
      <name val="Aptos Narrow"/>
      <family val="2"/>
    </font>
    <font>
      <b/>
      <sz val="16"/>
      <name val="Aptos Narrow"/>
      <family val="2"/>
    </font>
    <font>
      <b/>
      <sz val="11"/>
      <color theme="0"/>
      <name val="Aptos Narrow"/>
      <family val="2"/>
    </font>
    <font>
      <sz val="11"/>
      <color theme="1"/>
      <name val="Aptos Narrow"/>
      <family val="2"/>
    </font>
    <font>
      <sz val="9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C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56413"/>
        <bgColor indexed="64"/>
      </patternFill>
    </fill>
  </fills>
  <borders count="13">
    <border>
      <left/>
      <right/>
      <top/>
      <bottom/>
      <diagonal/>
    </border>
    <border>
      <left style="thin">
        <color theme="0" tint="-0.249977111117893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indexed="64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8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8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1" fontId="5" fillId="8" borderId="7" xfId="0" applyNumberFormat="1" applyFont="1" applyFill="1" applyBorder="1" applyAlignment="1">
      <alignment horizontal="center" vertical="center"/>
    </xf>
    <xf numFmtId="14" fontId="5" fillId="8" borderId="7" xfId="0" applyNumberFormat="1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38" fontId="5" fillId="10" borderId="7" xfId="0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38" fontId="2" fillId="0" borderId="9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38" fontId="2" fillId="0" borderId="10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4" fontId="1" fillId="0" borderId="10" xfId="0" applyNumberFormat="1" applyFont="1" applyBorder="1" applyAlignment="1">
      <alignment horizontal="center" vertical="center"/>
    </xf>
    <xf numFmtId="38" fontId="1" fillId="0" borderId="10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</cellXfs>
  <cellStyles count="1">
    <cellStyle name="Normal" xfId="0" builtinId="0"/>
  </cellStyles>
  <dxfs count="25">
    <dxf>
      <fill>
        <patternFill>
          <fgColor auto="1"/>
          <bgColor rgb="FFE2EFDA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theme="8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</dxf>
    <dxf>
      <font>
        <color rgb="FFFF0000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border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ouza_ellen_mrv_com_br/Documents/CI-RELACIONAMENTO/CONTROLE_REAVALIA&#199;&#195;O/Controle%20de%20Reavalia&#231;&#227;o%20-%20Atualizada.xlsm" TargetMode="External"/><Relationship Id="rId2" Type="http://schemas.openxmlformats.org/officeDocument/2006/relationships/externalLinkPath" Target="https://mrvengenhariasa-my.sharepoint.com/personal/souza_ellen_mrv_com_br/Documents/CI-RELACIONAMENTO/CONTROLE_REAVALIA&#199;&#195;O/Controle%20de%20Reavalia&#231;&#227;o%20-%20Atualizada.xlsm" TargetMode="External"/><Relationship Id="rId1" Type="http://schemas.openxmlformats.org/officeDocument/2006/relationships/externalLinkPath" Target="/personal/souza_ellen_mrv_com_br/Documents/CI-RELACIONAMENTO/CONTROLE_REAVALIA&#199;&#195;O/Controle%20de%20Reavalia&#231;&#227;o%20-%20Atualizad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IRETORIA"/>
      <sheetName val="STATUS"/>
      <sheetName val="Tratativas"/>
      <sheetName val="EMPREENDIMENTO"/>
      <sheetName val="CONTROLE"/>
      <sheetName val="DOCUMENTAÇÃO"/>
      <sheetName val="COMPARATIVOS"/>
    </sheetNames>
    <sheetDataSet>
      <sheetData sheetId="0">
        <row r="1">
          <cell r="A1" t="str">
            <v>Diretoria</v>
          </cell>
          <cell r="B1" t="str">
            <v>Regional</v>
          </cell>
          <cell r="C1" t="str">
            <v>Cidade</v>
          </cell>
        </row>
        <row r="2">
          <cell r="A2" t="str">
            <v>DIR. COM E CRED NE</v>
          </cell>
          <cell r="B2" t="str">
            <v>GST. COM NE 3 (SE+AL)</v>
          </cell>
          <cell r="C2" t="str">
            <v>MACEIÓ</v>
          </cell>
        </row>
        <row r="3">
          <cell r="A3" t="str">
            <v>DIR. COM E CRED NE</v>
          </cell>
          <cell r="B3" t="str">
            <v>GST. COM NE1 (BA 1)</v>
          </cell>
          <cell r="C3" t="str">
            <v>FEIRA DE SANTANA</v>
          </cell>
        </row>
        <row r="4">
          <cell r="A4" t="str">
            <v>DIR. COM E CRED NE</v>
          </cell>
          <cell r="B4" t="str">
            <v>GST. COM NE1 (BA 1)</v>
          </cell>
          <cell r="C4" t="str">
            <v>VITÓRIA DA CONQUISTA</v>
          </cell>
        </row>
        <row r="5">
          <cell r="A5" t="str">
            <v>DIR. COM E CRED NE</v>
          </cell>
          <cell r="B5" t="str">
            <v>GST. COM NE1 (BA 1)</v>
          </cell>
          <cell r="C5" t="str">
            <v>CAMAÇARI</v>
          </cell>
        </row>
        <row r="6">
          <cell r="A6" t="str">
            <v>DIR. COM E CRED NE</v>
          </cell>
          <cell r="B6" t="str">
            <v>GST. COM NE1 (BA 1)</v>
          </cell>
          <cell r="C6" t="str">
            <v>LAURO DE FREITAS</v>
          </cell>
        </row>
        <row r="7">
          <cell r="A7" t="str">
            <v>DIR. COM E CRED NE</v>
          </cell>
          <cell r="B7" t="str">
            <v>GST. COM NE1 (BA 1)</v>
          </cell>
          <cell r="C7" t="str">
            <v>SALVADOR</v>
          </cell>
        </row>
        <row r="8">
          <cell r="A8" t="str">
            <v>DIR. COM E CRED NE</v>
          </cell>
          <cell r="B8" t="str">
            <v>GST. COM NE4 (CE)</v>
          </cell>
          <cell r="C8" t="str">
            <v>EUSÉBIO</v>
          </cell>
        </row>
        <row r="9">
          <cell r="A9" t="str">
            <v>DIR. COM E CRED NE</v>
          </cell>
          <cell r="B9" t="str">
            <v>GST. COM NE4 (CE)</v>
          </cell>
          <cell r="C9" t="str">
            <v>FORTALEZA</v>
          </cell>
        </row>
        <row r="10">
          <cell r="A10" t="str">
            <v>DIR. COM E CRED NE</v>
          </cell>
          <cell r="B10" t="str">
            <v>GST. COM NE4 (CE)</v>
          </cell>
          <cell r="C10" t="str">
            <v>MARACANAÚ</v>
          </cell>
        </row>
        <row r="11">
          <cell r="A11" t="str">
            <v>DIR. COM E CRED NE</v>
          </cell>
          <cell r="B11" t="str">
            <v>GST. COM NE 7 (PI+MA)</v>
          </cell>
          <cell r="C11" t="str">
            <v>SÃO LUÍS</v>
          </cell>
        </row>
        <row r="12">
          <cell r="A12" t="str">
            <v>DIR. COM E CRED NE</v>
          </cell>
          <cell r="B12" t="str">
            <v>GST. COM NE5 (RN+PB)</v>
          </cell>
          <cell r="C12" t="str">
            <v>CABEDELO</v>
          </cell>
        </row>
        <row r="13">
          <cell r="A13" t="str">
            <v>DIR. COM E CRED NE</v>
          </cell>
          <cell r="B13" t="str">
            <v>GST. COM NE5 (RN+PB)</v>
          </cell>
          <cell r="C13" t="str">
            <v>CAMPINA GRANDE</v>
          </cell>
        </row>
        <row r="14">
          <cell r="A14" t="str">
            <v>DIR. COM E CRED NE</v>
          </cell>
          <cell r="B14" t="str">
            <v>GST. COM NE5 (RN+PB)</v>
          </cell>
          <cell r="C14" t="str">
            <v>JOÃO PESSOA</v>
          </cell>
        </row>
        <row r="15">
          <cell r="A15" t="str">
            <v>DIR. COM E CRED NE</v>
          </cell>
          <cell r="B15" t="str">
            <v>GST. COM NE2 (PE)</v>
          </cell>
          <cell r="C15" t="str">
            <v>CAMARAGIBE</v>
          </cell>
        </row>
        <row r="16">
          <cell r="A16" t="str">
            <v>DIR. COM E CRED NE</v>
          </cell>
          <cell r="B16" t="str">
            <v>GST. COM NE2 (PE)</v>
          </cell>
          <cell r="C16" t="str">
            <v>CARUARU</v>
          </cell>
        </row>
        <row r="17">
          <cell r="A17" t="str">
            <v>DIR. COM E CRED NE</v>
          </cell>
          <cell r="B17" t="str">
            <v>GST. COM NE2 (PE)</v>
          </cell>
          <cell r="C17" t="str">
            <v>JABOATÃO DOS GUARARAPES</v>
          </cell>
        </row>
        <row r="18">
          <cell r="A18" t="str">
            <v>DIR. COM E CRED NE</v>
          </cell>
          <cell r="B18" t="str">
            <v>GST. COM NE2 (PE)</v>
          </cell>
          <cell r="C18" t="str">
            <v>RECIFE</v>
          </cell>
        </row>
        <row r="19">
          <cell r="A19" t="str">
            <v>DIR. COM E CRED NE</v>
          </cell>
          <cell r="B19" t="str">
            <v>GST. COM NE2 (PE)</v>
          </cell>
          <cell r="C19" t="str">
            <v>PAULISTA</v>
          </cell>
        </row>
        <row r="20">
          <cell r="A20" t="str">
            <v>DIR. COM E CRED NE</v>
          </cell>
          <cell r="B20" t="str">
            <v>GST. COM NE 7 (PI+MA)</v>
          </cell>
          <cell r="C20" t="str">
            <v>TERESINA</v>
          </cell>
        </row>
        <row r="21">
          <cell r="A21" t="str">
            <v>DIR. COM E CRED NE</v>
          </cell>
          <cell r="B21" t="str">
            <v>GST. COM NE5 (RN+PB)</v>
          </cell>
          <cell r="C21" t="str">
            <v>NATAL</v>
          </cell>
        </row>
        <row r="22">
          <cell r="A22" t="str">
            <v>DIR. COM E CRED NE</v>
          </cell>
          <cell r="B22" t="str">
            <v>GST. COM NE5 (RN+PB)</v>
          </cell>
          <cell r="C22" t="str">
            <v>PARNAMIRIM</v>
          </cell>
        </row>
        <row r="23">
          <cell r="A23" t="str">
            <v>DIR. COM E CRED NE</v>
          </cell>
          <cell r="B23" t="str">
            <v>GST. COM NE 3 (SE+AL)</v>
          </cell>
          <cell r="C23" t="str">
            <v>ARACAJU</v>
          </cell>
        </row>
        <row r="24">
          <cell r="A24" t="str">
            <v>DIR. COM E CRED NE</v>
          </cell>
          <cell r="B24" t="str">
            <v>GST. COM NE 3 (SE+AL)</v>
          </cell>
          <cell r="C24" t="str">
            <v>BARRA DOS COQUEIROS</v>
          </cell>
        </row>
        <row r="25">
          <cell r="A25" t="str">
            <v>DIR. COM E CRED NE</v>
          </cell>
          <cell r="B25" t="str">
            <v>GST. COM NE 7 (PI+MA)</v>
          </cell>
          <cell r="C25" t="str">
            <v>SÃO JOSÉ DE RIBAMAR</v>
          </cell>
        </row>
        <row r="26">
          <cell r="A26" t="str">
            <v>DIR. COM E CRED NE</v>
          </cell>
          <cell r="B26" t="str">
            <v>GST. COM NE2 (PE)</v>
          </cell>
          <cell r="C26" t="str">
            <v>OLINDA</v>
          </cell>
        </row>
        <row r="27">
          <cell r="A27" t="str">
            <v>DIR. COM E CRED SUL</v>
          </cell>
          <cell r="B27" t="str">
            <v>GST. COM SC</v>
          </cell>
          <cell r="C27" t="str">
            <v>BLUMENAU</v>
          </cell>
        </row>
        <row r="28">
          <cell r="A28" t="str">
            <v>DIR. COM E CRED SUL</v>
          </cell>
          <cell r="B28" t="str">
            <v>GST. COM SC</v>
          </cell>
          <cell r="C28" t="str">
            <v>FLORIANÓPOLIS</v>
          </cell>
        </row>
        <row r="29">
          <cell r="A29" t="str">
            <v>DIR. COM E CRED SUL</v>
          </cell>
          <cell r="B29" t="str">
            <v>GST. COM SC</v>
          </cell>
          <cell r="C29" t="str">
            <v>JOINVILLE</v>
          </cell>
        </row>
        <row r="30">
          <cell r="A30" t="str">
            <v>DIR. COM E CRED SUL</v>
          </cell>
          <cell r="B30" t="str">
            <v>GST. COM SC</v>
          </cell>
          <cell r="C30" t="str">
            <v>PALHOÇA</v>
          </cell>
        </row>
        <row r="31">
          <cell r="A31" t="str">
            <v>DIR. COM E CRED SUL</v>
          </cell>
          <cell r="B31" t="str">
            <v>GST. COM SC</v>
          </cell>
          <cell r="C31" t="str">
            <v>SÃO JOSÉ</v>
          </cell>
        </row>
        <row r="32">
          <cell r="A32" t="str">
            <v>DIR. COM E CRED SUL</v>
          </cell>
          <cell r="B32" t="str">
            <v>GST. COM SC</v>
          </cell>
          <cell r="C32" t="str">
            <v>JARAGUÁ DO SUL</v>
          </cell>
        </row>
        <row r="33">
          <cell r="A33" t="str">
            <v>DIR. COM E CRED SUL</v>
          </cell>
          <cell r="B33" t="str">
            <v>GST. COM SC</v>
          </cell>
          <cell r="C33" t="str">
            <v>BIGUAÇU</v>
          </cell>
        </row>
        <row r="34">
          <cell r="A34" t="str">
            <v>DIR. COM E CRED SUL</v>
          </cell>
          <cell r="B34" t="str">
            <v>GST. COM RS SUL</v>
          </cell>
          <cell r="C34" t="str">
            <v>PORTO ALEGRE</v>
          </cell>
        </row>
        <row r="35">
          <cell r="A35" t="str">
            <v>DIR. COM E CRED SUL</v>
          </cell>
          <cell r="B35" t="str">
            <v>GST. COM RS SUL</v>
          </cell>
          <cell r="C35" t="str">
            <v>VIAMÃO</v>
          </cell>
        </row>
        <row r="36">
          <cell r="A36" t="str">
            <v>DIR. COM E CRED SUL</v>
          </cell>
          <cell r="B36" t="str">
            <v>GST. COM RS SUL</v>
          </cell>
          <cell r="C36" t="str">
            <v>ALVORADA</v>
          </cell>
        </row>
        <row r="37">
          <cell r="A37" t="str">
            <v>DIR. COM E CRED SUL</v>
          </cell>
          <cell r="B37" t="str">
            <v>GST. COM RS NORTE</v>
          </cell>
          <cell r="C37" t="str">
            <v>ESTEIO</v>
          </cell>
        </row>
        <row r="38">
          <cell r="A38" t="str">
            <v>DIR. COM E CRED SUL</v>
          </cell>
          <cell r="B38" t="str">
            <v>GST. COM RS NORTE</v>
          </cell>
          <cell r="C38" t="str">
            <v>CACHOEIRINHA</v>
          </cell>
        </row>
        <row r="39">
          <cell r="A39" t="str">
            <v>DIR. COM E CRED SUL</v>
          </cell>
          <cell r="B39" t="str">
            <v>GST. COM RS NORTE</v>
          </cell>
          <cell r="C39" t="str">
            <v>CAXIAS DO SUL</v>
          </cell>
        </row>
        <row r="40">
          <cell r="A40" t="str">
            <v>DIR. COM E CRED SUL</v>
          </cell>
          <cell r="B40" t="str">
            <v>GST. COM RS NORTE</v>
          </cell>
          <cell r="C40" t="str">
            <v>NOVO HAMBURGO</v>
          </cell>
        </row>
        <row r="41">
          <cell r="A41" t="str">
            <v>DIR. COM E CRED SUL</v>
          </cell>
          <cell r="B41" t="str">
            <v>GST. COM RS NORTE</v>
          </cell>
          <cell r="C41" t="str">
            <v>SÃO LEOPOLDO</v>
          </cell>
        </row>
        <row r="42">
          <cell r="A42" t="str">
            <v>DIR. COM E CRED SUL</v>
          </cell>
          <cell r="B42" t="str">
            <v>GST. COM RS NORTE</v>
          </cell>
          <cell r="C42" t="str">
            <v>SAPUCAIA DO SUL</v>
          </cell>
        </row>
        <row r="43">
          <cell r="A43" t="str">
            <v>DIR. COM E CRED SUL</v>
          </cell>
          <cell r="B43" t="str">
            <v>GST. COM RS NORTE</v>
          </cell>
          <cell r="C43" t="str">
            <v>ESTÂNCIA VELHA</v>
          </cell>
        </row>
        <row r="44">
          <cell r="A44" t="str">
            <v>DIR. COM E CRED SUL</v>
          </cell>
          <cell r="B44" t="str">
            <v>GST. COM RS NORTE</v>
          </cell>
          <cell r="C44" t="str">
            <v>CANOAS</v>
          </cell>
        </row>
        <row r="45">
          <cell r="A45" t="str">
            <v>DIR. COM E CRED SUL</v>
          </cell>
          <cell r="B45" t="str">
            <v>GST. COM RS NORTE</v>
          </cell>
          <cell r="C45" t="str">
            <v>GRAVATAÍ</v>
          </cell>
        </row>
        <row r="46">
          <cell r="A46" t="str">
            <v>DIR. COM E CRED SUL</v>
          </cell>
          <cell r="B46" t="str">
            <v>GST. COM LONDRINA</v>
          </cell>
          <cell r="C46" t="str">
            <v>ARAPONGAS</v>
          </cell>
        </row>
        <row r="47">
          <cell r="A47" t="str">
            <v>DIR. COM E CRED SUL</v>
          </cell>
          <cell r="B47" t="str">
            <v>GST. COM LONDRINA</v>
          </cell>
          <cell r="C47" t="str">
            <v>LONDRINA</v>
          </cell>
        </row>
        <row r="48">
          <cell r="A48" t="str">
            <v>DIR. COM E CRED SUL</v>
          </cell>
          <cell r="B48" t="str">
            <v>GST. COM LONDRINA</v>
          </cell>
          <cell r="C48" t="str">
            <v>CAMBÉ</v>
          </cell>
        </row>
        <row r="49">
          <cell r="A49" t="str">
            <v>DIR. COM E CRED SUL</v>
          </cell>
          <cell r="B49" t="str">
            <v>GST. COM LONDRINA</v>
          </cell>
          <cell r="C49" t="str">
            <v>MARINGÁ</v>
          </cell>
        </row>
        <row r="50">
          <cell r="A50" t="str">
            <v>DIR. COM E CRED SUL</v>
          </cell>
          <cell r="B50" t="str">
            <v>GST. COM LONDRINA</v>
          </cell>
          <cell r="C50" t="str">
            <v>IBIPORÃ</v>
          </cell>
        </row>
        <row r="51">
          <cell r="A51" t="str">
            <v>DIR. COM E CRED SUL</v>
          </cell>
          <cell r="B51" t="str">
            <v>GST. COM CURITIBA</v>
          </cell>
          <cell r="C51" t="str">
            <v>CURITIBA</v>
          </cell>
        </row>
        <row r="52">
          <cell r="A52" t="str">
            <v>DIR. COM E CRED SUL</v>
          </cell>
          <cell r="B52" t="str">
            <v>GST. COM CURITIBA</v>
          </cell>
          <cell r="C52" t="str">
            <v>PONTA GROSSA</v>
          </cell>
        </row>
        <row r="53">
          <cell r="A53" t="str">
            <v>DIR. COM E CRED SUL</v>
          </cell>
          <cell r="B53" t="str">
            <v>GST. COM CURITIBA</v>
          </cell>
          <cell r="C53" t="str">
            <v>SÃO JOSÉ DOS PINHAIS</v>
          </cell>
        </row>
        <row r="54">
          <cell r="A54" t="str">
            <v>DIR. COM E CRED SUL</v>
          </cell>
          <cell r="B54" t="str">
            <v>GST. COM CURITIBA</v>
          </cell>
          <cell r="C54" t="str">
            <v>ARAUCÁRIA</v>
          </cell>
        </row>
        <row r="55">
          <cell r="A55" t="str">
            <v>DIR. COM E CRED SUL</v>
          </cell>
          <cell r="B55" t="str">
            <v>GST. COM CURITIBA</v>
          </cell>
          <cell r="C55" t="str">
            <v>COLOMBO</v>
          </cell>
        </row>
        <row r="56">
          <cell r="A56" t="str">
            <v>DIR. COM E CRED SUL</v>
          </cell>
          <cell r="B56" t="str">
            <v>GST. COM LONDRINA</v>
          </cell>
          <cell r="C56" t="str">
            <v>SARANDI</v>
          </cell>
        </row>
        <row r="57">
          <cell r="A57" t="str">
            <v>DIR. COM E CRED SUL</v>
          </cell>
          <cell r="B57" t="str">
            <v>GST. COM CURITIBA</v>
          </cell>
          <cell r="C57" t="str">
            <v>ALMIRANTE TAMANDARÉ</v>
          </cell>
        </row>
        <row r="58">
          <cell r="A58" t="str">
            <v>DIR. COM E CRED SUL</v>
          </cell>
          <cell r="B58" t="str">
            <v>GST. COM LONDRINA</v>
          </cell>
          <cell r="C58" t="str">
            <v>MARIALVA</v>
          </cell>
        </row>
        <row r="59">
          <cell r="A59" t="str">
            <v>DIR. COM E CRED CO E AM</v>
          </cell>
          <cell r="B59" t="str">
            <v>GST. COM TO</v>
          </cell>
          <cell r="C59" t="str">
            <v>PALMAS</v>
          </cell>
        </row>
        <row r="60">
          <cell r="A60" t="str">
            <v>DIR. COM E CRED CO E AM</v>
          </cell>
          <cell r="B60" t="str">
            <v>GST. COM MT</v>
          </cell>
          <cell r="C60" t="str">
            <v>CUIABÁ</v>
          </cell>
        </row>
        <row r="61">
          <cell r="A61" t="str">
            <v>DIR. COM E CRED CO E AM</v>
          </cell>
          <cell r="B61" t="str">
            <v>GST. COM MT</v>
          </cell>
          <cell r="C61" t="str">
            <v>VÁRZEA GRANDE</v>
          </cell>
        </row>
        <row r="62">
          <cell r="A62" t="str">
            <v>DIR. COM E CRED CO E AM</v>
          </cell>
          <cell r="B62" t="str">
            <v>GST. COM MS</v>
          </cell>
          <cell r="C62" t="str">
            <v>CAMPO GRANDE</v>
          </cell>
        </row>
        <row r="63">
          <cell r="A63" t="str">
            <v>DIR. COM E CRED CO E AM</v>
          </cell>
          <cell r="B63" t="str">
            <v>GST. COM AM</v>
          </cell>
          <cell r="C63" t="str">
            <v>MANAUS</v>
          </cell>
        </row>
        <row r="64">
          <cell r="A64" t="str">
            <v>DIR. COM E CRED CO E AM</v>
          </cell>
          <cell r="B64" t="str">
            <v>GST. COM DF</v>
          </cell>
          <cell r="C64" t="str">
            <v>BRASÍLIA</v>
          </cell>
        </row>
        <row r="65">
          <cell r="A65" t="str">
            <v>DIR. COM E CRED CO E AM</v>
          </cell>
          <cell r="B65" t="str">
            <v>GST. COM DF</v>
          </cell>
          <cell r="C65" t="str">
            <v>TAGUATINGA</v>
          </cell>
        </row>
        <row r="66">
          <cell r="A66" t="str">
            <v>DIR. COM E CRED CO E AM</v>
          </cell>
          <cell r="B66" t="str">
            <v>GST. COM DF</v>
          </cell>
          <cell r="C66" t="str">
            <v>CEILÂNDIA</v>
          </cell>
        </row>
        <row r="67">
          <cell r="A67" t="str">
            <v>DIR. COM E CRED CO E AM</v>
          </cell>
          <cell r="B67" t="str">
            <v>GST. COM DF</v>
          </cell>
          <cell r="C67" t="str">
            <v>VALPARAÍSO DE GOIÁS</v>
          </cell>
        </row>
        <row r="68">
          <cell r="A68" t="str">
            <v>DIR. COM E CRED CO E AM</v>
          </cell>
          <cell r="B68" t="str">
            <v>GST. COM DF</v>
          </cell>
          <cell r="C68" t="str">
            <v>GAMA</v>
          </cell>
        </row>
        <row r="69">
          <cell r="A69" t="str">
            <v>DIR. COM E CRED CO E AM</v>
          </cell>
          <cell r="B69" t="str">
            <v>GST. COM DF</v>
          </cell>
          <cell r="C69" t="str">
            <v>SAMAMBAIA</v>
          </cell>
        </row>
        <row r="70">
          <cell r="A70" t="str">
            <v>DIR. COM E CRED CO E AM</v>
          </cell>
          <cell r="B70" t="str">
            <v>GST. COM GO</v>
          </cell>
          <cell r="C70" t="str">
            <v>APARECIDA DE GOIÂNIA</v>
          </cell>
        </row>
        <row r="71">
          <cell r="A71" t="str">
            <v>DIR. COM E CRED CO E AM</v>
          </cell>
          <cell r="B71" t="str">
            <v>GST. COM GO</v>
          </cell>
          <cell r="C71" t="str">
            <v>ANÁPOLIS</v>
          </cell>
        </row>
        <row r="72">
          <cell r="A72" t="str">
            <v>DIR. COM E CRED CO E AM</v>
          </cell>
          <cell r="B72" t="str">
            <v>GST. COM GO</v>
          </cell>
          <cell r="C72" t="str">
            <v>GOIÂNIA</v>
          </cell>
        </row>
        <row r="73">
          <cell r="A73" t="str">
            <v>DIR. COM E CRED SPI</v>
          </cell>
          <cell r="B73" t="str">
            <v>GST. COM OP 1</v>
          </cell>
          <cell r="C73" t="str">
            <v>BARRETOS</v>
          </cell>
        </row>
        <row r="74">
          <cell r="A74" t="str">
            <v>DIR. COM E CRED SPI</v>
          </cell>
          <cell r="B74" t="str">
            <v>GST. COM OP 1</v>
          </cell>
          <cell r="C74" t="str">
            <v>CATANDUVA</v>
          </cell>
        </row>
        <row r="75">
          <cell r="A75" t="str">
            <v>DIR. COM E CRED SPI</v>
          </cell>
          <cell r="B75" t="str">
            <v>GST. COM OP 1</v>
          </cell>
          <cell r="C75" t="str">
            <v>SÃO JOSÉ DO RIO PRETO</v>
          </cell>
        </row>
        <row r="76">
          <cell r="A76" t="str">
            <v>DIR. COM E CRED SPI</v>
          </cell>
          <cell r="B76" t="str">
            <v>GST. COM OP 1</v>
          </cell>
          <cell r="C76" t="str">
            <v>MIRASSOL</v>
          </cell>
        </row>
        <row r="77">
          <cell r="A77" t="str">
            <v>DIR. COM E CRED SPI</v>
          </cell>
          <cell r="B77" t="str">
            <v>GST. COM RP 2</v>
          </cell>
          <cell r="C77" t="str">
            <v>ARARAQUARA</v>
          </cell>
        </row>
        <row r="78">
          <cell r="A78" t="str">
            <v>DIR. COM E CRED SPI</v>
          </cell>
          <cell r="B78" t="str">
            <v>GST. COM RP 2</v>
          </cell>
          <cell r="C78" t="str">
            <v>SÃO CARLOS</v>
          </cell>
        </row>
        <row r="79">
          <cell r="A79" t="str">
            <v>DIR. COM E CRED SPI</v>
          </cell>
          <cell r="B79" t="str">
            <v>GST. COM OP 1</v>
          </cell>
          <cell r="C79" t="str">
            <v>ARAÇATUBA</v>
          </cell>
        </row>
        <row r="80">
          <cell r="A80" t="str">
            <v>DIR. COM E CRED SPI</v>
          </cell>
          <cell r="B80" t="str">
            <v>GST. COM OP 1</v>
          </cell>
          <cell r="C80" t="str">
            <v>BIRIGÜI</v>
          </cell>
        </row>
        <row r="81">
          <cell r="A81" t="str">
            <v>DIR. COM E CRED SPI</v>
          </cell>
          <cell r="B81" t="str">
            <v>GST. COM OP 2</v>
          </cell>
          <cell r="C81" t="str">
            <v>BAURU</v>
          </cell>
        </row>
        <row r="82">
          <cell r="A82" t="str">
            <v>DIR. COM E CRED SPI</v>
          </cell>
          <cell r="B82" t="str">
            <v>GST. COM RP 2</v>
          </cell>
          <cell r="C82" t="str">
            <v>BOTUCATU</v>
          </cell>
        </row>
        <row r="83">
          <cell r="A83" t="str">
            <v>DIR. COM E CRED SPI</v>
          </cell>
          <cell r="B83" t="str">
            <v>GST. COM OP 2</v>
          </cell>
          <cell r="C83" t="str">
            <v>MARÍLIA</v>
          </cell>
        </row>
        <row r="84">
          <cell r="A84" t="str">
            <v>DIR. COM E CRED SPI</v>
          </cell>
          <cell r="B84" t="str">
            <v>GST. COM OP 2</v>
          </cell>
          <cell r="C84" t="str">
            <v>PRESIDENTE PRUDENTE</v>
          </cell>
        </row>
        <row r="85">
          <cell r="A85" t="str">
            <v>DIR. COM E CRED SPI</v>
          </cell>
          <cell r="B85" t="str">
            <v>GST. COM OP 2</v>
          </cell>
          <cell r="C85" t="str">
            <v>OURINHOS</v>
          </cell>
        </row>
        <row r="86">
          <cell r="A86" t="str">
            <v>DIR. COM E CRED SPI</v>
          </cell>
          <cell r="B86" t="str">
            <v>GST. COM OP 2</v>
          </cell>
          <cell r="C86" t="str">
            <v>PIRATININGA</v>
          </cell>
        </row>
        <row r="87">
          <cell r="A87" t="str">
            <v>DIR. COM E CRED SPI</v>
          </cell>
          <cell r="B87" t="str">
            <v>GST. COM RP 1</v>
          </cell>
          <cell r="C87" t="str">
            <v>FRANCA</v>
          </cell>
        </row>
        <row r="88">
          <cell r="A88" t="str">
            <v>DIR. COM E CRED SPI</v>
          </cell>
          <cell r="B88" t="str">
            <v>GST. COM RP 1</v>
          </cell>
          <cell r="C88" t="str">
            <v>RIBEIRÃO PRETO</v>
          </cell>
        </row>
        <row r="89">
          <cell r="A89" t="str">
            <v>DIR. COM E CRED SPI</v>
          </cell>
          <cell r="B89" t="str">
            <v>GST. COM RP 1</v>
          </cell>
          <cell r="C89" t="str">
            <v>SERTÃOZINHO</v>
          </cell>
        </row>
        <row r="90">
          <cell r="A90" t="str">
            <v>DIR. COM E CRED SPI</v>
          </cell>
          <cell r="B90" t="str">
            <v>GST. COM OP 2</v>
          </cell>
          <cell r="C90" t="str">
            <v>ÁLVARES MACHADO</v>
          </cell>
        </row>
        <row r="91">
          <cell r="A91" t="str">
            <v>DIR. COM E CRED SPI CP</v>
          </cell>
          <cell r="B91" t="str">
            <v>GST. COM CP3</v>
          </cell>
          <cell r="C91" t="str">
            <v>ARARAS</v>
          </cell>
        </row>
        <row r="92">
          <cell r="A92" t="str">
            <v>DIR. COM E CRED SPI CP</v>
          </cell>
          <cell r="B92" t="str">
            <v>GST. COM CP3</v>
          </cell>
          <cell r="C92" t="str">
            <v>LIMEIRA</v>
          </cell>
        </row>
        <row r="93">
          <cell r="A93" t="str">
            <v>DIR. COM E CRED SPI CP</v>
          </cell>
          <cell r="B93" t="str">
            <v>GST. COM CP3</v>
          </cell>
          <cell r="C93" t="str">
            <v>MOGI GUAÇU</v>
          </cell>
        </row>
        <row r="94">
          <cell r="A94" t="str">
            <v>DIR. COM E CRED SPI CP</v>
          </cell>
          <cell r="B94" t="str">
            <v>GST. COM CP3</v>
          </cell>
          <cell r="C94" t="str">
            <v>PIRACICABA</v>
          </cell>
        </row>
        <row r="95">
          <cell r="A95" t="str">
            <v>DIR. COM E CRED SPI CP</v>
          </cell>
          <cell r="B95" t="str">
            <v>GST. COM CP3</v>
          </cell>
          <cell r="C95" t="str">
            <v>RIO CLARO</v>
          </cell>
        </row>
        <row r="96">
          <cell r="A96" t="str">
            <v>DIR. COM E CRED SPI CP</v>
          </cell>
          <cell r="B96" t="str">
            <v>GST. COM CP3</v>
          </cell>
          <cell r="C96" t="str">
            <v>MOGI MIRIM</v>
          </cell>
        </row>
        <row r="97">
          <cell r="A97" t="str">
            <v>DIR. COM E CRED SPI CP</v>
          </cell>
          <cell r="B97" t="str">
            <v>GST. COM CP3</v>
          </cell>
          <cell r="C97" t="str">
            <v>AMERICANA</v>
          </cell>
        </row>
        <row r="98">
          <cell r="A98" t="str">
            <v>DIR. COM E CRED SPI CP</v>
          </cell>
          <cell r="B98" t="str">
            <v>GST. COM CP3</v>
          </cell>
          <cell r="C98" t="str">
            <v>SANTA BÁRBARA D'OESTE</v>
          </cell>
        </row>
        <row r="99">
          <cell r="A99" t="str">
            <v>DIR. COM E CRED SPI CP</v>
          </cell>
          <cell r="B99" t="str">
            <v>GST. COM CP2</v>
          </cell>
          <cell r="C99" t="str">
            <v>INDAIATUBA</v>
          </cell>
        </row>
        <row r="100">
          <cell r="A100" t="str">
            <v>DIR. COM E CRED SPI CP</v>
          </cell>
          <cell r="B100" t="str">
            <v>GST. COM CP2</v>
          </cell>
          <cell r="C100" t="str">
            <v>SALTO</v>
          </cell>
        </row>
        <row r="101">
          <cell r="A101" t="str">
            <v>DIR. COM E CRED SPI CP</v>
          </cell>
          <cell r="B101" t="str">
            <v>GST. COM CP2</v>
          </cell>
          <cell r="C101" t="str">
            <v>SOROCABA</v>
          </cell>
        </row>
        <row r="102">
          <cell r="A102" t="str">
            <v>DIR. COM E CRED SPI CP</v>
          </cell>
          <cell r="B102" t="str">
            <v>GST. COM CP2</v>
          </cell>
          <cell r="C102" t="str">
            <v>VOTORANTIM</v>
          </cell>
        </row>
        <row r="103">
          <cell r="A103" t="str">
            <v>DIR. COM E CRED SPI CP</v>
          </cell>
          <cell r="B103" t="str">
            <v>GST. COM CP2</v>
          </cell>
          <cell r="C103" t="str">
            <v>CAMPO LIMPO PAULISTA</v>
          </cell>
        </row>
        <row r="104">
          <cell r="A104" t="str">
            <v>DIR. COM E CRED SPI CP</v>
          </cell>
          <cell r="B104" t="str">
            <v>GST. COM CP2</v>
          </cell>
          <cell r="C104" t="str">
            <v>ITÚ</v>
          </cell>
        </row>
        <row r="105">
          <cell r="A105" t="str">
            <v>DIR. COM E CRED SPI CP</v>
          </cell>
          <cell r="B105" t="str">
            <v>GST. COM CP2</v>
          </cell>
          <cell r="C105" t="str">
            <v>TATUÍ</v>
          </cell>
        </row>
        <row r="106">
          <cell r="A106" t="str">
            <v>DIR. COM E CRED SPI CP</v>
          </cell>
          <cell r="B106" t="str">
            <v>GST. COM CP2</v>
          </cell>
          <cell r="C106" t="str">
            <v>JUNDIAÍ</v>
          </cell>
        </row>
        <row r="107">
          <cell r="A107" t="str">
            <v>DIR. COM E CRED SPI CP</v>
          </cell>
          <cell r="B107" t="str">
            <v>GST. COM CP1</v>
          </cell>
          <cell r="C107" t="str">
            <v>CAMPINAS</v>
          </cell>
        </row>
        <row r="108">
          <cell r="A108" t="str">
            <v>DIR. COM E CRED SPI CP</v>
          </cell>
          <cell r="B108" t="str">
            <v>GST. COM CP1</v>
          </cell>
          <cell r="C108" t="str">
            <v>HORTOLÂNDIA</v>
          </cell>
        </row>
        <row r="109">
          <cell r="A109" t="str">
            <v>DIR. COM E CRED SPI CP</v>
          </cell>
          <cell r="B109" t="str">
            <v>GST. COM CP1</v>
          </cell>
          <cell r="C109" t="str">
            <v>PAULÍNIA</v>
          </cell>
        </row>
        <row r="110">
          <cell r="A110" t="str">
            <v>DIR. COM E CRED SPI CP</v>
          </cell>
          <cell r="B110" t="str">
            <v>GST. COM CP1</v>
          </cell>
          <cell r="C110" t="str">
            <v>SUMARÉ</v>
          </cell>
        </row>
        <row r="111">
          <cell r="A111" t="str">
            <v>DIR. COM E CRED SPI CP</v>
          </cell>
          <cell r="B111" t="str">
            <v>GST. COM CP1</v>
          </cell>
          <cell r="C111" t="str">
            <v xml:space="preserve">MONTE MOR </v>
          </cell>
        </row>
        <row r="112">
          <cell r="A112" t="str">
            <v>DIR. COM E CRED SPI CP</v>
          </cell>
          <cell r="B112" t="str">
            <v>GST. COM CP1</v>
          </cell>
          <cell r="C112" t="str">
            <v>NOVA ODESSA</v>
          </cell>
        </row>
        <row r="113">
          <cell r="A113" t="str">
            <v>DIR. COM E CRED RJ</v>
          </cell>
          <cell r="B113" t="str">
            <v>GST. COM SF</v>
          </cell>
          <cell r="C113" t="str">
            <v>JUIZ DE FORA</v>
          </cell>
        </row>
        <row r="114">
          <cell r="A114" t="str">
            <v>DIR. COM E CRED RJ</v>
          </cell>
          <cell r="B114" t="str">
            <v>GST. COM SF</v>
          </cell>
          <cell r="C114" t="str">
            <v>RESENDE</v>
          </cell>
        </row>
        <row r="115">
          <cell r="A115" t="str">
            <v>DIR. COM E CRED RJ</v>
          </cell>
          <cell r="B115" t="str">
            <v>GST. COM SF</v>
          </cell>
          <cell r="C115" t="str">
            <v>VOLTA REDONDA</v>
          </cell>
        </row>
        <row r="116">
          <cell r="A116" t="str">
            <v>DIR. COM E CRED RJ</v>
          </cell>
          <cell r="B116" t="str">
            <v>GST. COM RJ1</v>
          </cell>
          <cell r="C116" t="str">
            <v>ITAGUAÍ</v>
          </cell>
        </row>
        <row r="117">
          <cell r="A117" t="str">
            <v>DIR. COM E CRED RJ</v>
          </cell>
          <cell r="B117" t="str">
            <v>GST. COM RJ2</v>
          </cell>
          <cell r="C117" t="str">
            <v>ITABORAÍ</v>
          </cell>
        </row>
        <row r="118">
          <cell r="A118" t="str">
            <v>DIR. COM E CRED RJ</v>
          </cell>
          <cell r="B118" t="str">
            <v>GST. COM RJ2</v>
          </cell>
          <cell r="C118" t="str">
            <v>SÃO GONÇALO</v>
          </cell>
        </row>
        <row r="119">
          <cell r="A119" t="str">
            <v>DIR. COM E CRED RJ</v>
          </cell>
          <cell r="B119" t="str">
            <v>GST. COM RJ2</v>
          </cell>
          <cell r="C119" t="str">
            <v>NITERÓI</v>
          </cell>
        </row>
        <row r="120">
          <cell r="A120" t="str">
            <v>DIR. COM E CRED RJ</v>
          </cell>
          <cell r="B120" t="str">
            <v>GST. COM RJ2</v>
          </cell>
          <cell r="C120" t="str">
            <v>DUQUE DE CAXIAS</v>
          </cell>
        </row>
        <row r="121">
          <cell r="A121" t="str">
            <v>DIR. COM E CRED RJ</v>
          </cell>
          <cell r="B121" t="str">
            <v>GST. COM RJ2</v>
          </cell>
          <cell r="C121" t="str">
            <v>NOVA IGUAÇU</v>
          </cell>
        </row>
        <row r="122">
          <cell r="A122" t="str">
            <v>DIR. COM E CRED RJ</v>
          </cell>
          <cell r="B122" t="str">
            <v>GST. COM RJ1</v>
          </cell>
          <cell r="C122" t="str">
            <v>RIO DE JANEIRO</v>
          </cell>
        </row>
        <row r="123">
          <cell r="A123" t="str">
            <v>DIR. COM E CRED RJ</v>
          </cell>
          <cell r="B123" t="str">
            <v>GST. COM RJ1</v>
          </cell>
          <cell r="C123" t="str">
            <v>BELFORD ROXO</v>
          </cell>
        </row>
        <row r="124">
          <cell r="A124" t="str">
            <v>DIR. COM E CRED RJ</v>
          </cell>
          <cell r="B124" t="str">
            <v>GST. COM NF</v>
          </cell>
          <cell r="C124" t="str">
            <v>CAMPOS DOS GOYTACAZES</v>
          </cell>
        </row>
        <row r="125">
          <cell r="A125" t="str">
            <v>DIR. COM E CRED RJ</v>
          </cell>
          <cell r="B125" t="str">
            <v>GST. COM NF</v>
          </cell>
          <cell r="C125" t="str">
            <v>MACAÉ</v>
          </cell>
        </row>
        <row r="126">
          <cell r="A126" t="str">
            <v>DIR. COM E CRED RJ</v>
          </cell>
          <cell r="B126" t="str">
            <v>GST. COM NF</v>
          </cell>
          <cell r="C126" t="str">
            <v>RIO DAS OSTRAS</v>
          </cell>
        </row>
        <row r="127">
          <cell r="A127" t="str">
            <v>DIR. COM E CRED SP E VL</v>
          </cell>
          <cell r="B127" t="str">
            <v>GST. COM SP2</v>
          </cell>
          <cell r="C127" t="str">
            <v>SÃO PAULO</v>
          </cell>
        </row>
        <row r="128">
          <cell r="A128" t="str">
            <v>DIR. COM E CRED RJ</v>
          </cell>
          <cell r="B128" t="str">
            <v>GST. COM RJ2</v>
          </cell>
          <cell r="C128" t="str">
            <v>RIO DE JANEIRO</v>
          </cell>
        </row>
        <row r="129">
          <cell r="A129" t="str">
            <v>DIR. COM E CRED SP E VL</v>
          </cell>
          <cell r="B129" t="str">
            <v>GST. COM VL2</v>
          </cell>
          <cell r="C129" t="str">
            <v>GUARULHOS</v>
          </cell>
        </row>
        <row r="130">
          <cell r="A130" t="str">
            <v>DIR. COM E CRED SP E VL</v>
          </cell>
          <cell r="B130" t="str">
            <v>GST. COM VL2</v>
          </cell>
          <cell r="C130" t="str">
            <v>ITAQUAQUECETUBA</v>
          </cell>
        </row>
        <row r="131">
          <cell r="A131" t="str">
            <v>DIR. COM E CRED SP E VL</v>
          </cell>
          <cell r="B131" t="str">
            <v>GST. COM VL2</v>
          </cell>
          <cell r="C131" t="str">
            <v>MOGI DAS CRUZES</v>
          </cell>
        </row>
        <row r="132">
          <cell r="A132" t="str">
            <v>DIR. COM E CRED SP E VL</v>
          </cell>
          <cell r="B132" t="str">
            <v>GST. COM VL2</v>
          </cell>
          <cell r="C132" t="str">
            <v>SUZANO</v>
          </cell>
        </row>
        <row r="133">
          <cell r="A133" t="str">
            <v>DIR. COM E CRED SP E VL</v>
          </cell>
          <cell r="B133" t="str">
            <v>GST. COM VL2</v>
          </cell>
          <cell r="C133" t="str">
            <v>POÁ</v>
          </cell>
        </row>
        <row r="134">
          <cell r="A134" t="str">
            <v>DIR. COM E CRED SP E VL</v>
          </cell>
          <cell r="B134" t="str">
            <v>GST. COM VL1</v>
          </cell>
          <cell r="C134" t="str">
            <v>GUARÁ</v>
          </cell>
        </row>
        <row r="135">
          <cell r="A135" t="str">
            <v>DIR. COM E CRED SP E VL</v>
          </cell>
          <cell r="B135" t="str">
            <v>GST. COM VL1</v>
          </cell>
          <cell r="C135" t="str">
            <v>JACAREÍ</v>
          </cell>
        </row>
        <row r="136">
          <cell r="A136" t="str">
            <v>DIR. COM E CRED SP E VL</v>
          </cell>
          <cell r="B136" t="str">
            <v>GST. COM VL1</v>
          </cell>
          <cell r="C136" t="str">
            <v>PINDAMONHANGABA</v>
          </cell>
        </row>
        <row r="137">
          <cell r="A137" t="str">
            <v>DIR. COM E CRED SP E VL</v>
          </cell>
          <cell r="B137" t="str">
            <v>GST. COM VL1</v>
          </cell>
          <cell r="C137" t="str">
            <v>SÃO JOSÉ DOS CAMPOS</v>
          </cell>
        </row>
        <row r="138">
          <cell r="A138" t="str">
            <v>DIR. COM E CRED SP E VL</v>
          </cell>
          <cell r="B138" t="str">
            <v>GST. COM VL1</v>
          </cell>
          <cell r="C138" t="str">
            <v>TAUBATÉ</v>
          </cell>
        </row>
        <row r="139">
          <cell r="A139" t="str">
            <v>DIR. COM E CRED SP E VL</v>
          </cell>
          <cell r="B139" t="str">
            <v>GST. COM VL1</v>
          </cell>
          <cell r="C139" t="str">
            <v>APARECIDA</v>
          </cell>
        </row>
        <row r="140">
          <cell r="A140" t="str">
            <v>DIR. COM E CRED SP E VL</v>
          </cell>
          <cell r="B140" t="str">
            <v>GST. COM SP2</v>
          </cell>
          <cell r="C140" t="str">
            <v>COTIA</v>
          </cell>
        </row>
        <row r="141">
          <cell r="A141" t="str">
            <v>DIR. COM E CRED SP E VL</v>
          </cell>
          <cell r="B141" t="str">
            <v>GST. COM SP2</v>
          </cell>
          <cell r="C141" t="str">
            <v>SANTANA DE PARNAÍBA</v>
          </cell>
        </row>
        <row r="142">
          <cell r="A142" t="str">
            <v>DIR. COM E CRED SP E VL</v>
          </cell>
          <cell r="B142" t="str">
            <v>GST. COM SP2</v>
          </cell>
          <cell r="C142" t="str">
            <v>OSASCO</v>
          </cell>
        </row>
        <row r="143">
          <cell r="A143" t="str">
            <v>DIR. COM E CRED SP E VL</v>
          </cell>
          <cell r="B143" t="str">
            <v>GST. COM SP2</v>
          </cell>
          <cell r="C143" t="str">
            <v>CAJAMAR</v>
          </cell>
        </row>
        <row r="144">
          <cell r="A144" t="str">
            <v>DIR. COM E CRED SP E VL</v>
          </cell>
          <cell r="B144" t="str">
            <v>GST. COM SP2</v>
          </cell>
          <cell r="C144" t="str">
            <v>TABOÃO DA SERRA</v>
          </cell>
        </row>
        <row r="145">
          <cell r="A145" t="str">
            <v>DIR. COM E CRED SP E VL</v>
          </cell>
          <cell r="B145" t="str">
            <v>GST. COM SP2</v>
          </cell>
          <cell r="C145" t="str">
            <v>JANDIRA</v>
          </cell>
        </row>
        <row r="146">
          <cell r="A146" t="str">
            <v>DIR. COM E CRED SP E VL</v>
          </cell>
          <cell r="B146" t="str">
            <v>GST. COM SP2</v>
          </cell>
          <cell r="C146" t="str">
            <v>VARGEM GRANDE PAULISTA</v>
          </cell>
        </row>
        <row r="147">
          <cell r="A147" t="str">
            <v>DIR. COM E CRED SP E VL</v>
          </cell>
          <cell r="B147" t="str">
            <v>GST. COM SP1</v>
          </cell>
          <cell r="C147" t="str">
            <v>MAUÁ</v>
          </cell>
        </row>
        <row r="148">
          <cell r="A148" t="str">
            <v>DIR. COM E CRED SP E VL</v>
          </cell>
          <cell r="B148" t="str">
            <v>GST. COM SP1</v>
          </cell>
          <cell r="C148" t="str">
            <v>SANTO ANDRÉ</v>
          </cell>
        </row>
        <row r="149">
          <cell r="A149" t="str">
            <v>DIR. COM E CRED SP E VL</v>
          </cell>
          <cell r="B149" t="str">
            <v>GST. COM SP1</v>
          </cell>
          <cell r="C149" t="str">
            <v>SÃO BERNARDO DO CAMPO</v>
          </cell>
        </row>
        <row r="150">
          <cell r="A150" t="str">
            <v>DIR. COM E CRED SP E VL</v>
          </cell>
          <cell r="B150" t="str">
            <v>GST. COM SP1</v>
          </cell>
          <cell r="C150" t="str">
            <v>FERRAZ DE VASCONCELOS</v>
          </cell>
        </row>
        <row r="151">
          <cell r="A151" t="str">
            <v>DIR. COM E CRED SP E VL</v>
          </cell>
          <cell r="B151" t="str">
            <v>GST. COM SP1</v>
          </cell>
          <cell r="C151" t="str">
            <v>DIADEMA</v>
          </cell>
        </row>
        <row r="152">
          <cell r="A152" t="str">
            <v>DIR. COM E CRED SP E VL</v>
          </cell>
          <cell r="B152" t="str">
            <v>GST. COM SP1</v>
          </cell>
          <cell r="C152" t="str">
            <v>DIADEMA</v>
          </cell>
        </row>
        <row r="153">
          <cell r="A153" t="str">
            <v>DIR. COM E CRED SP E VL</v>
          </cell>
          <cell r="B153" t="str">
            <v>GST. COM SP1</v>
          </cell>
          <cell r="C153" t="str">
            <v>SÃO BERNARDO</v>
          </cell>
        </row>
        <row r="154">
          <cell r="A154" t="str">
            <v>DIR. COM E CRED MG E ES</v>
          </cell>
          <cell r="B154" t="str">
            <v>GST. COM TM</v>
          </cell>
          <cell r="C154" t="str">
            <v>UBERABA</v>
          </cell>
        </row>
        <row r="155">
          <cell r="A155" t="str">
            <v>DIR. COM E CRED MG E ES</v>
          </cell>
          <cell r="B155" t="str">
            <v>GST. COM TM</v>
          </cell>
          <cell r="C155" t="str">
            <v>UBERLÂNDIA</v>
          </cell>
        </row>
        <row r="156">
          <cell r="A156" t="str">
            <v>DIR. COM E CRED MG E ES</v>
          </cell>
          <cell r="B156" t="str">
            <v>GST. COM BH E INT</v>
          </cell>
          <cell r="C156" t="str">
            <v>MONTES CLAROS</v>
          </cell>
        </row>
        <row r="157">
          <cell r="A157" t="str">
            <v>DIR. COM E CRED MG E ES</v>
          </cell>
          <cell r="B157" t="str">
            <v>GST. COM BH E INT</v>
          </cell>
          <cell r="C157" t="str">
            <v>SETE LAGOAS</v>
          </cell>
        </row>
        <row r="158">
          <cell r="A158" t="str">
            <v>DIR. COM E CRED MG E ES</v>
          </cell>
          <cell r="B158" t="str">
            <v>GST. COM BH E INT</v>
          </cell>
          <cell r="C158" t="str">
            <v>GOVERNADOR VALADARES</v>
          </cell>
        </row>
        <row r="159">
          <cell r="A159" t="str">
            <v>DIR. COM E CRED MG E ES</v>
          </cell>
          <cell r="B159" t="str">
            <v>GST. COM BH E INT</v>
          </cell>
          <cell r="C159" t="str">
            <v>LAGOA SANTA</v>
          </cell>
        </row>
        <row r="160">
          <cell r="A160" t="str">
            <v>DIR. COM E CRED MG E ES</v>
          </cell>
          <cell r="B160" t="str">
            <v>GST. COM BH E INT</v>
          </cell>
          <cell r="C160" t="str">
            <v>SANTA LUZIA</v>
          </cell>
        </row>
        <row r="161">
          <cell r="A161" t="str">
            <v>DIR. COM E CRED MG E ES</v>
          </cell>
          <cell r="B161" t="str">
            <v>GST. COM BH E INT</v>
          </cell>
          <cell r="C161" t="str">
            <v>BELO HORIZONTE</v>
          </cell>
        </row>
        <row r="162">
          <cell r="A162" t="str">
            <v>DIR. COM E CRED MG E ES</v>
          </cell>
          <cell r="B162" t="str">
            <v>GST. COM BH E INT</v>
          </cell>
          <cell r="C162" t="str">
            <v>BETIM</v>
          </cell>
        </row>
        <row r="163">
          <cell r="A163" t="str">
            <v>DIR. COM E CRED MG E ES</v>
          </cell>
          <cell r="B163" t="str">
            <v>GST. COM BH E INT</v>
          </cell>
          <cell r="C163" t="str">
            <v>NOVA LIMA</v>
          </cell>
        </row>
        <row r="164">
          <cell r="A164" t="str">
            <v>DIR. COM E CRED MG E ES</v>
          </cell>
          <cell r="B164" t="str">
            <v>GST. COM BH E INT</v>
          </cell>
          <cell r="C164" t="str">
            <v>CONTAGEM</v>
          </cell>
        </row>
        <row r="165">
          <cell r="A165" t="str">
            <v>DIR. COM E CRED MG E ES</v>
          </cell>
          <cell r="B165" t="str">
            <v>GST. COM BH E INT</v>
          </cell>
          <cell r="C165" t="str">
            <v>VESPASIANO</v>
          </cell>
        </row>
        <row r="166">
          <cell r="A166" t="str">
            <v>DIR. COM E CRED MG E ES</v>
          </cell>
          <cell r="B166" t="str">
            <v>GST. COM BH E INT</v>
          </cell>
          <cell r="C166" t="str">
            <v>RIBEIRÃO DAS NEVES</v>
          </cell>
        </row>
        <row r="167">
          <cell r="A167" t="str">
            <v>DIR. COM E CRED MG E ES</v>
          </cell>
          <cell r="B167" t="str">
            <v>GST. COM ES</v>
          </cell>
          <cell r="C167" t="str">
            <v>CARIACICA</v>
          </cell>
        </row>
        <row r="168">
          <cell r="A168" t="str">
            <v>DIR. COM E CRED MG E ES</v>
          </cell>
          <cell r="B168" t="str">
            <v>GST. COM ES</v>
          </cell>
          <cell r="C168" t="str">
            <v>SERRA</v>
          </cell>
        </row>
        <row r="169">
          <cell r="A169" t="str">
            <v>DIR. COM E CRED MG E ES</v>
          </cell>
          <cell r="B169" t="str">
            <v>GST. COM ES</v>
          </cell>
          <cell r="C169" t="str">
            <v>VIANA</v>
          </cell>
        </row>
        <row r="170">
          <cell r="A170" t="str">
            <v>DIR. COM E CRED MG E ES</v>
          </cell>
          <cell r="B170" t="str">
            <v>GST. COM ES</v>
          </cell>
          <cell r="C170" t="str">
            <v>VILA VELHA</v>
          </cell>
        </row>
        <row r="171">
          <cell r="A171" t="str">
            <v>DIR. COM E CRED MG E ES</v>
          </cell>
          <cell r="B171" t="str">
            <v>GST. COM ES</v>
          </cell>
          <cell r="C171" t="str">
            <v>VITÓRIA</v>
          </cell>
        </row>
        <row r="172">
          <cell r="A172" t="str">
            <v>DIR. COM E CRED SP E VL</v>
          </cell>
          <cell r="B172" t="str">
            <v>GST. COM SP2</v>
          </cell>
          <cell r="C172" t="str">
            <v>TREMEMBÉ</v>
          </cell>
        </row>
        <row r="173">
          <cell r="A173" t="str">
            <v>DIR. COM E CRED NE</v>
          </cell>
          <cell r="B173" t="str">
            <v>GST. COM NE4 (CE)</v>
          </cell>
          <cell r="C173" t="str">
            <v>CAUCAIA</v>
          </cell>
        </row>
      </sheetData>
      <sheetData sheetId="1"/>
      <sheetData sheetId="2"/>
      <sheetData sheetId="3">
        <row r="1">
          <cell r="A1" t="str">
            <v>Cidade</v>
          </cell>
          <cell r="C1" t="str">
            <v>Empreendimento</v>
          </cell>
          <cell r="D1" t="str">
            <v>ID Empreendimento</v>
          </cell>
          <cell r="E1" t="str">
            <v>Und Tot</v>
          </cell>
        </row>
        <row r="2">
          <cell r="A2" t="str">
            <v>VILA VELHA</v>
          </cell>
          <cell r="C2" t="str">
            <v>SPAZIO VILA DAS CONCHAS</v>
          </cell>
          <cell r="D2" t="str">
            <v>CC1214CC-13B3-E611-ABB6-80C16E075108</v>
          </cell>
          <cell r="E2">
            <v>264</v>
          </cell>
        </row>
        <row r="3">
          <cell r="A3" t="str">
            <v>RIBEIRÃO PRETO</v>
          </cell>
          <cell r="C3" t="str">
            <v>RESIDENCIAL PALÁDIO</v>
          </cell>
          <cell r="D3" t="str">
            <v>1A1600F6-48B3-E611-B1E9-009C02B0CB58</v>
          </cell>
          <cell r="E3">
            <v>344</v>
          </cell>
        </row>
        <row r="4">
          <cell r="A4" t="str">
            <v>DUQUE DE CAXIAS</v>
          </cell>
          <cell r="C4" t="str">
            <v>RESIDENCIAL DALÍ</v>
          </cell>
          <cell r="D4" t="str">
            <v>27DC5A12-0244-E811-A00D-009C02B0CB58</v>
          </cell>
          <cell r="E4">
            <v>480</v>
          </cell>
        </row>
        <row r="5">
          <cell r="A5" t="str">
            <v>SÃO JOSÉ</v>
          </cell>
          <cell r="C5" t="str">
            <v>RESERVA ESTÂNCIA DAS FLORES_FLORES DO VALE</v>
          </cell>
          <cell r="D5" t="str">
            <v>6529B8BA-64B3-E611-B1E9-009C02B0CB58</v>
          </cell>
          <cell r="E5">
            <v>496</v>
          </cell>
        </row>
        <row r="6">
          <cell r="A6" t="str">
            <v>SÃO JOSÉ</v>
          </cell>
          <cell r="C6" t="str">
            <v>RESIDENCIAL FLORES DO OUTONO</v>
          </cell>
          <cell r="D6" t="str">
            <v>5A6F8425-50B7-E811-9B22-80C16E075108</v>
          </cell>
          <cell r="E6">
            <v>500</v>
          </cell>
        </row>
        <row r="7">
          <cell r="A7" t="str">
            <v>CAXIAS DO SUL</v>
          </cell>
          <cell r="C7" t="str">
            <v>RESIDENCIAL PORTO DOS ALPES</v>
          </cell>
          <cell r="D7" t="str">
            <v>2DD8DD80-7B03-E911-B773-80C16E075108</v>
          </cell>
          <cell r="E7">
            <v>240</v>
          </cell>
        </row>
        <row r="8">
          <cell r="A8" t="str">
            <v>FORTALEZA</v>
          </cell>
          <cell r="C8" t="str">
            <v>FONTANA DI PAVIA</v>
          </cell>
          <cell r="D8" t="str">
            <v>95A9F4EA-9727-E811-9E99-009C02B0CB58</v>
          </cell>
          <cell r="E8">
            <v>288</v>
          </cell>
        </row>
        <row r="9">
          <cell r="A9" t="str">
            <v>APARECIDA DE GOIÂNIA</v>
          </cell>
          <cell r="C9" t="str">
            <v>GRAN TURQUESA</v>
          </cell>
          <cell r="D9" t="str">
            <v>04B6403D-CC2E-E911-B503-009C02B0CB58</v>
          </cell>
          <cell r="E9">
            <v>272</v>
          </cell>
        </row>
        <row r="10">
          <cell r="A10" t="str">
            <v>APARECIDA DE GOIÂNIA</v>
          </cell>
          <cell r="C10" t="str">
            <v>GRAN SONATA</v>
          </cell>
          <cell r="D10" t="str">
            <v>C0608FCE-2583-EA11-B686-005056856875</v>
          </cell>
          <cell r="E10">
            <v>160</v>
          </cell>
        </row>
        <row r="11">
          <cell r="A11" t="str">
            <v>APARECIDA DE GOIÂNIA</v>
          </cell>
          <cell r="C11" t="str">
            <v>GRAN ÓPERA</v>
          </cell>
          <cell r="D11" t="str">
            <v>A57DDC75-0EA8-E911-A878-0050568AA20F</v>
          </cell>
          <cell r="E11">
            <v>192</v>
          </cell>
        </row>
        <row r="12">
          <cell r="A12" t="str">
            <v>CAMPO GRANDE</v>
          </cell>
          <cell r="C12" t="str">
            <v>PARQUE CASTELO DE ANDORRA</v>
          </cell>
          <cell r="D12" t="str">
            <v>135043FD-35C0-E811-A4F5-80C16E075108</v>
          </cell>
          <cell r="E12">
            <v>432</v>
          </cell>
        </row>
        <row r="13">
          <cell r="A13" t="str">
            <v>ARACAJU</v>
          </cell>
          <cell r="C13" t="str">
            <v>TORRES DO FAROL</v>
          </cell>
          <cell r="D13" t="str">
            <v>401D95D6-6E66-EB11-8864-0050568AA20F</v>
          </cell>
          <cell r="E13">
            <v>176</v>
          </cell>
        </row>
        <row r="14">
          <cell r="A14" t="str">
            <v>SOROCABA</v>
          </cell>
          <cell r="C14" t="str">
            <v>RESIDENCIAL SUN LAKE</v>
          </cell>
          <cell r="D14" t="str">
            <v>7162CB89-84C3-E911-941D-005056856875</v>
          </cell>
          <cell r="E14">
            <v>288</v>
          </cell>
        </row>
        <row r="15">
          <cell r="A15" t="str">
            <v>NITERÓI</v>
          </cell>
          <cell r="C15" t="str">
            <v>SENSIA NITERÓI</v>
          </cell>
          <cell r="D15">
            <v>0</v>
          </cell>
          <cell r="E15">
            <v>0</v>
          </cell>
        </row>
        <row r="16">
          <cell r="A16" t="str">
            <v>FEIRA DE SANTANA</v>
          </cell>
          <cell r="C16" t="str">
            <v>RESIDENCIAL ARTEMIA ROYAL TOWER</v>
          </cell>
          <cell r="D16">
            <v>0</v>
          </cell>
          <cell r="E16">
            <v>0</v>
          </cell>
        </row>
        <row r="17">
          <cell r="A17" t="str">
            <v>JUIZ DE FORA</v>
          </cell>
          <cell r="C17" t="str">
            <v>JARDIM SUBLIME</v>
          </cell>
          <cell r="D17">
            <v>0</v>
          </cell>
          <cell r="E17">
            <v>0</v>
          </cell>
        </row>
        <row r="18">
          <cell r="A18" t="str">
            <v>CAMPINAS</v>
          </cell>
          <cell r="C18" t="str">
            <v>RESIDENCIAL DIAMANTE VILLE</v>
          </cell>
          <cell r="D18" t="str">
            <v>56337733-B15F-E911-B8F1-009C02B0CB58</v>
          </cell>
          <cell r="E18">
            <v>448</v>
          </cell>
        </row>
        <row r="19">
          <cell r="A19" t="str">
            <v>SÃO CARLOS</v>
          </cell>
          <cell r="C19" t="str">
            <v>PARQUE MONTE BLANC</v>
          </cell>
          <cell r="D19" t="str">
            <v>D0CFC85D-BE0B-EA11-BA0A-0050568AA20F</v>
          </cell>
          <cell r="E19">
            <v>324</v>
          </cell>
        </row>
        <row r="20">
          <cell r="A20" t="str">
            <v>ARAÇATUBA</v>
          </cell>
          <cell r="C20" t="str">
            <v>RESIDENCIAL AIRES</v>
          </cell>
          <cell r="D20" t="str">
            <v>B3339D08-54DE-EA11-88C0-0050568AA20F</v>
          </cell>
          <cell r="E20">
            <v>176</v>
          </cell>
        </row>
        <row r="21">
          <cell r="A21" t="str">
            <v>BOTUCATU</v>
          </cell>
          <cell r="C21" t="str">
            <v>BELLA HUNGRIA</v>
          </cell>
          <cell r="D21" t="str">
            <v>B2760590-88CA-EA11-BEEB-005056856875</v>
          </cell>
          <cell r="E21">
            <v>192</v>
          </cell>
        </row>
        <row r="22">
          <cell r="A22" t="str">
            <v>MARINGÁ</v>
          </cell>
          <cell r="C22" t="str">
            <v>RESIDENCIAL MONTICELLO</v>
          </cell>
          <cell r="D22" t="str">
            <v>2121F3AF-7B80-E911-A3A8-0050568AA20F</v>
          </cell>
          <cell r="E22">
            <v>152</v>
          </cell>
        </row>
        <row r="23">
          <cell r="A23" t="str">
            <v>SÃO JOSÉ DO RIO PRETO</v>
          </cell>
          <cell r="C23" t="str">
            <v>RESIDENCIAL RIO FRATES</v>
          </cell>
          <cell r="D23" t="str">
            <v>EFBC8E26-67FE-EA11-8CC6-0050568AA20F</v>
          </cell>
          <cell r="E23">
            <v>104</v>
          </cell>
        </row>
        <row r="24">
          <cell r="A24" t="str">
            <v>LONDRINA</v>
          </cell>
          <cell r="C24" t="str">
            <v>RESIDENCIAL LAGUNA DI CÓRDOBA</v>
          </cell>
          <cell r="D24" t="str">
            <v>8AC96831-4CDB-EA11-88C0-0050568AA20F</v>
          </cell>
          <cell r="E24">
            <v>144</v>
          </cell>
        </row>
        <row r="25">
          <cell r="A25" t="str">
            <v>CUIABÁ</v>
          </cell>
          <cell r="C25" t="str">
            <v>CITTÀ DEI FIORI</v>
          </cell>
          <cell r="D25" t="str">
            <v>D516916F-AF7C-E911-8A41-009C02B0CB58</v>
          </cell>
          <cell r="E25">
            <v>224</v>
          </cell>
        </row>
        <row r="26">
          <cell r="A26" t="str">
            <v>PALHOÇA</v>
          </cell>
          <cell r="C26" t="str">
            <v>FLORES DO LITORAL_RESIDENCIAL VIOLETAS</v>
          </cell>
          <cell r="D26" t="str">
            <v>27AB86C7-B847-E811-8CE7-80C16E075108</v>
          </cell>
          <cell r="E26">
            <v>420</v>
          </cell>
        </row>
        <row r="27">
          <cell r="A27" t="str">
            <v>CAMPINAS</v>
          </cell>
          <cell r="C27" t="str">
            <v>RESIDENCIAL CAMPO DAS FIGUEIRAS</v>
          </cell>
          <cell r="D27" t="str">
            <v>384B3C7E-16C1-EA11-BEEB-005056856875</v>
          </cell>
          <cell r="E27">
            <v>176</v>
          </cell>
        </row>
        <row r="28">
          <cell r="A28" t="str">
            <v>SERRA</v>
          </cell>
          <cell r="C28" t="str">
            <v>PARQUE VILA DAS ORQUÍDEAS</v>
          </cell>
          <cell r="D28" t="str">
            <v>C2549EFF-4F6B-E411-B5D2-009C02B0CB58</v>
          </cell>
          <cell r="E28">
            <v>204</v>
          </cell>
        </row>
        <row r="29">
          <cell r="A29" t="str">
            <v>SOROCABA</v>
          </cell>
          <cell r="C29" t="str">
            <v>RESIDENCIAL LAGO DE TUNE</v>
          </cell>
          <cell r="D29" t="str">
            <v>F2A69C7C-C0AA-E711-8E92-009C02B0CB58</v>
          </cell>
          <cell r="E29">
            <v>432</v>
          </cell>
        </row>
        <row r="30">
          <cell r="A30" t="str">
            <v>CATANDUVA</v>
          </cell>
          <cell r="C30" t="str">
            <v>RESIDENCIAL CASA DE VIENA</v>
          </cell>
          <cell r="D30" t="str">
            <v>9999E04B-9536-E911-B8F1-009C02B0CB58</v>
          </cell>
          <cell r="E30">
            <v>144</v>
          </cell>
        </row>
        <row r="31">
          <cell r="A31" t="str">
            <v>LONDRINA</v>
          </cell>
          <cell r="C31" t="str">
            <v>RESIDENCIAL LAGUNA DI MARBELLA</v>
          </cell>
          <cell r="D31" t="str">
            <v>4CF77C2E-4ADB-EA11-88C0-0050568AA20F</v>
          </cell>
          <cell r="E31">
            <v>160</v>
          </cell>
        </row>
        <row r="32">
          <cell r="A32" t="str">
            <v>MANAUS</v>
          </cell>
          <cell r="C32" t="str">
            <v>VISTA DOS JACARANDÁS</v>
          </cell>
          <cell r="D32" t="str">
            <v>A414462B-7E62-E711-91B2-80C16E075108</v>
          </cell>
          <cell r="E32">
            <v>200</v>
          </cell>
        </row>
        <row r="33">
          <cell r="A33" t="str">
            <v>RIO DE JANEIRO</v>
          </cell>
          <cell r="C33" t="str">
            <v>RESIDENCIAL VITÓRIA RÉGIA</v>
          </cell>
          <cell r="D33" t="str">
            <v>5BC8A864-E596-E611-B1E9-009C02B0CB58</v>
          </cell>
          <cell r="E33">
            <v>499</v>
          </cell>
        </row>
        <row r="34">
          <cell r="A34" t="str">
            <v>VOTORANTIM</v>
          </cell>
          <cell r="C34" t="str">
            <v>RESIDENCIAL SERENA</v>
          </cell>
          <cell r="D34" t="str">
            <v>C26AC829-CE28-EB11-85D0-005056856875</v>
          </cell>
          <cell r="E34">
            <v>280</v>
          </cell>
        </row>
        <row r="35">
          <cell r="A35" t="str">
            <v>PALMAS</v>
          </cell>
          <cell r="C35" t="str">
            <v>PALMEIRA BURITI</v>
          </cell>
          <cell r="D35" t="str">
            <v>A6FBA496-AB1E-EB11-9D23-005056856B6C</v>
          </cell>
          <cell r="E35">
            <v>208</v>
          </cell>
        </row>
        <row r="36">
          <cell r="A36" t="str">
            <v>LONDRINA</v>
          </cell>
          <cell r="C36" t="str">
            <v>RESIDENCIAL LAGUNA MÁLAGA</v>
          </cell>
          <cell r="D36" t="str">
            <v>9A748723-4DDB-EA11-88C0-0050568AA20F</v>
          </cell>
          <cell r="E36">
            <v>288</v>
          </cell>
        </row>
        <row r="37">
          <cell r="A37" t="str">
            <v>MACEIÓ</v>
          </cell>
          <cell r="C37" t="str">
            <v>HORIZONTES DO LITORAL</v>
          </cell>
          <cell r="D37" t="str">
            <v>186DAB2B-F9BD-E911-A2E9-0050568AA20F</v>
          </cell>
          <cell r="E37">
            <v>288</v>
          </cell>
        </row>
        <row r="38">
          <cell r="A38" t="str">
            <v>FRANCA</v>
          </cell>
          <cell r="C38" t="str">
            <v>FLORENZA RESIDENCIAL</v>
          </cell>
          <cell r="D38" t="str">
            <v>374E11E0-2572-E711-91B2-80C16E075108</v>
          </cell>
          <cell r="E38">
            <v>208</v>
          </cell>
        </row>
        <row r="39">
          <cell r="A39" t="str">
            <v>SERRA</v>
          </cell>
          <cell r="C39" t="str">
            <v>SPAZIO VILA DE REGÊNCIA</v>
          </cell>
          <cell r="D39" t="str">
            <v>C8266484-6EB1-E611-ABB6-80C16E075108</v>
          </cell>
          <cell r="E39">
            <v>104</v>
          </cell>
        </row>
        <row r="40">
          <cell r="A40" t="str">
            <v>JOINVILLE</v>
          </cell>
          <cell r="C40" t="str">
            <v>RESIDENCIAL JARDIM DE FIRENZE</v>
          </cell>
          <cell r="D40" t="str">
            <v>0AD88DA5-2555-E811-8D3F-80C16E075108</v>
          </cell>
          <cell r="E40">
            <v>120</v>
          </cell>
        </row>
        <row r="41">
          <cell r="A41" t="str">
            <v>PIRACICABA</v>
          </cell>
          <cell r="C41" t="str">
            <v>RESIDENCIAL PIAZZA TURIM</v>
          </cell>
          <cell r="D41" t="str">
            <v>2B00445C-56CB-E911-B027-0050568AA20F</v>
          </cell>
          <cell r="E41">
            <v>168</v>
          </cell>
        </row>
        <row r="42">
          <cell r="A42" t="str">
            <v>RIBEIRÃO PRETO</v>
          </cell>
          <cell r="C42" t="str">
            <v>RESIDENCIAL CROMO</v>
          </cell>
          <cell r="D42" t="str">
            <v>7A8FD7E4-6380-E811-8D3F-80C16E075108</v>
          </cell>
          <cell r="E42">
            <v>500</v>
          </cell>
        </row>
        <row r="43">
          <cell r="A43" t="str">
            <v>RIBEIRÃO PRETO</v>
          </cell>
          <cell r="C43" t="str">
            <v>SANTA IRIA</v>
          </cell>
          <cell r="D43" t="str">
            <v>96A3BA62-42DD-E811-944D-009C02B0CB58</v>
          </cell>
          <cell r="E43">
            <v>1043</v>
          </cell>
        </row>
        <row r="44">
          <cell r="A44" t="str">
            <v>UBERABA</v>
          </cell>
          <cell r="C44" t="str">
            <v>RESIDENCIAL VENEZA</v>
          </cell>
          <cell r="D44" t="str">
            <v>EFC9C53F-A44D-EA11-BA0A-0050568AA20F</v>
          </cell>
          <cell r="E44">
            <v>272</v>
          </cell>
        </row>
        <row r="45">
          <cell r="A45" t="str">
            <v>SÃO JOSÉ DO RIO PRETO</v>
          </cell>
          <cell r="C45" t="str">
            <v>PARQUE RIO DAS VERTENTES</v>
          </cell>
          <cell r="D45" t="str">
            <v>91E94335-927D-E011-8AF4-001B78B9D994</v>
          </cell>
          <cell r="E45">
            <v>368</v>
          </cell>
        </row>
        <row r="46">
          <cell r="A46" t="str">
            <v>PORTO ALEGRE</v>
          </cell>
          <cell r="C46" t="str">
            <v>RESIDENCIAL PORTO BAHAMAS</v>
          </cell>
          <cell r="D46" t="str">
            <v>2DDC417F-BFD0-E811-944D-009C02B0CB58</v>
          </cell>
          <cell r="E46">
            <v>192</v>
          </cell>
        </row>
        <row r="47">
          <cell r="A47" t="str">
            <v>TERESINA</v>
          </cell>
          <cell r="C47" t="str">
            <v>VILA DI FIORI</v>
          </cell>
          <cell r="D47" t="str">
            <v>58DCFEFE-1662-EA11-8B90-0050568AA20F</v>
          </cell>
          <cell r="E47">
            <v>288</v>
          </cell>
        </row>
        <row r="48">
          <cell r="A48" t="str">
            <v>CURITIBA</v>
          </cell>
          <cell r="C48" t="str">
            <v>RESIDENCIAL CHIEVO</v>
          </cell>
          <cell r="D48" t="str">
            <v>7AD637AF-03B1-E811-944C-009C02B0CB58</v>
          </cell>
          <cell r="E48">
            <v>256</v>
          </cell>
        </row>
        <row r="49">
          <cell r="A49" t="str">
            <v>BOTUCATU</v>
          </cell>
          <cell r="C49" t="str">
            <v>RESIDENCIAL BELLA RÚSSIA</v>
          </cell>
          <cell r="D49" t="str">
            <v>4756035F-16B8-E811-944D-009C02B0CB58</v>
          </cell>
          <cell r="E49">
            <v>200</v>
          </cell>
        </row>
        <row r="50">
          <cell r="A50" t="str">
            <v>MARINGÁ</v>
          </cell>
          <cell r="C50" t="str">
            <v>RESIDENCIAL MOLINE</v>
          </cell>
          <cell r="D50" t="str">
            <v>42C95456-0BB2-E911-A2E9-0050568AA20F</v>
          </cell>
          <cell r="E50">
            <v>128</v>
          </cell>
        </row>
        <row r="51">
          <cell r="A51" t="str">
            <v>SÃO LUÍS</v>
          </cell>
          <cell r="C51" t="str">
            <v>RESIDENCIAL CASA DE BOURBON</v>
          </cell>
          <cell r="D51" t="str">
            <v>15925AFE-F835-E911-B8F1-009C02B0CB58</v>
          </cell>
          <cell r="E51">
            <v>224</v>
          </cell>
        </row>
        <row r="52">
          <cell r="A52" t="str">
            <v>SOROCABA</v>
          </cell>
          <cell r="C52" t="str">
            <v>RESIDENCIAL SANTINNI</v>
          </cell>
          <cell r="D52" t="str">
            <v>12FC504E-1F90-E811-8D3F-80C16E075108</v>
          </cell>
          <cell r="E52">
            <v>116</v>
          </cell>
        </row>
        <row r="53">
          <cell r="A53" t="str">
            <v>RIBEIRÃO PRETO</v>
          </cell>
          <cell r="C53" t="str">
            <v>JARDIM REGATAS</v>
          </cell>
          <cell r="D53" t="str">
            <v>A3E16CE3-9E37-EA11-9E6D-005056856875</v>
          </cell>
          <cell r="E53">
            <v>300</v>
          </cell>
        </row>
        <row r="54">
          <cell r="A54" t="str">
            <v>ITABORAÍ</v>
          </cell>
          <cell r="C54" t="str">
            <v>RESIDENCIAL PEDRA DO SOL</v>
          </cell>
          <cell r="D54" t="str">
            <v>0F2A48A2-9EF3-E611-ABB6-80C16E075108</v>
          </cell>
          <cell r="E54">
            <v>223</v>
          </cell>
        </row>
        <row r="55">
          <cell r="A55" t="str">
            <v>LONDRINA</v>
          </cell>
          <cell r="C55" t="str">
            <v>RESIDENCIAL LAGUNA DI VALÊNCIA</v>
          </cell>
          <cell r="D55" t="str">
            <v>C71D7E69-4BDB-EA11-88C0-0050568AA20F</v>
          </cell>
          <cell r="E55">
            <v>144</v>
          </cell>
        </row>
        <row r="56">
          <cell r="A56" t="str">
            <v>LONDRINA</v>
          </cell>
          <cell r="C56" t="str">
            <v>RESIDENCIAL LA SICÍLIA</v>
          </cell>
          <cell r="D56" t="str">
            <v>58297B95-ADF9-E911-BA0A-0050568AA20F</v>
          </cell>
          <cell r="E56">
            <v>480</v>
          </cell>
        </row>
        <row r="57">
          <cell r="A57" t="str">
            <v>CAMPINAS</v>
          </cell>
          <cell r="C57" t="str">
            <v>SENSIA PARQUE PRADO</v>
          </cell>
          <cell r="D57" t="str">
            <v>A9BDDBE9-394C-EA11-BA0A-0050568AA20F</v>
          </cell>
          <cell r="E57">
            <v>304</v>
          </cell>
        </row>
        <row r="58">
          <cell r="A58" t="str">
            <v>RIO DE JANEIRO</v>
          </cell>
          <cell r="C58" t="str">
            <v>ESPLENDOR CARIOCA</v>
          </cell>
          <cell r="D58" t="str">
            <v>39A398DA-D580-EB11-8864-0050568AA20F</v>
          </cell>
          <cell r="E58">
            <v>500</v>
          </cell>
        </row>
        <row r="59">
          <cell r="A59" t="str">
            <v>PORTO ALEGRE</v>
          </cell>
          <cell r="C59" t="str">
            <v>RESIDENCIAL PORTO LA PAZ</v>
          </cell>
          <cell r="D59" t="str">
            <v>D096BB7B-43C3-E811-944D-009C02B0CB58</v>
          </cell>
          <cell r="E59">
            <v>240</v>
          </cell>
        </row>
        <row r="60">
          <cell r="A60" t="str">
            <v>TERESINA</v>
          </cell>
          <cell r="C60" t="str">
            <v>TERRAZZO FIRENZE</v>
          </cell>
          <cell r="D60" t="str">
            <v>B7F1D0B3-A3DF-E911-A6A0-005056856875</v>
          </cell>
          <cell r="E60">
            <v>120</v>
          </cell>
        </row>
        <row r="61">
          <cell r="A61" t="str">
            <v>VOTORANTIM</v>
          </cell>
          <cell r="C61" t="str">
            <v>RESIDENCIAL SUNSHINE</v>
          </cell>
          <cell r="D61" t="str">
            <v>5C9005D0-BBCC-E811-A4F5-80C16E075108</v>
          </cell>
          <cell r="E61">
            <v>200</v>
          </cell>
        </row>
        <row r="62">
          <cell r="A62" t="str">
            <v>MANAUS</v>
          </cell>
          <cell r="C62" t="str">
            <v>MIRANTE BELA VISTA</v>
          </cell>
          <cell r="D62" t="str">
            <v>66CE0D41-5B47-EA11-801D-005056856875</v>
          </cell>
          <cell r="E62">
            <v>288</v>
          </cell>
        </row>
        <row r="63">
          <cell r="A63" t="str">
            <v>CAMPO GRANDE</v>
          </cell>
          <cell r="C63" t="str">
            <v>CASTELLO DI AGOSTINO</v>
          </cell>
          <cell r="D63" t="str">
            <v>29BD8A9E-78E9-E611-ABB6-80C16E075108</v>
          </cell>
          <cell r="E63">
            <v>240</v>
          </cell>
        </row>
        <row r="64">
          <cell r="A64" t="str">
            <v>CAMPOS DOS GOYTACAZES</v>
          </cell>
          <cell r="C64" t="str">
            <v>BEM VIVER CAMPOS_QUADRA 11</v>
          </cell>
          <cell r="D64" t="str">
            <v>66754BED-3F1E-E811-BCAC-80C16E075108</v>
          </cell>
          <cell r="E64">
            <v>38</v>
          </cell>
        </row>
        <row r="65">
          <cell r="A65" t="str">
            <v>FORTALEZA</v>
          </cell>
          <cell r="C65" t="str">
            <v>FLOR DE LÍRIO</v>
          </cell>
          <cell r="D65" t="str">
            <v>BD65C604-2EE3-EB11-930A-0050568AA20F</v>
          </cell>
          <cell r="E65">
            <v>160</v>
          </cell>
        </row>
        <row r="66">
          <cell r="A66" t="str">
            <v>FORTALEZA</v>
          </cell>
          <cell r="C66" t="str">
            <v>FLOR DE IRIS</v>
          </cell>
          <cell r="D66" t="str">
            <v>14A8CFBD-2AE3-EB11-930A-0050568AA20F</v>
          </cell>
          <cell r="E66">
            <v>0</v>
          </cell>
        </row>
        <row r="67">
          <cell r="A67" t="str">
            <v>PORTO ALEGRE</v>
          </cell>
          <cell r="C67" t="str">
            <v>RESIDENCIAL PORTO SAN ANDRÉS</v>
          </cell>
          <cell r="D67">
            <v>0</v>
          </cell>
          <cell r="E67">
            <v>0</v>
          </cell>
        </row>
        <row r="68">
          <cell r="A68" t="str">
            <v>SÃO LUÍS</v>
          </cell>
          <cell r="C68" t="str">
            <v>RESIDENCIAL ILHA DE HAVANA</v>
          </cell>
          <cell r="D68" t="str">
            <v>474CA326-4E78-E911-B1CD-009C02B0CB58</v>
          </cell>
          <cell r="E68">
            <v>416</v>
          </cell>
        </row>
        <row r="69">
          <cell r="A69" t="str">
            <v>CAMPO GRANDE</v>
          </cell>
          <cell r="C69" t="str">
            <v>CASTEL DI VENEZA</v>
          </cell>
          <cell r="D69" t="str">
            <v>08FE499B-D2F1-E111-9E30-001F2909E810</v>
          </cell>
          <cell r="E69">
            <v>400</v>
          </cell>
        </row>
        <row r="70">
          <cell r="A70" t="str">
            <v>CAMPO GRANDE</v>
          </cell>
          <cell r="C70" t="str">
            <v>PARQUE CANTO DAS GAIVOTAS</v>
          </cell>
          <cell r="D70" t="str">
            <v>92760E53-00EE-E611-ABB6-80C16E075108</v>
          </cell>
          <cell r="E70">
            <v>224</v>
          </cell>
        </row>
        <row r="71">
          <cell r="A71" t="str">
            <v>SOROCABA</v>
          </cell>
          <cell r="C71" t="str">
            <v>RESIDENCIAL LAGO DE VERSALHES</v>
          </cell>
          <cell r="D71" t="str">
            <v>8E7D62A8-E292-EB11-8159-005056856875</v>
          </cell>
          <cell r="E71">
            <v>464</v>
          </cell>
        </row>
        <row r="72">
          <cell r="A72" t="str">
            <v>CAMPINAS</v>
          </cell>
          <cell r="C72" t="str">
            <v>SENSIA VILLAGE GALLERIA</v>
          </cell>
          <cell r="D72" t="str">
            <v>4FB6E0F2-7686-DE11-9553-001F2909E83C</v>
          </cell>
          <cell r="E72">
            <v>240</v>
          </cell>
        </row>
        <row r="73">
          <cell r="A73" t="str">
            <v>SÃO PAULO</v>
          </cell>
          <cell r="C73" t="str">
            <v>RESIDENCIAL NASCENTE DOS TANGARAS</v>
          </cell>
          <cell r="D73">
            <v>0</v>
          </cell>
          <cell r="E73">
            <v>0</v>
          </cell>
        </row>
        <row r="74">
          <cell r="A74" t="str">
            <v>SANTA BÁRBARA D'OESTE</v>
          </cell>
          <cell r="C74" t="str">
            <v>RESIDENCIAL AMPLITUDE</v>
          </cell>
          <cell r="D74" t="str">
            <v>77A03252-C046-EA11-BA0A-0050568AA20F</v>
          </cell>
          <cell r="E74">
            <v>288</v>
          </cell>
        </row>
        <row r="75">
          <cell r="A75" t="str">
            <v>BLUMENAU</v>
          </cell>
          <cell r="C75" t="str">
            <v>RESIDENCIAL BARON</v>
          </cell>
          <cell r="D75">
            <v>0</v>
          </cell>
          <cell r="E75">
            <v>0</v>
          </cell>
        </row>
        <row r="76">
          <cell r="A76" t="str">
            <v>UBERABA</v>
          </cell>
          <cell r="C76" t="str">
            <v>RESIDENCIAL ARSENAL</v>
          </cell>
          <cell r="D76" t="str">
            <v>335AA67A-9F6F-EA11-8B90-0050568AA20F</v>
          </cell>
          <cell r="E76">
            <v>104</v>
          </cell>
        </row>
        <row r="77">
          <cell r="A77" t="str">
            <v>FEIRA DE SANTANA</v>
          </cell>
          <cell r="C77" t="str">
            <v>SPAZIO BOULEVARD</v>
          </cell>
          <cell r="D77">
            <v>0</v>
          </cell>
          <cell r="E77">
            <v>0</v>
          </cell>
        </row>
        <row r="78">
          <cell r="A78" t="str">
            <v>UBERLÂNDIA</v>
          </cell>
          <cell r="C78" t="str">
            <v>TOP LIFE ACAPULCO</v>
          </cell>
          <cell r="D78" t="str">
            <v>5A6DD015-DF18-E511-A3A7-80C16E075108</v>
          </cell>
          <cell r="E78">
            <v>484</v>
          </cell>
        </row>
        <row r="79">
          <cell r="A79" t="str">
            <v>FORTALEZA</v>
          </cell>
          <cell r="C79" t="str">
            <v>PARQUE DONATELLO</v>
          </cell>
          <cell r="D79" t="str">
            <v>3D1BA8B0-8CD9-E511-9CC2-009C02B0CB58</v>
          </cell>
          <cell r="E79">
            <v>480</v>
          </cell>
        </row>
        <row r="80">
          <cell r="A80" t="str">
            <v>ARAPONGAS</v>
          </cell>
          <cell r="C80" t="str">
            <v>PARQUE AYALA</v>
          </cell>
          <cell r="D80" t="str">
            <v>B2654C84-3395-E611-ABB6-80C16E075108</v>
          </cell>
          <cell r="E80">
            <v>260</v>
          </cell>
        </row>
        <row r="81">
          <cell r="A81" t="str">
            <v>SÃO JOSÉ DO RIO PRETO</v>
          </cell>
          <cell r="C81" t="str">
            <v>RESIDENCIAL RIO MACKENZIE</v>
          </cell>
          <cell r="D81" t="str">
            <v>7A93F085-34F7-E811-B773-80C16E075108</v>
          </cell>
          <cell r="E81">
            <v>224</v>
          </cell>
        </row>
        <row r="82">
          <cell r="A82" t="str">
            <v>NATAL</v>
          </cell>
          <cell r="C82" t="str">
            <v>TORRES DOS POTIGUARAS</v>
          </cell>
          <cell r="D82" t="str">
            <v>C732448E-F117-E911-8C00-80C16E075108</v>
          </cell>
          <cell r="E82">
            <v>336</v>
          </cell>
        </row>
        <row r="83">
          <cell r="A83" t="str">
            <v>PRESIDENTE PRUDENTE</v>
          </cell>
          <cell r="C83" t="str">
            <v>RESIDENCIAL PRINCIPE DE LUXEMBURGO</v>
          </cell>
          <cell r="D83" t="str">
            <v>EA96915D-3C1F-E911-8C00-80C16E075108</v>
          </cell>
          <cell r="E83">
            <v>0</v>
          </cell>
        </row>
        <row r="84">
          <cell r="A84" t="str">
            <v>ANÁPOLIS</v>
          </cell>
          <cell r="C84" t="str">
            <v>ARCOS DO PARAÍSO</v>
          </cell>
          <cell r="D84" t="str">
            <v>DB6CA990-38D7-EA11-BEEB-005056856875</v>
          </cell>
          <cell r="E84">
            <v>288</v>
          </cell>
        </row>
        <row r="85">
          <cell r="A85" t="str">
            <v>VITÓRIA DA CONQUISTA</v>
          </cell>
          <cell r="C85" t="str">
            <v>VITÓRIA IMPERIAL</v>
          </cell>
          <cell r="D85" t="str">
            <v>EA8FEDF0-169A-E611-ABB6-80C16E075108</v>
          </cell>
          <cell r="E85">
            <v>420</v>
          </cell>
        </row>
        <row r="86">
          <cell r="A86" t="str">
            <v>CAMPO GRANDE</v>
          </cell>
          <cell r="C86" t="str">
            <v>CASTELLO DI PIETRO</v>
          </cell>
          <cell r="D86" t="str">
            <v>45EA7AD0-78E9-E611-ABB6-80C16E075108</v>
          </cell>
          <cell r="E86">
            <v>200</v>
          </cell>
        </row>
        <row r="87">
          <cell r="A87" t="str">
            <v>SÃO LUÍS</v>
          </cell>
          <cell r="C87" t="str">
            <v>ILHA DE ARUBA</v>
          </cell>
          <cell r="D87" t="str">
            <v>EE12001F-F677-E911-A7AC-80C16E075108</v>
          </cell>
          <cell r="E87">
            <v>416</v>
          </cell>
        </row>
        <row r="88">
          <cell r="A88" t="str">
            <v>CUIABÁ</v>
          </cell>
          <cell r="C88" t="str">
            <v>CHAPADA PANTANAL</v>
          </cell>
          <cell r="D88" t="str">
            <v>CF46EFD6-77BB-E811-A4F5-80C16E075108</v>
          </cell>
          <cell r="E88">
            <v>240</v>
          </cell>
        </row>
        <row r="89">
          <cell r="A89" t="str">
            <v>JUNDIAÍ</v>
          </cell>
          <cell r="C89" t="str">
            <v>RESIDENCIAL JARDIM DI FLORENÇA</v>
          </cell>
          <cell r="D89" t="str">
            <v>DBC1538A-F6BE-EB11-94B3-005056856875</v>
          </cell>
          <cell r="E89">
            <v>192</v>
          </cell>
        </row>
        <row r="90">
          <cell r="A90" t="str">
            <v>SÃO JOSÉ DO RIO PRETO</v>
          </cell>
          <cell r="C90" t="str">
            <v>RESIDENCIAL RIO PIAVE</v>
          </cell>
          <cell r="D90" t="str">
            <v>3E552F2A-5689-E911-A828-005056856875</v>
          </cell>
          <cell r="E90">
            <v>224</v>
          </cell>
        </row>
        <row r="91">
          <cell r="A91" t="str">
            <v>FORTALEZA</v>
          </cell>
          <cell r="C91" t="str">
            <v>TORRE PASSARÉ</v>
          </cell>
          <cell r="D91" t="str">
            <v>FEEFDA02-32A7-E911-A878-0050568AA20F</v>
          </cell>
          <cell r="E91">
            <v>232</v>
          </cell>
        </row>
        <row r="92">
          <cell r="A92" t="str">
            <v>APARECIDA DE GOIÂNIA</v>
          </cell>
          <cell r="C92" t="str">
            <v>GRAN FLORATA</v>
          </cell>
          <cell r="D92" t="str">
            <v>559B2E4A-0954-EA11-B686-005056856875</v>
          </cell>
          <cell r="E92">
            <v>160</v>
          </cell>
        </row>
        <row r="93">
          <cell r="A93" t="str">
            <v>CAMPO GRANDE</v>
          </cell>
          <cell r="C93" t="str">
            <v>CASTELO DE BELIZE</v>
          </cell>
          <cell r="D93" t="str">
            <v>85B905F0-D356-EC11-B2FE-005056895191</v>
          </cell>
          <cell r="E93">
            <v>0</v>
          </cell>
        </row>
        <row r="94">
          <cell r="A94" t="str">
            <v>BAURU</v>
          </cell>
          <cell r="C94" t="str">
            <v>BORELLA RESIDENCIAL</v>
          </cell>
          <cell r="D94" t="str">
            <v>C8CD078B-A6E5-EC11-BA45-005056890018</v>
          </cell>
          <cell r="E94">
            <v>180</v>
          </cell>
        </row>
        <row r="95">
          <cell r="A95" t="str">
            <v>CAMBÉ</v>
          </cell>
          <cell r="C95" t="str">
            <v>RESIDENCIAL LA PLATA</v>
          </cell>
          <cell r="D95" t="str">
            <v>0B84105A-B2A4-E811-9B20-80C16E075108</v>
          </cell>
          <cell r="E95">
            <v>320</v>
          </cell>
        </row>
        <row r="96">
          <cell r="A96" t="str">
            <v>SANTA LUZIA</v>
          </cell>
          <cell r="C96" t="str">
            <v>PARQUE SERRA DOS PINHAIS</v>
          </cell>
          <cell r="D96" t="str">
            <v>D229462F-8AC3-E511-B93A-80C16E075108</v>
          </cell>
          <cell r="E96">
            <v>360</v>
          </cell>
        </row>
        <row r="97">
          <cell r="A97" t="str">
            <v>RIBEIRÃO DAS NEVES</v>
          </cell>
          <cell r="C97" t="str">
            <v>PROVÍNCIAS DE PORTUGAL - ÉVORA</v>
          </cell>
          <cell r="D97" t="str">
            <v>ACB79830-DF96-E611-ABB6-80C16E075108</v>
          </cell>
          <cell r="E97">
            <v>432</v>
          </cell>
        </row>
        <row r="98">
          <cell r="A98" t="str">
            <v>BELO HORIZONTE</v>
          </cell>
          <cell r="C98" t="str">
            <v>PLAZA NORTE</v>
          </cell>
          <cell r="D98" t="str">
            <v>A5104F3B-436F-E811-8D3F-80C16E075108</v>
          </cell>
          <cell r="E98">
            <v>260</v>
          </cell>
        </row>
        <row r="99">
          <cell r="A99" t="str">
            <v>BAURU</v>
          </cell>
          <cell r="C99" t="str">
            <v>RESIDENCIAL BERATI</v>
          </cell>
          <cell r="D99" t="str">
            <v>DD357870-12A5-EA11-88C0-0050568AA20F</v>
          </cell>
          <cell r="E99">
            <v>440</v>
          </cell>
        </row>
        <row r="100">
          <cell r="A100" t="str">
            <v>PRESIDENTE PRUDENTE</v>
          </cell>
          <cell r="C100" t="str">
            <v>RESIDENCIAL PRINCIPE DA HOLANDA</v>
          </cell>
          <cell r="D100" t="str">
            <v>340C203B-381F-E911-8C00-80C16E075108</v>
          </cell>
          <cell r="E100">
            <v>192</v>
          </cell>
        </row>
        <row r="101">
          <cell r="A101" t="str">
            <v>CURITIBA</v>
          </cell>
          <cell r="C101" t="str">
            <v>SPAZIO CAMPELLES</v>
          </cell>
          <cell r="D101" t="str">
            <v>32EC7036-BFEA-DC11-A2F9-001B7845B4A6</v>
          </cell>
          <cell r="E101">
            <v>60</v>
          </cell>
        </row>
        <row r="102">
          <cell r="A102" t="str">
            <v>CAMPOS DOS GOYTACAZES</v>
          </cell>
          <cell r="C102" t="str">
            <v>PARQUE ABROLHOS</v>
          </cell>
          <cell r="D102" t="str">
            <v>83FAD7BF-F0DD-E411-9DC0-80C16E075108</v>
          </cell>
          <cell r="E102">
            <v>356</v>
          </cell>
        </row>
        <row r="103">
          <cell r="A103" t="str">
            <v>RIO DE JANEIRO</v>
          </cell>
          <cell r="C103" t="str">
            <v>RIO MANTIQUEIRA</v>
          </cell>
          <cell r="D103" t="str">
            <v>603C69A9-B9E0-E511-9CC2-009C02B0CB58</v>
          </cell>
          <cell r="E103">
            <v>440</v>
          </cell>
        </row>
        <row r="104">
          <cell r="A104" t="str">
            <v>NATAL</v>
          </cell>
          <cell r="C104" t="str">
            <v>TORRES DO PITIMBU</v>
          </cell>
          <cell r="D104" t="str">
            <v>1AC5E0B2-E747-EC11-B2FE-005056895191</v>
          </cell>
          <cell r="E104">
            <v>328</v>
          </cell>
        </row>
        <row r="105">
          <cell r="A105" t="str">
            <v>CARUARU</v>
          </cell>
          <cell r="C105" t="str">
            <v>CAMINHO DOS SABIÁS</v>
          </cell>
          <cell r="D105">
            <v>0</v>
          </cell>
          <cell r="E105">
            <v>0</v>
          </cell>
        </row>
        <row r="106">
          <cell r="A106" t="str">
            <v>ARAÇATUBA</v>
          </cell>
          <cell r="C106" t="str">
            <v>RESIDENCIAL ACORDES</v>
          </cell>
          <cell r="D106" t="str">
            <v>377986AE-4C56-E911-90BB-80C16E075108</v>
          </cell>
          <cell r="E106">
            <v>112</v>
          </cell>
        </row>
        <row r="107">
          <cell r="A107" t="str">
            <v>MACAÉ</v>
          </cell>
          <cell r="C107" t="str">
            <v>MARVILLE RESIDENCE</v>
          </cell>
          <cell r="D107" t="str">
            <v>0CC13F4E-6D0C-E611-A5BB-009C02B0CB58</v>
          </cell>
          <cell r="E107">
            <v>464</v>
          </cell>
        </row>
        <row r="108">
          <cell r="A108" t="str">
            <v>BIGUAÇU</v>
          </cell>
          <cell r="C108" t="str">
            <v>RESIDENCIAL FLORES DO VERÃO</v>
          </cell>
          <cell r="D108" t="str">
            <v>0A010AB1-38D6-E911-B027-0050568AA20F</v>
          </cell>
          <cell r="E108">
            <v>400</v>
          </cell>
        </row>
        <row r="109">
          <cell r="A109" t="str">
            <v>CAMPINAS</v>
          </cell>
          <cell r="C109" t="str">
            <v>SENSIA SWISS PARK</v>
          </cell>
          <cell r="D109">
            <v>0</v>
          </cell>
          <cell r="E109">
            <v>0</v>
          </cell>
        </row>
        <row r="110">
          <cell r="A110" t="str">
            <v>VÁRZEA GRANDE</v>
          </cell>
          <cell r="C110" t="str">
            <v>VALE DAS LARANJEIRAS</v>
          </cell>
          <cell r="D110">
            <v>0</v>
          </cell>
          <cell r="E110">
            <v>0</v>
          </cell>
        </row>
        <row r="111">
          <cell r="A111" t="str">
            <v>LONDRINA</v>
          </cell>
          <cell r="C111" t="str">
            <v>RESIDENCIAL LAGUNA DI SEVILHA</v>
          </cell>
          <cell r="D111" t="str">
            <v>F30745C2-4CDB-EA11-88C0-0050568AA20F</v>
          </cell>
          <cell r="E111">
            <v>128</v>
          </cell>
        </row>
        <row r="112">
          <cell r="A112" t="str">
            <v>CUIABÁ</v>
          </cell>
          <cell r="C112" t="str">
            <v>CHAPADA DAS BRISAS</v>
          </cell>
          <cell r="D112" t="str">
            <v>1AB7711D-B0F9-E911-BA0A-0050568AA20F</v>
          </cell>
          <cell r="E112">
            <v>448</v>
          </cell>
        </row>
        <row r="113">
          <cell r="A113" t="str">
            <v>RIBEIRÃO PRETO</v>
          </cell>
          <cell r="C113" t="str">
            <v>RESERVA DAS ÍRIS</v>
          </cell>
          <cell r="D113" t="str">
            <v>837B92DB-63B6-E611-B1E9-009C02B0CB58</v>
          </cell>
          <cell r="E113">
            <v>304</v>
          </cell>
        </row>
        <row r="114">
          <cell r="A114" t="str">
            <v>SALVADOR</v>
          </cell>
          <cell r="C114" t="str">
            <v>RESERVA ATLÂNTICA</v>
          </cell>
          <cell r="D114" t="str">
            <v>D05F23C1-10D6-EC11-B1AD-005056856875</v>
          </cell>
          <cell r="E114">
            <v>408</v>
          </cell>
        </row>
        <row r="115">
          <cell r="A115" t="str">
            <v>CAMPOS DOS GOYTACAZES</v>
          </cell>
          <cell r="C115" t="str">
            <v>BEM VIVER CAMPOS_QUADRA07</v>
          </cell>
          <cell r="D115">
            <v>0</v>
          </cell>
          <cell r="E115">
            <v>0</v>
          </cell>
        </row>
        <row r="116">
          <cell r="A116" t="str">
            <v>JOINVILLE</v>
          </cell>
          <cell r="C116" t="str">
            <v>RESIDENCIAL JARDIM DI TÍVOLI</v>
          </cell>
          <cell r="D116" t="str">
            <v>C6044393-A7B8-E711-A541-009C02B0CB58</v>
          </cell>
          <cell r="E116">
            <v>176</v>
          </cell>
        </row>
        <row r="117">
          <cell r="A117" t="str">
            <v>RIO DE JANEIRO</v>
          </cell>
          <cell r="C117" t="str">
            <v>REFÚGIO CAMORIM</v>
          </cell>
          <cell r="D117" t="str">
            <v>425A9934-A155-EB11-A635-005056856875</v>
          </cell>
          <cell r="E117">
            <v>224</v>
          </cell>
        </row>
        <row r="118">
          <cell r="A118" t="str">
            <v>RIO DE JANEIRO</v>
          </cell>
          <cell r="C118" t="str">
            <v>RESIDENCIAL RIO NORTE</v>
          </cell>
          <cell r="D118" t="str">
            <v>24D26F66-6D3F-E511-A3A7-80C16E075108</v>
          </cell>
          <cell r="E118">
            <v>260</v>
          </cell>
        </row>
        <row r="119">
          <cell r="A119" t="str">
            <v>FORTALEZA</v>
          </cell>
          <cell r="C119" t="str">
            <v>PARQUE FLORA DAS CARNAÚBAS</v>
          </cell>
          <cell r="D119" t="str">
            <v>A3BD10C9-31A2-E411-B5D2-009C02B0CB58</v>
          </cell>
          <cell r="E119">
            <v>140</v>
          </cell>
        </row>
        <row r="120">
          <cell r="A120" t="str">
            <v>FORTALEZA</v>
          </cell>
          <cell r="C120" t="str">
            <v>PARQUE FLORENCE</v>
          </cell>
          <cell r="D120" t="str">
            <v>B3D7C565-071B-EC11-B501-005056856B6C</v>
          </cell>
          <cell r="E120">
            <v>204</v>
          </cell>
        </row>
        <row r="121">
          <cell r="A121" t="str">
            <v>SÃO PAULO</v>
          </cell>
          <cell r="C121" t="str">
            <v>RESIDENCIAL POENTE DOS SABIÁS</v>
          </cell>
          <cell r="D121" t="str">
            <v>50BE72E7-1678-E911-A7AC-80C16E075108</v>
          </cell>
          <cell r="E121">
            <v>240</v>
          </cell>
        </row>
        <row r="122">
          <cell r="A122" t="str">
            <v>BELO HORIZONTE</v>
          </cell>
          <cell r="C122" t="str">
            <v>SENSIA LUXEMBURGO</v>
          </cell>
          <cell r="D122" t="str">
            <v>5AAD4871-6C3F-ED11-B9A1-005056856875</v>
          </cell>
          <cell r="E122">
            <v>0</v>
          </cell>
        </row>
        <row r="123">
          <cell r="A123" t="str">
            <v>NATAL</v>
          </cell>
          <cell r="C123" t="str">
            <v>RESIDENCIAL PRAIA DO MADEIRO</v>
          </cell>
          <cell r="D123" t="str">
            <v>B670DD2B-D3DF-E911-A6A0-005056856875</v>
          </cell>
          <cell r="E123">
            <v>0</v>
          </cell>
        </row>
        <row r="124">
          <cell r="A124" t="str">
            <v>PALHOÇA</v>
          </cell>
          <cell r="C124" t="str">
            <v>FLORES DO CAMBIRELA</v>
          </cell>
          <cell r="D124" t="str">
            <v>DF36D268-04F7-EC11-B1AD-005056856875</v>
          </cell>
          <cell r="E124">
            <v>320</v>
          </cell>
        </row>
        <row r="125">
          <cell r="A125" t="str">
            <v>CURITIBA</v>
          </cell>
          <cell r="C125" t="str">
            <v>CHÂTEAU TRIANON</v>
          </cell>
          <cell r="D125" t="str">
            <v>0F474A53-4C19-EB11-9D23-005056856B6C</v>
          </cell>
          <cell r="E125">
            <v>96</v>
          </cell>
        </row>
        <row r="126">
          <cell r="A126" t="str">
            <v>SOROCABA</v>
          </cell>
          <cell r="C126" t="str">
            <v>RESIDENCIAL SAORI</v>
          </cell>
          <cell r="D126" t="str">
            <v>B17B58EB-41EB-EC11-BA45-005056890018</v>
          </cell>
          <cell r="E126">
            <v>416</v>
          </cell>
        </row>
        <row r="127">
          <cell r="A127" t="str">
            <v>MARÍLIA</v>
          </cell>
          <cell r="C127" t="str">
            <v>RESIDENCIAL MARANELLO</v>
          </cell>
          <cell r="D127" t="str">
            <v>C90652E6-A6CF-EC11-B1AD-005056856875</v>
          </cell>
          <cell r="E127">
            <v>0</v>
          </cell>
        </row>
        <row r="128">
          <cell r="A128" t="str">
            <v>JOINVILLE</v>
          </cell>
          <cell r="C128" t="str">
            <v>PARQUE JARDIM DI FRANKFURT</v>
          </cell>
          <cell r="D128" t="str">
            <v>9E862FCF-989B-E611-B1E9-009C02B0CB58</v>
          </cell>
          <cell r="E128">
            <v>300</v>
          </cell>
        </row>
        <row r="129">
          <cell r="A129" t="str">
            <v>PORTO ALEGRE</v>
          </cell>
          <cell r="C129" t="str">
            <v>RESIDENCIAL PORTO DOS SABIÁS</v>
          </cell>
          <cell r="D129">
            <v>0</v>
          </cell>
          <cell r="E129">
            <v>0</v>
          </cell>
        </row>
        <row r="130">
          <cell r="A130" t="str">
            <v>SÃO PAULO</v>
          </cell>
          <cell r="C130" t="str">
            <v>RESIDENCIAL NASCENTE DAS ARAUCÁRIAS</v>
          </cell>
          <cell r="D130" t="str">
            <v>1ED5BCD1-6D62-EB11-AA45-005056856875</v>
          </cell>
          <cell r="E130">
            <v>160</v>
          </cell>
        </row>
        <row r="131">
          <cell r="A131" t="str">
            <v>SOROCABA</v>
          </cell>
          <cell r="C131" t="str">
            <v>VALE DO SERENO_RESIDENCIAL MONTANHAS DO VALE</v>
          </cell>
          <cell r="D131" t="str">
            <v>44C53768-C4FA-E711-A541-009C02B0CB58</v>
          </cell>
          <cell r="E131">
            <v>320</v>
          </cell>
        </row>
        <row r="132">
          <cell r="A132" t="str">
            <v>FORTALEZA</v>
          </cell>
          <cell r="C132" t="str">
            <v>VILA FILOMENO</v>
          </cell>
          <cell r="D132" t="str">
            <v>506C8FDB-23F3-ED11-879A-80C16E075108</v>
          </cell>
          <cell r="E132">
            <v>0</v>
          </cell>
        </row>
        <row r="133">
          <cell r="A133" t="str">
            <v>FEIRA DE SANTANA</v>
          </cell>
          <cell r="C133" t="str">
            <v>TERRAZO REALEZA</v>
          </cell>
          <cell r="D133">
            <v>0</v>
          </cell>
          <cell r="E133">
            <v>0</v>
          </cell>
        </row>
        <row r="134">
          <cell r="A134" t="str">
            <v>BAURU</v>
          </cell>
          <cell r="C134" t="str">
            <v>INVICTUS RESIDENCIAL</v>
          </cell>
          <cell r="D134">
            <v>0</v>
          </cell>
          <cell r="E134">
            <v>0</v>
          </cell>
        </row>
        <row r="135">
          <cell r="A135" t="str">
            <v>SALVADOR</v>
          </cell>
          <cell r="C135" t="str">
            <v>PORT VILLE RESIDENCE</v>
          </cell>
          <cell r="D135" t="str">
            <v>BD49E792-3407-EC11-A30E-0050568A2E98</v>
          </cell>
          <cell r="E135">
            <v>408</v>
          </cell>
        </row>
        <row r="136">
          <cell r="A136" t="str">
            <v>CAMPINAS</v>
          </cell>
          <cell r="C136" t="str">
            <v>PARQUE DAS CORES_CORES DO MIRANTE</v>
          </cell>
          <cell r="D136" t="str">
            <v>B76427D4-6A67-E511-8826-80C16E075108</v>
          </cell>
          <cell r="E136">
            <v>312</v>
          </cell>
        </row>
        <row r="137">
          <cell r="A137" t="str">
            <v>BLUMENAU</v>
          </cell>
          <cell r="C137" t="str">
            <v>RESIDENCIAL BECKER</v>
          </cell>
          <cell r="D137" t="str">
            <v>01A696E1-6362-EB11-AA45-005056856875</v>
          </cell>
          <cell r="E137">
            <v>432</v>
          </cell>
        </row>
        <row r="138">
          <cell r="A138" t="str">
            <v>CARIACICA</v>
          </cell>
          <cell r="C138" t="str">
            <v>RESIDENCIAL VILA JADE</v>
          </cell>
          <cell r="D138" t="str">
            <v>EFAE2E7B-AE15-EE11-AE6A-009C02B0CB58</v>
          </cell>
          <cell r="E138">
            <v>200</v>
          </cell>
        </row>
        <row r="139">
          <cell r="A139" t="str">
            <v>SÃO PAULO</v>
          </cell>
          <cell r="C139" t="str">
            <v>RESIDENCIAL POENTE FLOR DE MAIO</v>
          </cell>
          <cell r="D139" t="str">
            <v>73C8CB6A-FD02-E911-B503-009C02B0CB58</v>
          </cell>
          <cell r="E139">
            <v>594</v>
          </cell>
        </row>
        <row r="140">
          <cell r="A140" t="str">
            <v>SÃO JOSÉ DO RIO PRETO</v>
          </cell>
          <cell r="C140" t="str">
            <v>RESIDENCIAL RIO ÁGATA</v>
          </cell>
          <cell r="D140" t="str">
            <v>E764231C-4542-E811-A00D-009C02B0CB58</v>
          </cell>
          <cell r="E140">
            <v>400</v>
          </cell>
        </row>
        <row r="141">
          <cell r="A141" t="str">
            <v>SALVADOR</v>
          </cell>
          <cell r="C141" t="str">
            <v>TORRES DI VILLA</v>
          </cell>
          <cell r="D141" t="str">
            <v>5EB42AB0-AB82-EB11-8864-0050568AA20F</v>
          </cell>
          <cell r="E141">
            <v>800</v>
          </cell>
        </row>
        <row r="142">
          <cell r="A142" t="str">
            <v>PORTO ALEGRE</v>
          </cell>
          <cell r="C142" t="str">
            <v>RESIDENCIAL PORTO BÁVARO</v>
          </cell>
          <cell r="D142" t="str">
            <v>50958086-D6D5-E711-B989-80C16E075108</v>
          </cell>
          <cell r="E142">
            <v>280</v>
          </cell>
        </row>
        <row r="143">
          <cell r="A143" t="str">
            <v>RIBEIRÃO PRETO</v>
          </cell>
          <cell r="C143" t="str">
            <v>RESIDENCIAL CANTO DAS ANDORINHAS</v>
          </cell>
          <cell r="D143" t="str">
            <v>05DF08FE-857B-EB11-8864-0050568AA20F</v>
          </cell>
          <cell r="E143">
            <v>352</v>
          </cell>
        </row>
        <row r="144">
          <cell r="A144" t="str">
            <v>UBERLÂNDIA</v>
          </cell>
          <cell r="C144" t="str">
            <v>RESERVA MADRI</v>
          </cell>
          <cell r="D144" t="str">
            <v>782E5F0C-56C8-EA11-BEEB-005056856875</v>
          </cell>
          <cell r="E144">
            <v>0</v>
          </cell>
        </row>
        <row r="145">
          <cell r="A145" t="str">
            <v>ARARAQUARA</v>
          </cell>
          <cell r="C145" t="str">
            <v>PARQUE ATLANTIS</v>
          </cell>
          <cell r="D145" t="str">
            <v>9BDA15FA-52FF-E611-AC8B-80C16E075108</v>
          </cell>
          <cell r="E145">
            <v>560</v>
          </cell>
        </row>
        <row r="146">
          <cell r="A146" t="str">
            <v>SOROCABA</v>
          </cell>
          <cell r="C146" t="str">
            <v>RESIDENCIAL LAGO DE DAVOS</v>
          </cell>
          <cell r="D146" t="str">
            <v>8406DCF1-C5AA-E711-8E92-009C02B0CB58</v>
          </cell>
          <cell r="E146">
            <v>432</v>
          </cell>
        </row>
        <row r="147">
          <cell r="A147" t="str">
            <v>NATAL</v>
          </cell>
          <cell r="C147" t="str">
            <v>DUNAS PARK</v>
          </cell>
          <cell r="D147" t="str">
            <v>D3809BAF-9E5F-ED11-9E0C-005056856875</v>
          </cell>
          <cell r="E147">
            <v>432</v>
          </cell>
        </row>
        <row r="148">
          <cell r="A148" t="str">
            <v>SÃO JOSÉ DOS CAMPOS</v>
          </cell>
          <cell r="C148" t="str">
            <v>CAMPO DE MARTIM</v>
          </cell>
          <cell r="D148" t="str">
            <v>A8DAB5A0-7FCD-ED11-879A-80C16E075108</v>
          </cell>
          <cell r="E148">
            <v>0</v>
          </cell>
        </row>
        <row r="149">
          <cell r="A149" t="str">
            <v>DUQUE DE CAXIAS</v>
          </cell>
          <cell r="C149" t="str">
            <v>RESIDENCIAL DANTE</v>
          </cell>
          <cell r="D149" t="str">
            <v>BD2E43BC-0244-E811-A00D-009C02B0CB58</v>
          </cell>
          <cell r="E149">
            <v>336</v>
          </cell>
        </row>
        <row r="150">
          <cell r="A150" t="str">
            <v>MARÍLIA</v>
          </cell>
          <cell r="C150" t="str">
            <v>RESIDENCIAL MIRANTE DOS VENTOS</v>
          </cell>
          <cell r="D150" t="str">
            <v>503EBFD1-8C3D-EC11-B501-005056856B6C</v>
          </cell>
          <cell r="E150">
            <v>384</v>
          </cell>
        </row>
        <row r="151">
          <cell r="A151" t="str">
            <v>GUARULHOS</v>
          </cell>
          <cell r="C151" t="str">
            <v>GRAN GARDEN</v>
          </cell>
          <cell r="D151" t="str">
            <v>C5836922-D8D8-EB11-930A-0050568AA20F</v>
          </cell>
          <cell r="E151">
            <v>0</v>
          </cell>
        </row>
        <row r="152">
          <cell r="A152" t="str">
            <v>ARARAQUARA</v>
          </cell>
          <cell r="C152" t="str">
            <v>RESIDENCIAL FLORA</v>
          </cell>
          <cell r="D152" t="str">
            <v>FFBA3C73-ED44-ED11-985B-009C02B0CB58</v>
          </cell>
          <cell r="E152">
            <v>320</v>
          </cell>
        </row>
        <row r="153">
          <cell r="A153" t="str">
            <v>CAMPINAS</v>
          </cell>
          <cell r="C153" t="str">
            <v>SENSIA CITY GALLERIA</v>
          </cell>
          <cell r="D153">
            <v>0</v>
          </cell>
          <cell r="E153">
            <v>0</v>
          </cell>
        </row>
        <row r="154">
          <cell r="A154" t="str">
            <v>MOGI DAS CRUZES</v>
          </cell>
          <cell r="C154" t="str">
            <v>RESIDENCIAL MATIELLO</v>
          </cell>
          <cell r="D154" t="str">
            <v>2F989A4F-D422-E811-9E99-009C02B0CB58</v>
          </cell>
          <cell r="E154">
            <v>0</v>
          </cell>
        </row>
        <row r="155">
          <cell r="A155" t="str">
            <v>SÃO PAULO</v>
          </cell>
          <cell r="C155" t="str">
            <v>RESIDENCIAL NASCENTE PICO DOS MARINS</v>
          </cell>
          <cell r="D155" t="str">
            <v>3E008CDB-6A62-EB11-AA45-005056856875</v>
          </cell>
          <cell r="E155">
            <v>320</v>
          </cell>
        </row>
        <row r="156">
          <cell r="A156" t="str">
            <v>BLUMENAU</v>
          </cell>
          <cell r="C156" t="str">
            <v>RESIDENCIAL SAN GEORGE</v>
          </cell>
          <cell r="D156" t="str">
            <v>DD4F953C-FFE8-EC11-B1AD-005056856875</v>
          </cell>
          <cell r="E156">
            <v>656</v>
          </cell>
        </row>
        <row r="157">
          <cell r="A157" t="str">
            <v>PALMAS</v>
          </cell>
          <cell r="C157" t="str">
            <v>RESIDENCIAL PALMA</v>
          </cell>
          <cell r="D157" t="str">
            <v>1885EEC3-905E-EC11-B501-005056856B6C</v>
          </cell>
          <cell r="E157">
            <v>320</v>
          </cell>
        </row>
        <row r="158">
          <cell r="A158" t="str">
            <v>FORTALEZA</v>
          </cell>
          <cell r="C158" t="str">
            <v>VISTA DA LAGOA</v>
          </cell>
          <cell r="D158" t="str">
            <v>2B9A3C1D-79D8-E811-A4F5-80C16E075108</v>
          </cell>
          <cell r="E158">
            <v>320</v>
          </cell>
        </row>
        <row r="159">
          <cell r="A159" t="str">
            <v>PIRACICABA</v>
          </cell>
          <cell r="C159" t="str">
            <v>RESIDENCIAL PIAZZA DI VIENA</v>
          </cell>
          <cell r="D159" t="str">
            <v>F8CA32ED-13A7-E911-A878-0050568AA20F</v>
          </cell>
          <cell r="E159">
            <v>480</v>
          </cell>
        </row>
        <row r="160">
          <cell r="A160" t="str">
            <v>SALVADOR</v>
          </cell>
          <cell r="C160" t="str">
            <v>RESIDENCIAL BELLIS</v>
          </cell>
          <cell r="D160" t="str">
            <v>3B90E9ED-4910-EE11-9510-005056856875</v>
          </cell>
          <cell r="E160">
            <v>0</v>
          </cell>
        </row>
        <row r="161">
          <cell r="A161" t="str">
            <v>MANAUS</v>
          </cell>
          <cell r="C161" t="str">
            <v>MIRANTE DOS SABIÁS</v>
          </cell>
          <cell r="D161" t="str">
            <v>5563F937-5C47-EA11-801D-005056856875</v>
          </cell>
          <cell r="E161">
            <v>0</v>
          </cell>
        </row>
        <row r="162">
          <cell r="A162" t="str">
            <v>SERRA</v>
          </cell>
          <cell r="C162" t="str">
            <v>VILA_SERRANA</v>
          </cell>
          <cell r="D162" t="str">
            <v>26F7B9DB-5017-ED11-BA45-005056890018</v>
          </cell>
          <cell r="E162">
            <v>512</v>
          </cell>
        </row>
        <row r="163">
          <cell r="A163" t="str">
            <v>SÃO LEOPOLDO</v>
          </cell>
          <cell r="C163" t="str">
            <v>PORTO COLÔNIA</v>
          </cell>
          <cell r="D163" t="str">
            <v>04501323-ADF2-EE11-9E4D-009C02B0CB58</v>
          </cell>
          <cell r="E163">
            <v>480</v>
          </cell>
        </row>
        <row r="164">
          <cell r="A164" t="str">
            <v>FORTALEZA</v>
          </cell>
          <cell r="C164" t="str">
            <v>RESIDENCIAL FORTITUDINE</v>
          </cell>
          <cell r="D164" t="str">
            <v>F006C008-257A-EC11-A871-005056895191</v>
          </cell>
          <cell r="E164">
            <v>384</v>
          </cell>
        </row>
        <row r="165">
          <cell r="A165" t="str">
            <v>CAUCAIA</v>
          </cell>
          <cell r="C165" t="str">
            <v>VILLE DE LISBOA</v>
          </cell>
          <cell r="D165" t="str">
            <v>8D67F122-685D-EE11-8ACD-80C16E075108</v>
          </cell>
          <cell r="E165">
            <v>300</v>
          </cell>
        </row>
        <row r="166">
          <cell r="A166" t="str">
            <v>TERESINA</v>
          </cell>
          <cell r="C166" t="str">
            <v>PARQUE DAS ESMERALDAS</v>
          </cell>
          <cell r="D166" t="str">
            <v>A4AA1A83-1AC3-EB11-BA93-005056856875</v>
          </cell>
          <cell r="E166">
            <v>0</v>
          </cell>
        </row>
        <row r="167">
          <cell r="A167" t="str">
            <v>CAMAÇARI</v>
          </cell>
          <cell r="C167" t="str">
            <v>RESIDENCIAL DUNAS DE ABRANTES</v>
          </cell>
          <cell r="D167" t="str">
            <v>2E33479A-FDC0-EE11-A95E-005056856875</v>
          </cell>
          <cell r="E167">
            <v>0</v>
          </cell>
        </row>
        <row r="168">
          <cell r="A168" t="str">
            <v>UBERLÂNDIA</v>
          </cell>
          <cell r="C168" t="str">
            <v>RESIDENCIAL TRILHAS DA MATA</v>
          </cell>
          <cell r="D168" t="str">
            <v>7EA92C4F-746F-EE11-9832-005056856875</v>
          </cell>
          <cell r="E168">
            <v>0</v>
          </cell>
        </row>
        <row r="169">
          <cell r="A169" t="str">
            <v>BRASÍLIA</v>
          </cell>
          <cell r="C169" t="str">
            <v>TORRES DOS TOPÁZIOS</v>
          </cell>
          <cell r="D169" t="str">
            <v>31AFB7BB-9940-EC11-B2FE-005056895191</v>
          </cell>
          <cell r="E169">
            <v>288</v>
          </cell>
        </row>
        <row r="170">
          <cell r="A170" t="str">
            <v>RIO DE JANEIRO</v>
          </cell>
          <cell r="C170" t="str">
            <v>VISTAPARK CAMPO GRANDE</v>
          </cell>
          <cell r="D170" t="str">
            <v>A7632651-02E5-ED11-879A-80C16E075108</v>
          </cell>
          <cell r="E170">
            <v>0</v>
          </cell>
        </row>
        <row r="171">
          <cell r="A171" t="str">
            <v>MANAUS</v>
          </cell>
          <cell r="C171" t="str">
            <v>VISTA DAS LARANJEIRAS</v>
          </cell>
          <cell r="D171" t="str">
            <v>48715CAE-623C-EE11-8ACD-80C16E075108</v>
          </cell>
          <cell r="E171">
            <v>0</v>
          </cell>
        </row>
        <row r="172">
          <cell r="A172" t="str">
            <v>NITERÓI</v>
          </cell>
          <cell r="C172" t="str">
            <v>BRISA DA SERRA</v>
          </cell>
          <cell r="D172" t="str">
            <v>EB895832-0A76-EB11-8864-0050568AA20F</v>
          </cell>
          <cell r="E172">
            <v>0</v>
          </cell>
        </row>
        <row r="173">
          <cell r="A173" t="str">
            <v>FORTALEZA</v>
          </cell>
          <cell r="C173" t="str">
            <v>RESIDENCIAL PARQUE DAS ARARAS</v>
          </cell>
          <cell r="D173" t="str">
            <v>946341F9-B862-DF11-9F9A-001F2909E810</v>
          </cell>
          <cell r="E173">
            <v>1</v>
          </cell>
        </row>
        <row r="174">
          <cell r="A174" t="str">
            <v>MARINGÁ</v>
          </cell>
          <cell r="C174" t="str">
            <v>RESIDENCIAL MALDIVAS</v>
          </cell>
          <cell r="D174" t="str">
            <v>672B4286-B168-EC11-A871-005056895191</v>
          </cell>
          <cell r="E174">
            <v>624</v>
          </cell>
        </row>
        <row r="175">
          <cell r="A175" t="str">
            <v>PALMAS</v>
          </cell>
          <cell r="C175" t="str">
            <v>RESIDENCIAL PARANÃ</v>
          </cell>
          <cell r="D175" t="str">
            <v>EF12F12A-905E-EC11-B501-005056856B6C</v>
          </cell>
          <cell r="E175">
            <v>0</v>
          </cell>
        </row>
        <row r="176">
          <cell r="A176" t="str">
            <v>BLUMENAU</v>
          </cell>
          <cell r="C176" t="str">
            <v>RESIDENCIAL BENDORF</v>
          </cell>
          <cell r="D176" t="str">
            <v>4E90C6B0-6855-E811-8D3F-80C16E075108</v>
          </cell>
          <cell r="E176">
            <v>208</v>
          </cell>
        </row>
        <row r="177">
          <cell r="A177" t="str">
            <v>RIBEIRÃO DAS NEVES</v>
          </cell>
          <cell r="C177" t="str">
            <v>PROVÍNCIAS DE PORTUGAL - COIMBRA</v>
          </cell>
          <cell r="D177" t="str">
            <v>0CBEBD53-DABD-E911-A2E9-0050568AA20F</v>
          </cell>
          <cell r="E177">
            <v>64</v>
          </cell>
        </row>
        <row r="178">
          <cell r="A178" t="str">
            <v>RIBEIRÃO DAS NEVES</v>
          </cell>
          <cell r="C178" t="str">
            <v>PROVÍNCIAS DE PORTUGAL - LISBOA</v>
          </cell>
          <cell r="D178" t="str">
            <v>62549C00-DFBD-E911-A2E9-0050568AA20F</v>
          </cell>
          <cell r="E178">
            <v>496</v>
          </cell>
        </row>
        <row r="179">
          <cell r="A179" t="str">
            <v>MANAUS</v>
          </cell>
          <cell r="C179" t="str">
            <v>VISTA DOS ROUXINÓIS</v>
          </cell>
          <cell r="D179" t="str">
            <v>4DEB21E9-EA81-EF11-B65C-009C02B0CB58</v>
          </cell>
          <cell r="E179">
            <v>0</v>
          </cell>
        </row>
        <row r="180">
          <cell r="A180" t="str">
            <v>SÃO PAULO</v>
          </cell>
          <cell r="C180" t="str">
            <v>SPAZIO SAN LAZZARO</v>
          </cell>
          <cell r="D180" t="str">
            <v>98fe6408-b6ce-dc11-9ed6-001b7845b4a6</v>
          </cell>
          <cell r="E180">
            <v>72</v>
          </cell>
        </row>
        <row r="181">
          <cell r="A181" t="str">
            <v>PALMAS</v>
          </cell>
          <cell r="C181" t="str">
            <v>RESERVA DOS GIRASSÓIS - TO</v>
          </cell>
          <cell r="D181" t="str">
            <v>8dbef4fb-e590-ed11-9e0c-00505685534b</v>
          </cell>
          <cell r="E181">
            <v>560</v>
          </cell>
        </row>
        <row r="182">
          <cell r="A182" t="str">
            <v>JOÃO PESSOA</v>
          </cell>
          <cell r="C182" t="str">
            <v>ALTIPLANO VILLAGE/SENSIA ALTIPLANO</v>
          </cell>
          <cell r="D182" t="str">
            <v>49f66dc0-17b9-e911-a3f3-005056856b6c</v>
          </cell>
          <cell r="E182">
            <v>480</v>
          </cell>
        </row>
        <row r="183">
          <cell r="A183" t="str">
            <v>GOIÂNIA</v>
          </cell>
          <cell r="C183" t="str">
            <v>GRAN LUNA E GRAN AURORA</v>
          </cell>
          <cell r="D183" t="str">
            <v>5b5782c1-e5e0-eb11-930a-0050568aa20f</v>
          </cell>
          <cell r="E183">
            <v>384</v>
          </cell>
        </row>
        <row r="184">
          <cell r="A184" t="str">
            <v>CAMPINAS</v>
          </cell>
          <cell r="C184" t="str">
            <v>PARQUE DAS CORES_CORES DO POENTE</v>
          </cell>
          <cell r="D184" t="str">
            <v>1671bb03-7767-e511-8826-80c16e075108</v>
          </cell>
          <cell r="E184">
            <v>280</v>
          </cell>
        </row>
        <row r="185">
          <cell r="A185" t="str">
            <v>SOROCABA</v>
          </cell>
          <cell r="C185" t="str">
            <v>VALE DO SERENO_RESIDENCIAL VEREDAS</v>
          </cell>
          <cell r="D185" t="str">
            <v>087b242e-c3fa-e711-a541-009c02b0cb58</v>
          </cell>
          <cell r="E185">
            <v>368</v>
          </cell>
        </row>
        <row r="186">
          <cell r="A186" t="str">
            <v>PORTO ALEGRE</v>
          </cell>
          <cell r="C186" t="str">
            <v>RESIDENCIAL PORTO DAS ARARAS</v>
          </cell>
          <cell r="D186" t="str">
            <v>ba76ca74-11e7-e711-b989-80c16e075108</v>
          </cell>
          <cell r="E186">
            <v>160</v>
          </cell>
        </row>
        <row r="187">
          <cell r="A187" t="str">
            <v>JOINVILLE</v>
          </cell>
          <cell r="C187" t="str">
            <v>RESIDENCIAL JARDIM DI TURIM</v>
          </cell>
          <cell r="D187" t="str">
            <v>2aabc7ce-439c-ea11-88c0-0050568aa20f</v>
          </cell>
          <cell r="E187">
            <v>176</v>
          </cell>
        </row>
        <row r="188">
          <cell r="A188" t="str">
            <v>SALVADOR</v>
          </cell>
          <cell r="C188" t="str">
            <v>COLINA IMPERIAL_SPAZIO REALEZA</v>
          </cell>
          <cell r="D188" t="str">
            <v>7fc315a9-4e7e-e911-aaf3-009c02b0cb58</v>
          </cell>
          <cell r="E188">
            <v>352</v>
          </cell>
        </row>
        <row r="189">
          <cell r="A189" t="str">
            <v>CAMPINAS</v>
          </cell>
          <cell r="C189" t="str">
            <v>RESIDENCIAL CAPRI VILLAGE</v>
          </cell>
          <cell r="D189" t="str">
            <v>0c6c4d28-cef2-ea11-beeb-005056856875</v>
          </cell>
          <cell r="E189">
            <v>192</v>
          </cell>
        </row>
        <row r="190">
          <cell r="A190" t="str">
            <v>PORTO ALEGRE</v>
          </cell>
          <cell r="C190" t="str">
            <v>RESIDENCIAL PORTO CAMBARÁ</v>
          </cell>
          <cell r="D190" t="str">
            <v>fa7ff5f3-8243-e611-a5bb-009c02b0cb58</v>
          </cell>
          <cell r="E190">
            <v>240</v>
          </cell>
        </row>
        <row r="191">
          <cell r="A191" t="str">
            <v>SERRA</v>
          </cell>
          <cell r="C191" t="str">
            <v>PARQUE VILA DE MANGUINHOS</v>
          </cell>
          <cell r="D191" t="str">
            <v>b4a9823c-6eb1-e611-abb6-80c16e075108</v>
          </cell>
          <cell r="E191">
            <v>96</v>
          </cell>
        </row>
        <row r="192">
          <cell r="A192" t="str">
            <v>SALVADOR</v>
          </cell>
          <cell r="C192" t="str">
            <v>COLINA IMPERIAL_PARQUE DOS DUQUES</v>
          </cell>
          <cell r="D192" t="str">
            <v>df91df71-690c-e611-a5bb-009c02b0cb58</v>
          </cell>
          <cell r="E192">
            <v>480</v>
          </cell>
        </row>
        <row r="193">
          <cell r="A193" t="str">
            <v>LONDRINA</v>
          </cell>
          <cell r="C193" t="str">
            <v>RESIDENCIAL LA VIENA</v>
          </cell>
          <cell r="D193" t="str">
            <v>f7997fe7-f00e-eb11-ac18-005056856875</v>
          </cell>
          <cell r="E193">
            <v>152</v>
          </cell>
        </row>
        <row r="194">
          <cell r="A194" t="str">
            <v>MACEIÓ</v>
          </cell>
          <cell r="C194" t="str">
            <v>RESERVA DO MIRANTE_PARQUE MIRANTE DO SOL</v>
          </cell>
          <cell r="D194" t="str">
            <v>d39942b6-3c13-e411-8efb-009c02b0cb58</v>
          </cell>
          <cell r="E194">
            <v>324</v>
          </cell>
        </row>
        <row r="195">
          <cell r="A195" t="str">
            <v>LONDRINA</v>
          </cell>
          <cell r="C195" t="str">
            <v>RESIDENCIAL LAKE DA VINCI</v>
          </cell>
          <cell r="D195" t="str">
            <v>1fb9e727-57de-ea11-88c0-0050568aa20f</v>
          </cell>
          <cell r="E195">
            <v>96</v>
          </cell>
        </row>
        <row r="196">
          <cell r="A196" t="str">
            <v>LONDRINA</v>
          </cell>
          <cell r="C196" t="str">
            <v>RESIDENCIAL LAKE PORTINARI</v>
          </cell>
          <cell r="D196" t="str">
            <v>c066d1ce-55de-ea11-88c0-0050568aa20f</v>
          </cell>
          <cell r="E196">
            <v>288</v>
          </cell>
        </row>
        <row r="197">
          <cell r="A197" t="str">
            <v>BIGUAÇU</v>
          </cell>
          <cell r="C197" t="str">
            <v>RESIDENCIAL FLORES DO PORTO</v>
          </cell>
          <cell r="D197" t="str">
            <v>e80b55a6-225c-eb11-ac7f-005056856875</v>
          </cell>
          <cell r="E197">
            <v>640</v>
          </cell>
        </row>
        <row r="198">
          <cell r="A198" t="str">
            <v>CAMPO GRANDE</v>
          </cell>
          <cell r="C198" t="str">
            <v>PARQUE CANTO DOS ROUXINÓIS</v>
          </cell>
          <cell r="D198" t="str">
            <v>55dadae1-00ee-e611-abb6-80c16e075108</v>
          </cell>
          <cell r="E198">
            <v>352</v>
          </cell>
        </row>
        <row r="199">
          <cell r="A199" t="str">
            <v>SÃO PAULO</v>
          </cell>
          <cell r="C199" t="str">
            <v>SAN MARTINELLI</v>
          </cell>
          <cell r="D199" t="str">
            <v>5e7fbc4e-4628-ec11-b2fe-005056895191</v>
          </cell>
          <cell r="E199">
            <v>210</v>
          </cell>
        </row>
        <row r="200">
          <cell r="A200" t="str">
            <v>ARAUCÁRIA</v>
          </cell>
          <cell r="C200" t="str">
            <v>RESIDENCIAL CAMEMBERT</v>
          </cell>
          <cell r="D200" t="str">
            <v>1e5fb8ed-1ab8-eb11-9465-0050568aa20f</v>
          </cell>
          <cell r="E200">
            <v>256</v>
          </cell>
        </row>
        <row r="201">
          <cell r="A201" t="str">
            <v>UBERLÂNDIA</v>
          </cell>
          <cell r="C201" t="str">
            <v>RESIDENCIAL TRILHAS DO GÁVEA</v>
          </cell>
          <cell r="D201" t="str">
            <v>0d0a877a-c553-e811-8d3f-80c16e075108</v>
          </cell>
          <cell r="E201">
            <v>384</v>
          </cell>
        </row>
        <row r="202">
          <cell r="A202" t="str">
            <v>SERRA</v>
          </cell>
          <cell r="C202" t="str">
            <v>CONDOMÍNIO RESIDENCIAL PARQUE VIVA LA SERRA</v>
          </cell>
          <cell r="D202" t="str">
            <v>97fccbe2-96b5-e711-a541-009c02b0cb58</v>
          </cell>
          <cell r="E202">
            <v>144</v>
          </cell>
        </row>
        <row r="203">
          <cell r="A203" t="str">
            <v>CATANDUVA</v>
          </cell>
          <cell r="C203" t="str">
            <v>RESIDENCIAL CASA DE ATENAS</v>
          </cell>
          <cell r="D203" t="str">
            <v>d082aa5a-9936-e911-b8f1-009c02b0cb58</v>
          </cell>
          <cell r="E203">
            <v>176</v>
          </cell>
        </row>
        <row r="204">
          <cell r="A204" t="str">
            <v>BELO HORIZONTE</v>
          </cell>
          <cell r="C204" t="str">
            <v>RESIDENCIAL MILIONÁRIOS</v>
          </cell>
          <cell r="D204" t="str">
            <v>d6a7e56f-3367-eb11-8864-0050568aa20f</v>
          </cell>
          <cell r="E204">
            <v>200</v>
          </cell>
        </row>
        <row r="205">
          <cell r="A205" t="str">
            <v>BLUMENAU</v>
          </cell>
          <cell r="C205" t="str">
            <v>RESIDENCIAL TORRES DE BRISTOL</v>
          </cell>
          <cell r="D205" t="str">
            <v>986da885-a742-ea11-801d-005056856875</v>
          </cell>
          <cell r="E205">
            <v>192</v>
          </cell>
        </row>
        <row r="206">
          <cell r="A206" t="str">
            <v>CAMPINAS</v>
          </cell>
          <cell r="C206" t="str">
            <v>VILLAGIO GARDEN</v>
          </cell>
          <cell r="D206" t="str">
            <v>6115a868-1e0f-e711-ac8b-80c16e075108</v>
          </cell>
          <cell r="E206">
            <v>488</v>
          </cell>
        </row>
        <row r="207">
          <cell r="A207" t="str">
            <v>CAMPO GRANDE</v>
          </cell>
          <cell r="C207" t="str">
            <v>RESIDENCIAL DE AREZZO</v>
          </cell>
          <cell r="D207" t="str">
            <v>631a7724-a6bb-e611-abb6-80c16e075108</v>
          </cell>
          <cell r="E207">
            <v>280</v>
          </cell>
        </row>
        <row r="208">
          <cell r="A208" t="str">
            <v>CAMPO GRANDE</v>
          </cell>
          <cell r="C208" t="str">
            <v>RESIDENCIAL DE PISA</v>
          </cell>
          <cell r="D208" t="str">
            <v>24984827-a7bb-e611-abb6-80c16e075108</v>
          </cell>
          <cell r="E208">
            <v>80</v>
          </cell>
        </row>
        <row r="209">
          <cell r="A209" t="str">
            <v>CAMPOS DOS GOYTACAZES</v>
          </cell>
          <cell r="C209" t="str">
            <v>PARQUE JARDIM DOS JATOBÁS</v>
          </cell>
          <cell r="D209" t="str">
            <v>64ee0da3-09ab-e411-b5d2-009c02b0cb58</v>
          </cell>
          <cell r="E209">
            <v>260</v>
          </cell>
        </row>
        <row r="210">
          <cell r="A210" t="str">
            <v>CUIABÁ</v>
          </cell>
          <cell r="C210" t="str">
            <v>CHAPADA DOS BEM TE VIS</v>
          </cell>
          <cell r="D210" t="str">
            <v>1d60a2ff-78ea-e411-9dc0-80c16e075108</v>
          </cell>
          <cell r="E210">
            <v>472</v>
          </cell>
        </row>
        <row r="211">
          <cell r="A211" t="str">
            <v>CURITIBA</v>
          </cell>
          <cell r="C211" t="str">
            <v>RESIDENCIAL CARMINATTI</v>
          </cell>
          <cell r="D211" t="str">
            <v>10c593c7-e660-eb11-aa45-005056856875</v>
          </cell>
          <cell r="E211">
            <v>240</v>
          </cell>
        </row>
        <row r="212">
          <cell r="A212" t="str">
            <v>CURITIBA</v>
          </cell>
          <cell r="C212" t="str">
            <v>RESIDENCIAL CORES DE OUTONO</v>
          </cell>
          <cell r="D212" t="str">
            <v>db9f656b-0354-ea11-b686-005056856875</v>
          </cell>
          <cell r="E212">
            <v>640</v>
          </cell>
        </row>
        <row r="213">
          <cell r="A213" t="str">
            <v>FORTALEZA</v>
          </cell>
          <cell r="C213" t="str">
            <v>RESIDENCIAL JARDIM DAS FLORES</v>
          </cell>
          <cell r="D213" t="str">
            <v>6c4c8a68-e118-ed11-ba45-005056890018</v>
          </cell>
          <cell r="E213">
            <v>200</v>
          </cell>
        </row>
        <row r="214">
          <cell r="A214" t="str">
            <v>FORTALEZA</v>
          </cell>
          <cell r="C214" t="str">
            <v>TORRE SOLARE</v>
          </cell>
          <cell r="D214" t="str">
            <v>634f162c-3154-eb11-85d0-005056856875</v>
          </cell>
          <cell r="E214">
            <v>204</v>
          </cell>
        </row>
        <row r="215">
          <cell r="A215" t="str">
            <v>ITAQUAQUECETUBA</v>
          </cell>
          <cell r="C215" t="str">
            <v>MIRANTE DO CAMPO</v>
          </cell>
          <cell r="D215" t="str">
            <v>e0a882c5-67cf-eb11-ba93-005056856875</v>
          </cell>
          <cell r="E215">
            <v>240</v>
          </cell>
        </row>
        <row r="216">
          <cell r="A216" t="str">
            <v>JOINVILLE</v>
          </cell>
          <cell r="C216" t="str">
            <v>RESIDENCIAL JARDIM AREZZO</v>
          </cell>
          <cell r="D216" t="str">
            <v>37193803-c9f8-e811-b773-80c16e075108</v>
          </cell>
          <cell r="E216">
            <v>504</v>
          </cell>
        </row>
        <row r="217">
          <cell r="A217" t="str">
            <v>LIMEIRA</v>
          </cell>
          <cell r="C217" t="str">
            <v>RESIDENCIAL LUZ DO CAMPO</v>
          </cell>
          <cell r="D217" t="str">
            <v>e7d5cf23-3585-eb11-8864-0050568aa20f</v>
          </cell>
          <cell r="E217">
            <v>500</v>
          </cell>
        </row>
        <row r="218">
          <cell r="A218" t="str">
            <v>LONDRINA</v>
          </cell>
          <cell r="C218" t="str">
            <v>RESIDENCIAL LITUÂNIA</v>
          </cell>
          <cell r="D218" t="str">
            <v>627ea7ff-caba-e911-a2e9-0050568aa20f</v>
          </cell>
          <cell r="E218">
            <v>448</v>
          </cell>
        </row>
        <row r="219">
          <cell r="A219" t="str">
            <v>LONDRINA</v>
          </cell>
          <cell r="C219" t="str">
            <v>RESIDENCIAL LAKE VAN GOGH</v>
          </cell>
          <cell r="D219" t="str">
            <v>84de8e39-55de-ea11-88c0-0050568aa20f</v>
          </cell>
          <cell r="E219">
            <v>240</v>
          </cell>
        </row>
        <row r="220">
          <cell r="A220" t="str">
            <v>MACEIÓ</v>
          </cell>
          <cell r="C220" t="str">
            <v>RESERVA DO MIRANTE_PARQUE MIRANTE DAS ESTRELAS</v>
          </cell>
          <cell r="D220" t="str">
            <v>76ebe098-5913-e411-8efb-009c02b0cb58</v>
          </cell>
          <cell r="E220">
            <v>180</v>
          </cell>
        </row>
        <row r="221">
          <cell r="A221" t="str">
            <v>NOVA IGUAÇU</v>
          </cell>
          <cell r="C221" t="str">
            <v>RESIDENCIAL MORADA DA COLINA</v>
          </cell>
          <cell r="D221" t="str">
            <v>4605c6aa-f74f-e911-810a-80c16e075108</v>
          </cell>
          <cell r="E221">
            <v>480</v>
          </cell>
        </row>
        <row r="222">
          <cell r="A222" t="str">
            <v>PORTO ALEGRE</v>
          </cell>
          <cell r="C222" t="str">
            <v>PARQUE PORTO BOA VISTA</v>
          </cell>
          <cell r="D222" t="str">
            <v>64b63271-2f8d-e411-b5d2-009c02b0cb58</v>
          </cell>
          <cell r="E222">
            <v>672</v>
          </cell>
        </row>
        <row r="223">
          <cell r="A223" t="str">
            <v>PORTO ALEGRE</v>
          </cell>
          <cell r="C223" t="str">
            <v>RESIDENCIAL PORTO AURORA</v>
          </cell>
          <cell r="D223" t="str">
            <v>45cc215c-c191-e911-b807-005056856875</v>
          </cell>
          <cell r="E223">
            <v>300</v>
          </cell>
        </row>
        <row r="224">
          <cell r="A224" t="str">
            <v>RIBEIRÃO DAS NEVES</v>
          </cell>
          <cell r="C224" t="str">
            <v>RESIDENCIAL PROVÍNCIA DE ARAGÃO</v>
          </cell>
          <cell r="D224" t="str">
            <v>cb2f1b88-44d5-e711-a541-009c02b0cb58</v>
          </cell>
          <cell r="E224">
            <v>244</v>
          </cell>
        </row>
        <row r="225">
          <cell r="A225" t="str">
            <v>RIBEIRÃO PRETO</v>
          </cell>
          <cell r="C225" t="str">
            <v>RESIDENCIAL RAVENNA</v>
          </cell>
          <cell r="D225" t="str">
            <v>53048677-9723-e811-bcac-80c16e075108</v>
          </cell>
          <cell r="E225">
            <v>340</v>
          </cell>
        </row>
        <row r="226">
          <cell r="A226" t="str">
            <v>SANTO ANDRÉ</v>
          </cell>
          <cell r="C226" t="str">
            <v>RESIDENCIAL SAN MARINO</v>
          </cell>
          <cell r="D226" t="str">
            <v>06c8cb86-c6ee-ea11-beeb-005056856875</v>
          </cell>
          <cell r="E226">
            <v>400</v>
          </cell>
        </row>
        <row r="227">
          <cell r="A227" t="str">
            <v>SÃO JOSÉ DO RIO PRETO</v>
          </cell>
          <cell r="C227" t="str">
            <v>PARQUE RIO LIRI</v>
          </cell>
          <cell r="D227" t="str">
            <v>354d0e61-cbd5-e711-b989-80c16e075108</v>
          </cell>
          <cell r="E227">
            <v>376</v>
          </cell>
        </row>
        <row r="228">
          <cell r="A228" t="str">
            <v>SÃO JOSÉ DOS CAMPOS</v>
          </cell>
          <cell r="C228" t="str">
            <v>RESIDENCIAL CAMPO DI MILANI</v>
          </cell>
          <cell r="D228" t="str">
            <v>069c1f06-3c1f-e911-b503-009c02b0cb58</v>
          </cell>
          <cell r="E228">
            <v>240</v>
          </cell>
        </row>
        <row r="229">
          <cell r="A229" t="str">
            <v>SÃO PAULO</v>
          </cell>
          <cell r="C229" t="str">
            <v>SAINT SIMON</v>
          </cell>
          <cell r="D229" t="str">
            <v>61cc3d57-c571-e911-94a1-80c16e075108</v>
          </cell>
          <cell r="E229">
            <v>424</v>
          </cell>
        </row>
        <row r="230">
          <cell r="A230" t="str">
            <v>SERRA</v>
          </cell>
          <cell r="C230" t="str">
            <v>VIVA LAGUNA</v>
          </cell>
          <cell r="D230" t="str">
            <v>12c370ac-9e1b-e711-b3b8-009c02b0cb58</v>
          </cell>
          <cell r="E230">
            <v>520</v>
          </cell>
        </row>
        <row r="231">
          <cell r="A231" t="str">
            <v>ARARAQUARA</v>
          </cell>
          <cell r="C231" t="str">
            <v>RESIDENCIAL AMISTAD</v>
          </cell>
          <cell r="D231" t="str">
            <v>d1468e84-63d8-e811-a4f5-80c16e075108</v>
          </cell>
          <cell r="E231">
            <v>372</v>
          </cell>
        </row>
        <row r="232">
          <cell r="A232" t="str">
            <v>BELO HORIZONTE</v>
          </cell>
          <cell r="C232" t="str">
            <v>PLAZA CARTAGENA</v>
          </cell>
          <cell r="D232" t="str">
            <v>59bee759-c065-e811-8d3f-80c16e075108</v>
          </cell>
          <cell r="E232">
            <v>224</v>
          </cell>
        </row>
        <row r="233">
          <cell r="A233" t="str">
            <v>BOTUCATU</v>
          </cell>
          <cell r="C233" t="str">
            <v>BARÃO DA SERRA</v>
          </cell>
          <cell r="D233" t="str">
            <v>c9f77587-392d-e811-a00d-009c02b0cb58</v>
          </cell>
          <cell r="E233">
            <v>192</v>
          </cell>
        </row>
        <row r="234">
          <cell r="A234" t="str">
            <v>BRASÍLIA</v>
          </cell>
          <cell r="C234" t="str">
            <v>BELO VIVER</v>
          </cell>
          <cell r="D234" t="str">
            <v>7db45459-6f7c-e711-9b04-005056856b6c</v>
          </cell>
          <cell r="E234">
            <v>312</v>
          </cell>
        </row>
        <row r="235">
          <cell r="A235" t="str">
            <v>CAMPINAS</v>
          </cell>
          <cell r="C235" t="str">
            <v>IMPERIAL GARDEN</v>
          </cell>
          <cell r="D235" t="str">
            <v>ae6d9e04-1f0f-e711-ac8b-80c16e075108</v>
          </cell>
          <cell r="E235">
            <v>272</v>
          </cell>
        </row>
        <row r="236">
          <cell r="A236" t="str">
            <v>CAMPO GRANDE</v>
          </cell>
          <cell r="C236" t="str">
            <v>PARQUE CASTELO DE LUXEMBURGO</v>
          </cell>
          <cell r="D236" t="str">
            <v>c66448be-c910-df11-83ff-001f2909e810</v>
          </cell>
          <cell r="E236">
            <v>832</v>
          </cell>
        </row>
        <row r="237">
          <cell r="A237" t="str">
            <v>CAMPO GRANDE</v>
          </cell>
          <cell r="C237" t="str">
            <v>CIUDAD DE VIGO</v>
          </cell>
          <cell r="D237" t="str">
            <v>6464bdb8-ab88-dd11-8a4f-001b78b9d994</v>
          </cell>
          <cell r="E237">
            <v>704</v>
          </cell>
        </row>
        <row r="238">
          <cell r="A238" t="str">
            <v>CAMPO GRANDE</v>
          </cell>
          <cell r="C238" t="str">
            <v>SPAZIO COLINA DOS IPÊS</v>
          </cell>
          <cell r="D238" t="str">
            <v>570d42b9-dda0-e111-8ebd-001f2909e810</v>
          </cell>
          <cell r="E238">
            <v>96</v>
          </cell>
        </row>
        <row r="239">
          <cell r="A239" t="str">
            <v>CAMPO GRANDE</v>
          </cell>
          <cell r="C239" t="str">
            <v>PARQUE CASTELO SAN MARINO</v>
          </cell>
          <cell r="D239" t="str">
            <v>80512c99-c126-df11-b3ab-001f2909e810</v>
          </cell>
          <cell r="E239">
            <v>720</v>
          </cell>
        </row>
        <row r="240">
          <cell r="A240" t="str">
            <v>CAMPOS DOS GOYTACAZES</v>
          </cell>
          <cell r="C240" t="str">
            <v>RESERVA DAS ILHAS_PARQUE MARAJÓ</v>
          </cell>
          <cell r="D240" t="str">
            <v>85f2bd8b-8fba-e311-8efb-009c02b0cb58</v>
          </cell>
          <cell r="E240">
            <v>356</v>
          </cell>
        </row>
        <row r="241">
          <cell r="A241" t="str">
            <v>CARUARU</v>
          </cell>
          <cell r="C241" t="str">
            <v>CIDADE JARDIM COND. CLUBE_PARQUE JARDIM DOS IPÊS</v>
          </cell>
          <cell r="D241" t="str">
            <v>f2b3689d-2edd-df11-b242-001f2909e810</v>
          </cell>
          <cell r="E241">
            <v>368</v>
          </cell>
        </row>
        <row r="242">
          <cell r="A242" t="str">
            <v>CARUARU</v>
          </cell>
          <cell r="C242" t="str">
            <v>CAMINHO DAS BROMÉLIAS</v>
          </cell>
          <cell r="D242" t="str">
            <v>ce4eb405-66d3-ea11-beeb-005056856875</v>
          </cell>
          <cell r="E242">
            <v>240</v>
          </cell>
        </row>
        <row r="243">
          <cell r="A243" t="str">
            <v>CUIABÁ</v>
          </cell>
          <cell r="C243" t="str">
            <v>CHAPADA CESARI</v>
          </cell>
          <cell r="D243" t="str">
            <v>f38b9749-984f-e811-8ce7-80c16e075108</v>
          </cell>
          <cell r="E243">
            <v>272</v>
          </cell>
        </row>
        <row r="244">
          <cell r="A244" t="str">
            <v>CURITIBA</v>
          </cell>
          <cell r="C244" t="str">
            <v>RESIDENCIAL CORES DA PRIMAVERA</v>
          </cell>
          <cell r="D244" t="str">
            <v>6395d314-556f-ea11-8b90-0050568aa20f</v>
          </cell>
          <cell r="E244">
            <v>192</v>
          </cell>
        </row>
        <row r="245">
          <cell r="A245" t="str">
            <v>CURITIBA</v>
          </cell>
          <cell r="C245" t="str">
            <v>RESIDENCIAL CHÂTEAU D’ANGELIS</v>
          </cell>
          <cell r="D245" t="str">
            <v>d7d24d33-fdc7-e911-8e73-0050568aa20f</v>
          </cell>
          <cell r="E245">
            <v>96</v>
          </cell>
        </row>
        <row r="246">
          <cell r="A246" t="str">
            <v>CURITIBA</v>
          </cell>
          <cell r="C246" t="str">
            <v>RESIDENCIAL CASONI</v>
          </cell>
          <cell r="D246" t="str">
            <v>58b1c61a-4f31-e911-bdc1-009c02b0cb58</v>
          </cell>
          <cell r="E246">
            <v>334</v>
          </cell>
        </row>
        <row r="247">
          <cell r="A247" t="str">
            <v>CURITIBA</v>
          </cell>
          <cell r="C247" t="str">
            <v>CHÂTEAU DE VERSALHES</v>
          </cell>
          <cell r="D247" t="str">
            <v>9d83afe0-2ac2-ea11-beeb-005056856875</v>
          </cell>
          <cell r="E247">
            <v>96</v>
          </cell>
        </row>
        <row r="248">
          <cell r="A248" t="str">
            <v>EUSÉBIO</v>
          </cell>
          <cell r="C248" t="str">
            <v>ECO WAY EUSÉBIO</v>
          </cell>
          <cell r="D248" t="str">
            <v>8ca9c10b-13a5-e611-abb6-80c16e075108</v>
          </cell>
          <cell r="E248">
            <v>800</v>
          </cell>
        </row>
        <row r="249">
          <cell r="A249" t="str">
            <v>FORTALEZA</v>
          </cell>
          <cell r="C249" t="str">
            <v>FONTANA DI TERNI</v>
          </cell>
          <cell r="D249" t="str">
            <v>3d1e3f53-9827-e811-9e99-009c02b0cb58</v>
          </cell>
          <cell r="E249">
            <v>320</v>
          </cell>
        </row>
        <row r="250">
          <cell r="A250" t="str">
            <v>GOIÂNIA</v>
          </cell>
          <cell r="C250" t="str">
            <v>RESIDENCIAL GOLDEN PARK</v>
          </cell>
          <cell r="D250" t="str">
            <v>b57f469e-a713-e211-9e30-001f2909e810</v>
          </cell>
          <cell r="E250">
            <v>520</v>
          </cell>
        </row>
        <row r="251">
          <cell r="A251" t="str">
            <v>GOIÂNIA</v>
          </cell>
          <cell r="C251" t="str">
            <v>GRAN VALLEY E GRAN VITTA</v>
          </cell>
          <cell r="D251" t="str">
            <v>0888c18d-9693-e511-b93a-80c16e075108</v>
          </cell>
          <cell r="E251">
            <v>320</v>
          </cell>
        </row>
        <row r="252">
          <cell r="A252" t="str">
            <v>GOIÂNIA</v>
          </cell>
          <cell r="C252" t="str">
            <v>GRAN CLUB E GRAN OÁSIS</v>
          </cell>
          <cell r="D252" t="str">
            <v>d2249abd-bb29-e211-9e30-001f2909e810</v>
          </cell>
          <cell r="E252">
            <v>260</v>
          </cell>
        </row>
        <row r="253">
          <cell r="A253" t="str">
            <v>GOIÂNIA</v>
          </cell>
          <cell r="C253" t="str">
            <v>GRAN VITÓRIA</v>
          </cell>
          <cell r="D253" t="str">
            <v>794d9226-bc29-e211-9e30-001f2909e810</v>
          </cell>
          <cell r="E253">
            <v>664</v>
          </cell>
        </row>
        <row r="254">
          <cell r="A254" t="str">
            <v>GOIÂNIA</v>
          </cell>
          <cell r="C254" t="str">
            <v>PARQUE GRAN RIO</v>
          </cell>
          <cell r="D254" t="str">
            <v>55c96e03-0bcb-df11-b242-001f2909e810</v>
          </cell>
          <cell r="E254">
            <v>384</v>
          </cell>
        </row>
        <row r="255">
          <cell r="A255" t="str">
            <v>GOIÂNIA</v>
          </cell>
          <cell r="C255" t="str">
            <v>GRAN PROVENCE</v>
          </cell>
          <cell r="D255" t="str">
            <v>79ecaf23-fe9e-e811-b96e-009c02b0cb58</v>
          </cell>
          <cell r="E255">
            <v>272</v>
          </cell>
        </row>
        <row r="256">
          <cell r="A256" t="str">
            <v>GUARULHOS</v>
          </cell>
          <cell r="C256" t="str">
            <v>PARQUE SANTA CLARA</v>
          </cell>
          <cell r="D256" t="str">
            <v>3ef4ad6e-d050-e011-bdcf-001f2909e810</v>
          </cell>
          <cell r="E256">
            <v>0</v>
          </cell>
        </row>
        <row r="257">
          <cell r="A257" t="str">
            <v>ITÚ</v>
          </cell>
          <cell r="C257" t="str">
            <v>PARQUE ILHA DAS FLORES</v>
          </cell>
          <cell r="D257" t="str">
            <v>8687cafc-f257-e111-a73d-001f2909e810</v>
          </cell>
          <cell r="E257">
            <v>176</v>
          </cell>
        </row>
        <row r="258">
          <cell r="A258" t="str">
            <v>JACAREÍ</v>
          </cell>
          <cell r="C258" t="str">
            <v>RESIDENCIAL JERIBÁ</v>
          </cell>
          <cell r="D258" t="str">
            <v>a641ae92-c2b7-dd11-a0c7-001b78b9d994</v>
          </cell>
          <cell r="E258">
            <v>520</v>
          </cell>
        </row>
        <row r="259">
          <cell r="A259" t="str">
            <v>JARAGUÁ DO SUL</v>
          </cell>
          <cell r="C259" t="str">
            <v>RESIDENCIAL JARDIM DI HAMELIN</v>
          </cell>
          <cell r="D259" t="str">
            <v>d79b3f02-bcce-e711-a541-009c02b0cb58</v>
          </cell>
          <cell r="E259">
            <v>208</v>
          </cell>
        </row>
        <row r="260">
          <cell r="A260" t="str">
            <v>JUIZ DE FORA</v>
          </cell>
          <cell r="C260" t="str">
            <v>RESIDENCIAL JARDIM INDEPENDÊNCIA</v>
          </cell>
          <cell r="D260" t="str">
            <v>3f421407-898a-e811-b96e-009c02b0cb58</v>
          </cell>
          <cell r="E260">
            <v>272</v>
          </cell>
        </row>
        <row r="261">
          <cell r="A261" t="str">
            <v>LAURO DE FREITAS</v>
          </cell>
          <cell r="C261" t="str">
            <v>CAMINHOS DO LITORAL</v>
          </cell>
          <cell r="D261" t="str">
            <v>ffa38327-0e6d-ea11-8b90-0050568aa20f</v>
          </cell>
          <cell r="E261">
            <v>320</v>
          </cell>
        </row>
        <row r="262">
          <cell r="A262" t="str">
            <v>LAURO DE FREITAS</v>
          </cell>
          <cell r="C262" t="str">
            <v>RESIDENCIAL VISTA DO JOANES</v>
          </cell>
          <cell r="D262" t="str">
            <v>5eb3da65-7def-e911-b95e-005056856875</v>
          </cell>
          <cell r="E262">
            <v>160</v>
          </cell>
        </row>
        <row r="263">
          <cell r="A263" t="str">
            <v>LAURO DE FREITAS</v>
          </cell>
          <cell r="C263" t="str">
            <v>PARQUE SOLAR DO ATLÂNTICO</v>
          </cell>
          <cell r="D263" t="str">
            <v>1c92b3f4-7a4f-e211-8f8c-009c02b0cb58</v>
          </cell>
          <cell r="E263">
            <v>240</v>
          </cell>
        </row>
        <row r="264">
          <cell r="A264" t="str">
            <v>LONDRINA</v>
          </cell>
          <cell r="C264" t="str">
            <v>RESIDENCIAL LA SAVONA</v>
          </cell>
          <cell r="D264" t="str">
            <v>d022f2b1-aedb-e811-944d-009c02b0cb58</v>
          </cell>
          <cell r="E264">
            <v>480</v>
          </cell>
        </row>
        <row r="265">
          <cell r="A265" t="str">
            <v>MACAÉ</v>
          </cell>
          <cell r="C265" t="str">
            <v>MAR DA GEORGIA</v>
          </cell>
          <cell r="D265" t="str">
            <v>1245af51-e9da-e011-85c2-001f2909e810</v>
          </cell>
          <cell r="E265">
            <v>240</v>
          </cell>
        </row>
        <row r="266">
          <cell r="A266" t="str">
            <v>MACEIÓ</v>
          </cell>
          <cell r="C266" t="str">
            <v>RESIDENCIAL MARSELHA</v>
          </cell>
          <cell r="D266" t="str">
            <v>9696e7dc-cc1d-ea11-ba0a-0050568aa20f</v>
          </cell>
          <cell r="E266">
            <v>400</v>
          </cell>
        </row>
        <row r="267">
          <cell r="A267" t="str">
            <v>MANAUS</v>
          </cell>
          <cell r="C267" t="str">
            <v>VISTA DAS PAINEIRAS</v>
          </cell>
          <cell r="D267" t="str">
            <v>0d8bf17d-7e62-e711-91b2-80c16e075108</v>
          </cell>
          <cell r="E267">
            <v>384</v>
          </cell>
        </row>
        <row r="268">
          <cell r="A268" t="str">
            <v>MANAUS</v>
          </cell>
          <cell r="C268" t="str">
            <v>VISTA DOS ANGELINS</v>
          </cell>
          <cell r="D268" t="str">
            <v>a94e029d-7d62-e711-91b2-80c16e075108</v>
          </cell>
          <cell r="E268">
            <v>220</v>
          </cell>
        </row>
        <row r="269">
          <cell r="A269" t="str">
            <v>MANAUS</v>
          </cell>
          <cell r="C269" t="str">
            <v>MIRANTE AMAZONAS</v>
          </cell>
          <cell r="D269" t="str">
            <v>0ee71960-5d47-ea11-801d-005056856875</v>
          </cell>
          <cell r="E269">
            <v>384</v>
          </cell>
        </row>
        <row r="270">
          <cell r="A270" t="str">
            <v>MARÍLIA</v>
          </cell>
          <cell r="C270" t="str">
            <v>MALDIVAS RESIDENCIAL</v>
          </cell>
          <cell r="D270" t="str">
            <v>ce2bb74f-5224-eb11-9d23-005056856b6c</v>
          </cell>
          <cell r="E270">
            <v>212</v>
          </cell>
        </row>
        <row r="271">
          <cell r="A271" t="str">
            <v>MAUÁ</v>
          </cell>
          <cell r="C271" t="str">
            <v>RESERVA DO CANTÃO</v>
          </cell>
          <cell r="D271" t="str">
            <v>853f961f-b5ce-dc11-9ed6-001b7845b4a6</v>
          </cell>
          <cell r="E271">
            <v>100</v>
          </cell>
        </row>
        <row r="272">
          <cell r="A272" t="str">
            <v>NATAL</v>
          </cell>
          <cell r="C272" t="str">
            <v>LA PLAYA RESIDENCE</v>
          </cell>
          <cell r="D272" t="str">
            <v>7a6f3c5c-944e-ea11-801d-005056856875</v>
          </cell>
          <cell r="E272">
            <v>120</v>
          </cell>
        </row>
        <row r="273">
          <cell r="A273" t="str">
            <v>NOVA IGUAÇU</v>
          </cell>
          <cell r="C273" t="str">
            <v>RESIDENCIAL BRISAS DO OUTEIRO</v>
          </cell>
          <cell r="D273" t="str">
            <v>055f3851-f54f-e911-810a-80c16e075108</v>
          </cell>
          <cell r="E273">
            <v>340</v>
          </cell>
        </row>
        <row r="274">
          <cell r="A274" t="str">
            <v>PONTA GROSSA</v>
          </cell>
          <cell r="C274" t="str">
            <v>SPAZIO PONTAL DOS PINHEIROS</v>
          </cell>
          <cell r="D274" t="str">
            <v>5776e49f-080d-e011-b242-001f2909e810</v>
          </cell>
          <cell r="E274">
            <v>120</v>
          </cell>
        </row>
        <row r="275">
          <cell r="A275" t="str">
            <v>RECIFE</v>
          </cell>
          <cell r="C275" t="str">
            <v>EDIFÍCIO MANOEL JOAQUIM MEIRELES</v>
          </cell>
          <cell r="D275" t="str">
            <v>f2b0bef0-5358-df11-9f9a-001f2909e810</v>
          </cell>
          <cell r="E275">
            <v>64</v>
          </cell>
        </row>
        <row r="276">
          <cell r="A276" t="str">
            <v>RIBEIRÃO PRETO</v>
          </cell>
          <cell r="C276" t="str">
            <v>RESERVA MACAÚBA GARDEN</v>
          </cell>
          <cell r="D276" t="str">
            <v>7e759e0a-6880-e811-8d3f-80c16e075108</v>
          </cell>
          <cell r="E276">
            <v>300</v>
          </cell>
        </row>
        <row r="277">
          <cell r="A277" t="str">
            <v>RIBEIRÃO PRETO</v>
          </cell>
          <cell r="C277" t="str">
            <v>RESERVA FLOR DE LOTUS</v>
          </cell>
          <cell r="D277" t="str">
            <v>a703a191-2f56-e911-b8f1-009c02b0cb58</v>
          </cell>
          <cell r="E277">
            <v>288</v>
          </cell>
        </row>
        <row r="278">
          <cell r="A278" t="str">
            <v>RIO DE JANEIRO</v>
          </cell>
          <cell r="C278" t="str">
            <v>RESIDENCIAL ENSEADA DO MAR</v>
          </cell>
          <cell r="D278" t="str">
            <v>37f9f933-a381-eb11-8864-0050568aa20f</v>
          </cell>
          <cell r="E278">
            <v>140</v>
          </cell>
        </row>
        <row r="279">
          <cell r="A279" t="str">
            <v>RIO DE JANEIRO</v>
          </cell>
          <cell r="C279" t="str">
            <v>RESIDENCIAL SPAZIO LIFE</v>
          </cell>
          <cell r="D279" t="str">
            <v>8b10d193-e6d1-ea11-beeb-005056856875</v>
          </cell>
          <cell r="E279">
            <v>256</v>
          </cell>
        </row>
        <row r="280">
          <cell r="A280" t="str">
            <v>SALVADOR</v>
          </cell>
          <cell r="C280" t="str">
            <v>RESERVA DA COLINA</v>
          </cell>
          <cell r="D280" t="str">
            <v>2d745c79-2ade-e911-a6a0-005056856875</v>
          </cell>
          <cell r="E280">
            <v>288</v>
          </cell>
        </row>
        <row r="281">
          <cell r="A281" t="str">
            <v>SALVADOR</v>
          </cell>
          <cell r="C281" t="str">
            <v>SPAZIO SOLAR DO PARQUE</v>
          </cell>
          <cell r="D281" t="str">
            <v>6e4973a6-e4a4-e111-8f0c-001f2909e810</v>
          </cell>
          <cell r="E281">
            <v>360</v>
          </cell>
        </row>
        <row r="282">
          <cell r="A282" t="str">
            <v>SALVADOR</v>
          </cell>
          <cell r="C282" t="str">
            <v>SOLAR VISTA MAR</v>
          </cell>
          <cell r="D282" t="str">
            <v>a4036a75-baff-e711-b989-80c16e075108</v>
          </cell>
          <cell r="E282">
            <v>480</v>
          </cell>
        </row>
        <row r="283">
          <cell r="A283" t="str">
            <v>SÃO CARLOS</v>
          </cell>
          <cell r="C283" t="str">
            <v>MONTE SOLEIL</v>
          </cell>
          <cell r="D283" t="str">
            <v>dcddfb18-b75b-e911-b8f1-009c02b0cb58</v>
          </cell>
          <cell r="E283">
            <v>136</v>
          </cell>
        </row>
        <row r="284">
          <cell r="A284" t="str">
            <v>SÃO JOSÉ DO RIO PRETO</v>
          </cell>
          <cell r="C284" t="str">
            <v>PARQUE RIO IGUAÇU</v>
          </cell>
          <cell r="D284" t="str">
            <v>0618afad-942d-e111-9361-001b78b9d994</v>
          </cell>
          <cell r="E284">
            <v>416</v>
          </cell>
        </row>
        <row r="285">
          <cell r="A285" t="str">
            <v>SÃO PAULO</v>
          </cell>
          <cell r="C285" t="str">
            <v>TERRAZO MORUMBI</v>
          </cell>
          <cell r="D285" t="str">
            <v>f6359b29-d815-e911-8c00-80c16e075108</v>
          </cell>
          <cell r="E285">
            <v>160</v>
          </cell>
        </row>
        <row r="286">
          <cell r="A286" t="str">
            <v>SÃO PAULO</v>
          </cell>
          <cell r="C286" t="str">
            <v>RESIDENCIAL CEREJEIRAS</v>
          </cell>
          <cell r="D286" t="str">
            <v>ab232726-0d97-e611-abb6-80c16e075108</v>
          </cell>
          <cell r="E286">
            <v>256</v>
          </cell>
        </row>
        <row r="287">
          <cell r="A287" t="str">
            <v>TERESINA</v>
          </cell>
          <cell r="C287" t="str">
            <v>TERRAZZO CARNAÚBA</v>
          </cell>
          <cell r="D287" t="str">
            <v>a98a5da5-3698-e911-b807-005056856875</v>
          </cell>
          <cell r="E287">
            <v>380</v>
          </cell>
        </row>
        <row r="288">
          <cell r="A288" t="str">
            <v>UBERABA</v>
          </cell>
          <cell r="C288" t="str">
            <v>PARQUE UNICLASS</v>
          </cell>
          <cell r="D288" t="str">
            <v>470376d8-8f99-df11-b20e-001f2909e810</v>
          </cell>
          <cell r="E288">
            <v>224</v>
          </cell>
        </row>
        <row r="289">
          <cell r="A289" t="str">
            <v>UBERABA</v>
          </cell>
          <cell r="C289" t="str">
            <v>RESIDENCIAL LAGO DAS BRISAS</v>
          </cell>
          <cell r="D289" t="str">
            <v>05c09f82-2603-eb11-8cc6-0050568aa20f</v>
          </cell>
          <cell r="E289">
            <v>168</v>
          </cell>
        </row>
        <row r="290">
          <cell r="A290" t="str">
            <v>UBERLÂNDIA</v>
          </cell>
          <cell r="C290" t="str">
            <v>PARQUE TRILHAS DO PARAÍSO</v>
          </cell>
          <cell r="D290" t="str">
            <v>0f2a58a3-bdfa-e711-b989-80c16e075108</v>
          </cell>
          <cell r="E290">
            <v>400</v>
          </cell>
        </row>
        <row r="291">
          <cell r="A291" t="str">
            <v>VESPASIANO</v>
          </cell>
          <cell r="C291" t="str">
            <v>RESIDENCIAL ENCANTO VERDE</v>
          </cell>
          <cell r="D291" t="str">
            <v>a4c1a256-f6f9-e211-83e6-80c16e075108</v>
          </cell>
          <cell r="E291">
            <v>128</v>
          </cell>
        </row>
        <row r="292">
          <cell r="A292" t="str">
            <v>VITÓRIA DA CONQUISTA</v>
          </cell>
          <cell r="C292" t="str">
            <v>CANDEIAS FLOWERS</v>
          </cell>
          <cell r="D292" t="str">
            <v>26abc7c2-fce9-e911-bfe9-005056856875</v>
          </cell>
          <cell r="E292">
            <v>360</v>
          </cell>
        </row>
        <row r="293">
          <cell r="A293" t="str">
            <v>BRASÍLIA</v>
          </cell>
          <cell r="C293" t="str">
            <v>BELO MIRANTE</v>
          </cell>
          <cell r="D293">
            <v>0</v>
          </cell>
          <cell r="E293">
            <v>0</v>
          </cell>
        </row>
        <row r="294">
          <cell r="A294" t="str">
            <v>UBERABA</v>
          </cell>
          <cell r="C294" t="str">
            <v>RESERVAS DAS CEREJEIRAS</v>
          </cell>
          <cell r="D294" t="str">
            <v>61FBDD77-402F-EF11-9143-80C16E075108</v>
          </cell>
          <cell r="E294">
            <v>0</v>
          </cell>
        </row>
        <row r="295">
          <cell r="A295" t="str">
            <v>PORTO ALEGRE</v>
          </cell>
          <cell r="C295" t="str">
            <v>ABERTA DOS MORROS EMP 02</v>
          </cell>
          <cell r="D295" t="str">
            <v>CC6934FF-7F32-F011-AB5A-80C16E075108</v>
          </cell>
          <cell r="E295">
            <v>0</v>
          </cell>
        </row>
        <row r="296">
          <cell r="A296" t="str">
            <v>PORTO ALEGRE</v>
          </cell>
          <cell r="C296" t="str">
            <v>ABERTA DOS MORROS EMP 1</v>
          </cell>
          <cell r="D296" t="str">
            <v>9F796EF0-8714-F011-AAAE-005056856875</v>
          </cell>
          <cell r="E296">
            <v>0</v>
          </cell>
        </row>
        <row r="297">
          <cell r="A297" t="str">
            <v>SÃO PAULO</v>
          </cell>
          <cell r="C297" t="str">
            <v>AÇOBRIL EMP 01</v>
          </cell>
          <cell r="D297" t="str">
            <v>BC97A264-7DB1-EF11-AB5A-80C16E075108</v>
          </cell>
          <cell r="E297">
            <v>0</v>
          </cell>
        </row>
        <row r="298">
          <cell r="A298" t="str">
            <v>CAMPINAS</v>
          </cell>
          <cell r="C298" t="str">
            <v>ACQUA GALLERIA CONDOMINIO RESORT</v>
          </cell>
          <cell r="D298" t="str">
            <v>CAB85377-36CF-DC11-9ED6-001B7845B4A6</v>
          </cell>
          <cell r="E298">
            <v>148</v>
          </cell>
        </row>
        <row r="299">
          <cell r="A299" t="str">
            <v>CAMPINAS</v>
          </cell>
          <cell r="C299" t="str">
            <v>ACQUA GALLERIA CONDOMINIO RESORT II</v>
          </cell>
          <cell r="D299" t="str">
            <v>59677080-EBE7-DD11-BD2B-001B78B9D994</v>
          </cell>
          <cell r="E299">
            <v>156</v>
          </cell>
        </row>
        <row r="300">
          <cell r="A300" t="str">
            <v>CAMPINAS</v>
          </cell>
          <cell r="C300" t="str">
            <v>ACQUA GALLERIA CONDOMINIO RESORT III</v>
          </cell>
          <cell r="D300" t="str">
            <v>B334C8DE-EBE7-DD11-BD2B-001B78B9D994</v>
          </cell>
          <cell r="E300">
            <v>112</v>
          </cell>
        </row>
        <row r="301">
          <cell r="A301" t="str">
            <v>CAMPINAS</v>
          </cell>
          <cell r="C301" t="str">
            <v>ÁGATA VILLE</v>
          </cell>
          <cell r="D301" t="str">
            <v>5DAFD63F-C05F-DD11-B13B-001B78B9D994</v>
          </cell>
          <cell r="E301">
            <v>356</v>
          </cell>
        </row>
        <row r="302">
          <cell r="A302" t="str">
            <v>SÃO CARLOS</v>
          </cell>
          <cell r="C302" t="str">
            <v>PARQUE VISTA DA SERRA</v>
          </cell>
          <cell r="D302" t="str">
            <v>3BF7483D-729B-EF11-AB5A-80C16E075108</v>
          </cell>
          <cell r="E302">
            <v>0</v>
          </cell>
        </row>
        <row r="303">
          <cell r="A303" t="str">
            <v>SÃO PAULO</v>
          </cell>
          <cell r="C303" t="str">
            <v>ALAMEDA ARICANDUVA SAINT INÁCIO</v>
          </cell>
          <cell r="D303" t="str">
            <v>45E990A6-0C80-DD11-8A4F-001B78B9D994</v>
          </cell>
          <cell r="E303">
            <v>264</v>
          </cell>
        </row>
        <row r="304">
          <cell r="A304" t="str">
            <v>SÃO PAULO</v>
          </cell>
          <cell r="C304" t="str">
            <v>ALAMEDA ARICANDUVA SAN CARLO</v>
          </cell>
          <cell r="D304" t="str">
            <v>4A15ECFF-8ECE-DC11-9ED6-001B7845B4A6</v>
          </cell>
          <cell r="E304">
            <v>264</v>
          </cell>
        </row>
        <row r="305">
          <cell r="A305" t="str">
            <v>SÃO PAULO</v>
          </cell>
          <cell r="C305" t="str">
            <v>ALAMEDA ARICANDUVA SAN DOMINGOS</v>
          </cell>
          <cell r="D305" t="str">
            <v>E5DEC9B9-0C80-DD11-8A4F-001B78B9D994</v>
          </cell>
          <cell r="E305">
            <v>264</v>
          </cell>
        </row>
        <row r="306">
          <cell r="A306" t="str">
            <v>SÃO PAULO</v>
          </cell>
          <cell r="C306" t="str">
            <v>ALAMEDA ARICANDUVA SAN JULIANO</v>
          </cell>
          <cell r="D306" t="str">
            <v>A9FFF661-0C80-DD11-8A4F-001B78B9D994</v>
          </cell>
          <cell r="E306">
            <v>264</v>
          </cell>
        </row>
        <row r="307">
          <cell r="A307" t="str">
            <v>VÁRZEA GRANDE</v>
          </cell>
          <cell r="C307" t="str">
            <v>ALAMEDA FLOR DE LIZ</v>
          </cell>
          <cell r="D307" t="str">
            <v>4D28F66D-0D7E-EC11-A871-005056895191</v>
          </cell>
          <cell r="E307">
            <v>0</v>
          </cell>
        </row>
        <row r="308">
          <cell r="A308" t="str">
            <v>VÁRZEA GRANDE</v>
          </cell>
          <cell r="C308" t="str">
            <v>ALAMEDA FLOR DE LÓTUS</v>
          </cell>
          <cell r="D308" t="str">
            <v>92654682-CD89-EC11-A871-005056895191</v>
          </cell>
          <cell r="E308">
            <v>0</v>
          </cell>
        </row>
        <row r="309">
          <cell r="A309" t="str">
            <v>ARACAJU</v>
          </cell>
          <cell r="C309" t="str">
            <v>ALAMEDAS DA JABUTIANA</v>
          </cell>
          <cell r="D309" t="str">
            <v>CC75C70A-ECE3-E211-83E6-80C16E075108</v>
          </cell>
          <cell r="E309">
            <v>480</v>
          </cell>
        </row>
        <row r="310">
          <cell r="A310" t="str">
            <v>ARACAJU</v>
          </cell>
          <cell r="C310" t="str">
            <v>ALAMEDAS DE ARACAJU COND CLUBE</v>
          </cell>
          <cell r="D310" t="str">
            <v>DF3E78E3-5B6B-E011-BDCF-001F2909E810</v>
          </cell>
          <cell r="E310">
            <v>1352</v>
          </cell>
        </row>
        <row r="311">
          <cell r="A311" t="str">
            <v>MARÍLIA</v>
          </cell>
          <cell r="C311" t="str">
            <v>ALAZÃO EMP 01</v>
          </cell>
          <cell r="D311" t="str">
            <v>7B165C3D-9C16-EE11-AE6A-009C02B0CB58</v>
          </cell>
          <cell r="E311">
            <v>0</v>
          </cell>
        </row>
        <row r="312">
          <cell r="A312" t="str">
            <v>ARARAQUARA</v>
          </cell>
          <cell r="C312" t="str">
            <v>ALCÂNTARA</v>
          </cell>
          <cell r="D312" t="str">
            <v>DEA4D63B-358A-DD11-8A4F-001B78B9D994</v>
          </cell>
          <cell r="E312">
            <v>128</v>
          </cell>
        </row>
        <row r="313">
          <cell r="A313" t="str">
            <v>RIBEIRÃO PRETO</v>
          </cell>
          <cell r="C313" t="str">
            <v>ALCOOL EMP 01</v>
          </cell>
          <cell r="D313" t="str">
            <v>B5EA0B1F-F5AB-EE11-A95E-005056856875</v>
          </cell>
          <cell r="E313">
            <v>0</v>
          </cell>
        </row>
        <row r="314">
          <cell r="A314" t="str">
            <v>RIBEIRÃO PRETO</v>
          </cell>
          <cell r="C314" t="str">
            <v>ALCOOL EMP 02</v>
          </cell>
          <cell r="D314" t="str">
            <v>5EFF73D8-F5AB-EE11-A95E-005056856875</v>
          </cell>
          <cell r="E314">
            <v>0</v>
          </cell>
        </row>
        <row r="315">
          <cell r="A315" t="str">
            <v>RIBEIRÃO PRETO</v>
          </cell>
          <cell r="C315" t="str">
            <v>ALCOOL EMP 03</v>
          </cell>
          <cell r="D315" t="str">
            <v>287D7723-F6AB-EE11-A95E-005056856875</v>
          </cell>
          <cell r="E315">
            <v>0</v>
          </cell>
        </row>
        <row r="316">
          <cell r="A316" t="str">
            <v>RIBEIRÃO PRETO</v>
          </cell>
          <cell r="C316" t="str">
            <v>ALCOOL EMP 04</v>
          </cell>
          <cell r="D316" t="str">
            <v>A3F45D78-F6AB-EE11-A95E-005056856875</v>
          </cell>
          <cell r="E316">
            <v>0</v>
          </cell>
        </row>
        <row r="317">
          <cell r="A317" t="str">
            <v>RIBEIRÃO PRETO</v>
          </cell>
          <cell r="C317" t="str">
            <v>ALCOOL EMP 5</v>
          </cell>
          <cell r="D317" t="str">
            <v>517CCD0C-86C6-EE11-A95E-005056856875</v>
          </cell>
          <cell r="E317">
            <v>0</v>
          </cell>
        </row>
        <row r="318">
          <cell r="A318" t="str">
            <v>RIBEIRÃO PRETO</v>
          </cell>
          <cell r="C318" t="str">
            <v>ALCOOL EMP 6</v>
          </cell>
          <cell r="D318" t="str">
            <v>9945453A-90C6-EE11-A95E-005056856875</v>
          </cell>
          <cell r="E318">
            <v>0</v>
          </cell>
        </row>
        <row r="319">
          <cell r="A319" t="str">
            <v>RIBEIRÃO PRETO</v>
          </cell>
          <cell r="C319" t="str">
            <v>ALCOOL EMP 7</v>
          </cell>
          <cell r="D319" t="str">
            <v>91D4B43C-95C6-EE11-A95E-005056856875</v>
          </cell>
          <cell r="E319">
            <v>0</v>
          </cell>
        </row>
        <row r="320">
          <cell r="A320" t="str">
            <v>BELO HORIZONTE</v>
          </cell>
          <cell r="C320" t="str">
            <v>ALEMANHA</v>
          </cell>
          <cell r="D320" t="str">
            <v>26212FFB-D646-DD11-BC22-001B78B9D994</v>
          </cell>
          <cell r="E320">
            <v>54</v>
          </cell>
        </row>
        <row r="321">
          <cell r="A321" t="str">
            <v>BAURU</v>
          </cell>
          <cell r="C321" t="str">
            <v>ALESSANDRA</v>
          </cell>
          <cell r="D321" t="str">
            <v>8E7D1891-F0DA-DF11-B242-001F2909E810</v>
          </cell>
          <cell r="E321">
            <v>3</v>
          </cell>
        </row>
        <row r="322">
          <cell r="A322" t="str">
            <v>BELO HORIZONTE</v>
          </cell>
          <cell r="C322" t="str">
            <v>ALEXANDRIA</v>
          </cell>
          <cell r="D322" t="str">
            <v>49373668-D246-DD11-BC22-001B78B9D994</v>
          </cell>
          <cell r="E322">
            <v>150</v>
          </cell>
        </row>
        <row r="323">
          <cell r="A323" t="str">
            <v>ARARAQUARA</v>
          </cell>
          <cell r="C323" t="str">
            <v>ALLURE CONDOMÍNIO RESORT</v>
          </cell>
          <cell r="D323" t="str">
            <v>E8856B62-A5CA-DC11-8D7D-001B7845B4A6</v>
          </cell>
          <cell r="E323">
            <v>320</v>
          </cell>
        </row>
        <row r="324">
          <cell r="A324" t="str">
            <v>ARAÇATUBA</v>
          </cell>
          <cell r="C324" t="str">
            <v>ALTA VISTA CONDOMÍNIO CLUBE</v>
          </cell>
          <cell r="D324" t="str">
            <v>AA28F115-8499-DF11-B20E-001F2909E810</v>
          </cell>
          <cell r="E324">
            <v>832</v>
          </cell>
        </row>
        <row r="325">
          <cell r="A325" t="str">
            <v>SÃO JOSÉ DOS CAMPOS</v>
          </cell>
          <cell r="C325" t="str">
            <v>ALTO DA PONTE EMP 03</v>
          </cell>
          <cell r="D325" t="str">
            <v>8D55A853-8322-EF11-9E4D-009C02B0CB58</v>
          </cell>
          <cell r="E325">
            <v>0</v>
          </cell>
        </row>
        <row r="326">
          <cell r="A326" t="str">
            <v>BELO HORIZONTE</v>
          </cell>
          <cell r="C326" t="str">
            <v>ALTO NORTE RESIDENCE</v>
          </cell>
          <cell r="D326" t="str">
            <v>4B52A0FC-9A17-EF11-9143-80C16E075108</v>
          </cell>
          <cell r="E326">
            <v>144</v>
          </cell>
        </row>
        <row r="327">
          <cell r="A327" t="str">
            <v>BRASÍLIA</v>
          </cell>
          <cell r="C327" t="str">
            <v>ALTOS DE TAGUATINGA I</v>
          </cell>
          <cell r="D327" t="str">
            <v>75C1DD24-511D-DE11-A226-001B78B9D994</v>
          </cell>
          <cell r="E327">
            <v>400</v>
          </cell>
        </row>
        <row r="328">
          <cell r="A328" t="str">
            <v>BRASÍLIA</v>
          </cell>
          <cell r="C328" t="str">
            <v>ALTOS DE TAGUATINGA II</v>
          </cell>
          <cell r="D328" t="str">
            <v>C0E45DED-4F1D-DE11-A226-001B78B9D994</v>
          </cell>
          <cell r="E328">
            <v>192</v>
          </cell>
        </row>
        <row r="329">
          <cell r="A329" t="str">
            <v>CONTAGEM</v>
          </cell>
          <cell r="C329" t="str">
            <v>AMAZONAS PARK - RESIDENCIAL PARÁ</v>
          </cell>
          <cell r="D329" t="str">
            <v>58FBCBD2-BA84-DD11-8A4F-001B78B9D994</v>
          </cell>
          <cell r="E329">
            <v>0</v>
          </cell>
        </row>
        <row r="330">
          <cell r="A330" t="str">
            <v>CONTAGEM</v>
          </cell>
          <cell r="C330" t="str">
            <v>AMAZONAS PARK_RESIDENCIAL ACRE</v>
          </cell>
          <cell r="D330" t="str">
            <v>BE22F7BB-4CF4-DC11-A2F9-001B7845B4A6</v>
          </cell>
          <cell r="E330">
            <v>240</v>
          </cell>
        </row>
        <row r="331">
          <cell r="A331" t="str">
            <v>CONTAGEM</v>
          </cell>
          <cell r="C331" t="str">
            <v>AMAZONAS PARK_RESIDENCIAL AMAPÁ</v>
          </cell>
          <cell r="D331" t="str">
            <v>EA42CA79-B984-DD11-8A4F-001B78B9D994</v>
          </cell>
          <cell r="E331">
            <v>0</v>
          </cell>
        </row>
        <row r="332">
          <cell r="A332" t="str">
            <v>CONTAGEM</v>
          </cell>
          <cell r="C332" t="str">
            <v>AMAZONAS PARK_RESIDENCIAL BELÉM</v>
          </cell>
          <cell r="D332" t="str">
            <v>659A4EE7-B884-DD11-8A4F-001B78B9D994</v>
          </cell>
          <cell r="E332">
            <v>384</v>
          </cell>
        </row>
        <row r="333">
          <cell r="A333" t="str">
            <v>CONTAGEM</v>
          </cell>
          <cell r="C333" t="str">
            <v>AMAZONAS PARK_RESIDENCIAL BOA VISTA</v>
          </cell>
          <cell r="D333" t="str">
            <v>4F928442-B984-DD11-8A4F-001B78B9D994</v>
          </cell>
          <cell r="E333">
            <v>144</v>
          </cell>
        </row>
        <row r="334">
          <cell r="A334" t="str">
            <v>CONTAGEM</v>
          </cell>
          <cell r="C334" t="str">
            <v>AMAZONAS PARK_RESIDENCIAL MANAUS</v>
          </cell>
          <cell r="D334" t="str">
            <v>685EDFB1-B984-DD11-8A4F-001B78B9D994</v>
          </cell>
          <cell r="E334">
            <v>32</v>
          </cell>
        </row>
        <row r="335">
          <cell r="A335" t="str">
            <v>CONTAGEM</v>
          </cell>
          <cell r="C335" t="str">
            <v>AMAZONAS PARK_RESIDENCIAL RONDÔNIA</v>
          </cell>
          <cell r="D335" t="str">
            <v>A7741E91-B984-DD11-8A4F-001B78B9D994</v>
          </cell>
          <cell r="E335">
            <v>384</v>
          </cell>
        </row>
        <row r="336">
          <cell r="A336" t="str">
            <v>CAMPINAS</v>
          </cell>
          <cell r="C336" t="str">
            <v>AMETISTA VILLE</v>
          </cell>
          <cell r="D336" t="str">
            <v>61D68E2B-F434-DE11-B0E7-001F2909E83C</v>
          </cell>
          <cell r="E336">
            <v>320</v>
          </cell>
        </row>
        <row r="337">
          <cell r="A337" t="str">
            <v>ARARAQUARA</v>
          </cell>
          <cell r="C337" t="str">
            <v>AMOREIRA</v>
          </cell>
          <cell r="D337" t="str">
            <v>D815AE36-611B-DD11-B8BB-001B7845B4A6</v>
          </cell>
          <cell r="E337">
            <v>88</v>
          </cell>
        </row>
        <row r="338">
          <cell r="A338" t="str">
            <v>SOROCABA</v>
          </cell>
          <cell r="C338" t="str">
            <v>ANA CRISTINA</v>
          </cell>
          <cell r="D338" t="str">
            <v>9E2B5F96-00E2-DF11-B242-001F2909E810</v>
          </cell>
          <cell r="E338">
            <v>3</v>
          </cell>
        </row>
        <row r="339">
          <cell r="A339" t="str">
            <v>PIRACICABA</v>
          </cell>
          <cell r="C339" t="str">
            <v>ANA FLÁVIA</v>
          </cell>
          <cell r="D339" t="str">
            <v>C76390FB-01E2-DF11-B242-001F2909E810</v>
          </cell>
          <cell r="E339">
            <v>4</v>
          </cell>
        </row>
        <row r="340">
          <cell r="A340" t="str">
            <v>RIO DE JANEIRO</v>
          </cell>
          <cell r="C340" t="str">
            <v>ANA LEONIDIA EMP 01</v>
          </cell>
          <cell r="D340" t="str">
            <v>2B2F1B04-E3E3-EF11-AB5A-80C16E075108</v>
          </cell>
          <cell r="E340">
            <v>0</v>
          </cell>
        </row>
        <row r="341">
          <cell r="A341" t="str">
            <v>BELO HORIZONTE</v>
          </cell>
          <cell r="C341" t="str">
            <v>ANDALUZIA</v>
          </cell>
          <cell r="D341" t="str">
            <v>81C8B831-A689-DD11-8A4F-001B78B9D994</v>
          </cell>
          <cell r="E341">
            <v>64</v>
          </cell>
        </row>
        <row r="342">
          <cell r="A342" t="str">
            <v>BELO HORIZONTE</v>
          </cell>
          <cell r="C342" t="str">
            <v>ANDES</v>
          </cell>
          <cell r="D342" t="str">
            <v>3F98ACB3-AC89-DD11-8A4F-001B78B9D994</v>
          </cell>
          <cell r="E342">
            <v>0</v>
          </cell>
        </row>
        <row r="343">
          <cell r="A343" t="str">
            <v>RIO DE JANEIRO</v>
          </cell>
          <cell r="C343" t="str">
            <v>ANDRÉ ROCHA - EMP 01</v>
          </cell>
          <cell r="D343" t="str">
            <v>F7DC2EA0-B8C2-E911-8E73-0050568AA20F</v>
          </cell>
          <cell r="E343">
            <v>300</v>
          </cell>
        </row>
        <row r="344">
          <cell r="A344" t="str">
            <v>RIO DE JANEIRO</v>
          </cell>
          <cell r="C344" t="str">
            <v>ANDRÉ ROCHA EMP 02</v>
          </cell>
          <cell r="D344" t="str">
            <v>898F8437-BBC2-E911-8E73-0050568AA20F</v>
          </cell>
          <cell r="E344">
            <v>460</v>
          </cell>
        </row>
        <row r="345">
          <cell r="A345" t="str">
            <v>RIO DE JANEIRO</v>
          </cell>
          <cell r="C345" t="str">
            <v>ANDRÉ ROCHA EMP 03</v>
          </cell>
          <cell r="D345" t="str">
            <v>3294ED97-BBC2-E911-8E73-0050568AA20F</v>
          </cell>
          <cell r="E345">
            <v>460</v>
          </cell>
        </row>
        <row r="346">
          <cell r="A346" t="str">
            <v>RIO DE JANEIRO</v>
          </cell>
          <cell r="C346" t="str">
            <v>ANDRÉ ROCHA EMP 04</v>
          </cell>
          <cell r="D346" t="str">
            <v>32EA34E3-BBC2-E911-8E73-0050568AA20F</v>
          </cell>
          <cell r="E346">
            <v>420</v>
          </cell>
        </row>
        <row r="347">
          <cell r="A347" t="str">
            <v>BELO HORIZONTE</v>
          </cell>
          <cell r="C347" t="str">
            <v>ANGRA DOS REIS</v>
          </cell>
          <cell r="D347" t="str">
            <v>93EC943C-7569-DD11-AD97-001B78B9D994</v>
          </cell>
          <cell r="E347">
            <v>0</v>
          </cell>
        </row>
        <row r="348">
          <cell r="A348" t="str">
            <v>BELO HORIZONTE</v>
          </cell>
          <cell r="C348" t="str">
            <v>ANKARA</v>
          </cell>
          <cell r="D348" t="str">
            <v>ECE00148-AF89-DD11-8A4F-001B78B9D994</v>
          </cell>
          <cell r="E348">
            <v>0</v>
          </cell>
        </row>
        <row r="349">
          <cell r="A349" t="str">
            <v>BELO HORIZONTE</v>
          </cell>
          <cell r="C349" t="str">
            <v>ANTARES</v>
          </cell>
          <cell r="D349" t="str">
            <v>78665EBD-B289-DD11-8A4F-001B78B9D994</v>
          </cell>
          <cell r="E349">
            <v>0</v>
          </cell>
        </row>
        <row r="350">
          <cell r="A350" t="str">
            <v>ARAÇATUBA</v>
          </cell>
          <cell r="C350" t="str">
            <v>ÁPICE</v>
          </cell>
          <cell r="D350" t="str">
            <v>714236B5-D509-DE11-8C23-001B78B9D994</v>
          </cell>
          <cell r="E350">
            <v>96</v>
          </cell>
        </row>
        <row r="351">
          <cell r="A351" t="str">
            <v>RIO DE JANEIRO</v>
          </cell>
          <cell r="C351" t="str">
            <v>APOGEU CARIOCA</v>
          </cell>
          <cell r="D351" t="str">
            <v>BEDD8A90-DC41-E911-810A-80C16E075108</v>
          </cell>
          <cell r="E351">
            <v>499</v>
          </cell>
        </row>
        <row r="352">
          <cell r="A352" t="str">
            <v>BELO HORIZONTE</v>
          </cell>
          <cell r="C352" t="str">
            <v>AQUARELA</v>
          </cell>
          <cell r="D352" t="str">
            <v>BD9BB51E-32DA-DC11-ABCF-001B7845B4A6</v>
          </cell>
          <cell r="E352">
            <v>40</v>
          </cell>
        </row>
        <row r="353">
          <cell r="A353" t="str">
            <v>CUIABÁ</v>
          </cell>
          <cell r="C353" t="str">
            <v>ARCHIMEDES EMP 01</v>
          </cell>
          <cell r="D353" t="str">
            <v>5D036E4D-BCCE-EF11-AB5A-80C16E075108</v>
          </cell>
          <cell r="E353">
            <v>0</v>
          </cell>
        </row>
        <row r="354">
          <cell r="A354" t="str">
            <v>ANÁPOLIS</v>
          </cell>
          <cell r="C354" t="str">
            <v>ARCOS DA SERRA</v>
          </cell>
          <cell r="D354" t="str">
            <v>35DA7D8D-586D-E711-91B2-80C16E075108</v>
          </cell>
          <cell r="E354">
            <v>180</v>
          </cell>
        </row>
        <row r="355">
          <cell r="A355" t="str">
            <v>ANÁPOLIS</v>
          </cell>
          <cell r="C355" t="str">
            <v>ARCOS DO CAMPO</v>
          </cell>
          <cell r="D355" t="str">
            <v>37455ABC-1A79-E711-91B2-80C16E075108</v>
          </cell>
          <cell r="E355">
            <v>240</v>
          </cell>
        </row>
        <row r="356">
          <cell r="A356" t="str">
            <v>ANÁPOLIS</v>
          </cell>
          <cell r="C356" t="str">
            <v>ARCOS DO HORIZONTE</v>
          </cell>
          <cell r="D356" t="str">
            <v>A337E05E-AD68-EC11-A871-005056895191</v>
          </cell>
          <cell r="E356">
            <v>0</v>
          </cell>
        </row>
        <row r="357">
          <cell r="A357" t="str">
            <v>ANÁPOLIS</v>
          </cell>
          <cell r="C357" t="str">
            <v>ARCOS DO IPIRANGA</v>
          </cell>
          <cell r="D357" t="str">
            <v>BD7BE40E-E4AE-E911-A3F3-005056856B6C</v>
          </cell>
          <cell r="E357">
            <v>420</v>
          </cell>
        </row>
        <row r="358">
          <cell r="A358" t="str">
            <v>ANÁPOLIS</v>
          </cell>
          <cell r="C358" t="str">
            <v>ARCOS DO SOL</v>
          </cell>
          <cell r="D358" t="str">
            <v>EE2B67CD-C710-EC11-B501-005056856B6C</v>
          </cell>
          <cell r="E358">
            <v>0</v>
          </cell>
        </row>
        <row r="359">
          <cell r="A359" t="str">
            <v>LONDRINA</v>
          </cell>
          <cell r="C359" t="str">
            <v>ÁREA ARCO LESTE EMP 01</v>
          </cell>
          <cell r="D359" t="str">
            <v>A1784220-F20C-F011-B65C-009C02B0CB58</v>
          </cell>
          <cell r="E359">
            <v>0</v>
          </cell>
        </row>
        <row r="360">
          <cell r="A360" t="str">
            <v>LONDRINA</v>
          </cell>
          <cell r="C360" t="str">
            <v>ÁREA ARCO LESTE EMP 02</v>
          </cell>
          <cell r="D360" t="str">
            <v>0F0404AF-8453-F011-9D65-005056856875</v>
          </cell>
          <cell r="E360">
            <v>0</v>
          </cell>
        </row>
        <row r="361">
          <cell r="A361" t="str">
            <v>LONDRINA</v>
          </cell>
          <cell r="C361" t="str">
            <v>ÁREA ARCO LESTE EMP 03</v>
          </cell>
          <cell r="D361" t="str">
            <v>1EDAC1FE-8453-F011-9D65-005056856875</v>
          </cell>
          <cell r="E361">
            <v>0</v>
          </cell>
        </row>
        <row r="362">
          <cell r="A362" t="str">
            <v>LONDRINA</v>
          </cell>
          <cell r="C362" t="str">
            <v>ÁREA ARCO LESTE EMP 04</v>
          </cell>
          <cell r="D362" t="str">
            <v>48BC143C-8553-F011-9D65-005056856875</v>
          </cell>
          <cell r="E362">
            <v>0</v>
          </cell>
        </row>
        <row r="363">
          <cell r="A363" t="str">
            <v>LONDRINA</v>
          </cell>
          <cell r="C363" t="str">
            <v>ÁREA ARCO LESTE EMP 05</v>
          </cell>
          <cell r="D363" t="str">
            <v>477E4860-8B53-F011-9D65-005056856875</v>
          </cell>
          <cell r="E363">
            <v>0</v>
          </cell>
        </row>
        <row r="364">
          <cell r="A364" t="str">
            <v>LONDRINA</v>
          </cell>
          <cell r="C364" t="str">
            <v>ÁREA ARCO LESTE EMP 06</v>
          </cell>
          <cell r="D364" t="str">
            <v>D4C28D9C-8B53-F011-9D65-005056856875</v>
          </cell>
          <cell r="E364">
            <v>0</v>
          </cell>
        </row>
        <row r="365">
          <cell r="A365" t="str">
            <v>LONDRINA</v>
          </cell>
          <cell r="C365" t="str">
            <v>ÁREA ARCO LESTE EMP 07</v>
          </cell>
          <cell r="D365" t="str">
            <v>55B0150B-8C53-F011-9D65-005056856875</v>
          </cell>
          <cell r="E365">
            <v>0</v>
          </cell>
        </row>
        <row r="366">
          <cell r="A366" t="str">
            <v>LONDRINA</v>
          </cell>
          <cell r="C366" t="str">
            <v>ÁREA ARCO LESTE EMP 08</v>
          </cell>
          <cell r="D366" t="str">
            <v>E1D7007B-8C53-F011-9D65-005056856875</v>
          </cell>
          <cell r="E366">
            <v>0</v>
          </cell>
        </row>
        <row r="367">
          <cell r="A367" t="str">
            <v>LONDRINA</v>
          </cell>
          <cell r="C367" t="str">
            <v>ÁREA ARCO LESTE EMP 09</v>
          </cell>
          <cell r="D367" t="str">
            <v>03CD85A5-8C53-F011-9D65-005056856875</v>
          </cell>
          <cell r="E367">
            <v>0</v>
          </cell>
        </row>
        <row r="368">
          <cell r="A368" t="str">
            <v>LONDRINA</v>
          </cell>
          <cell r="C368" t="str">
            <v>ÁREA ARCO LESTE EMP 10</v>
          </cell>
          <cell r="D368" t="str">
            <v>F07CCACF-8C53-F011-9D65-005056856875</v>
          </cell>
          <cell r="E368">
            <v>0</v>
          </cell>
        </row>
        <row r="369">
          <cell r="A369" t="str">
            <v>MARINGÁ</v>
          </cell>
          <cell r="C369" t="str">
            <v>ÁREA BUS EMP 03</v>
          </cell>
          <cell r="D369" t="str">
            <v>ED8A3682-EF5B-F011-8E0C-80C16E075108</v>
          </cell>
          <cell r="E369">
            <v>0</v>
          </cell>
        </row>
        <row r="370">
          <cell r="A370" t="str">
            <v>BAURU</v>
          </cell>
          <cell r="C370" t="str">
            <v>ÁREA CABELUDO EMP 01</v>
          </cell>
          <cell r="D370" t="str">
            <v>3F2AC9FC-F60C-F011-B65C-009C02B0CB58</v>
          </cell>
          <cell r="E370">
            <v>0</v>
          </cell>
        </row>
        <row r="371">
          <cell r="A371" t="str">
            <v>JUIZ DE FORA</v>
          </cell>
          <cell r="C371" t="str">
            <v>ÁREA COPAMIG C</v>
          </cell>
          <cell r="D371" t="str">
            <v>388D7909-079B-E211-83E6-80C16E075108</v>
          </cell>
          <cell r="E371">
            <v>0</v>
          </cell>
        </row>
        <row r="372">
          <cell r="A372" t="str">
            <v>BAURU</v>
          </cell>
          <cell r="C372" t="str">
            <v>ÁREA DICAPRIO EMP 1</v>
          </cell>
          <cell r="D372" t="str">
            <v>58615D1D-DB1A-F011-AB5A-80C16E075108</v>
          </cell>
          <cell r="E372">
            <v>0</v>
          </cell>
        </row>
        <row r="373">
          <cell r="A373" t="str">
            <v>BELO HORIZONTE</v>
          </cell>
          <cell r="C373" t="str">
            <v>ÁREA DO ANEL EMP 01</v>
          </cell>
          <cell r="D373" t="str">
            <v>CCD50F2F-54E9-DC11-ABD0-001B7845B4A6</v>
          </cell>
          <cell r="E373">
            <v>0</v>
          </cell>
        </row>
        <row r="374">
          <cell r="A374" t="str">
            <v>CONTAGEM</v>
          </cell>
          <cell r="C374" t="str">
            <v>ÁREA ESTADO DE MINAS</v>
          </cell>
          <cell r="D374" t="str">
            <v>8E1BD80B-763C-E511-A3A7-80C16E075108</v>
          </cell>
          <cell r="E374">
            <v>464</v>
          </cell>
        </row>
        <row r="375">
          <cell r="A375" t="str">
            <v>LONDRINA</v>
          </cell>
          <cell r="C375" t="str">
            <v>ÁREA FAMÍLIA QUATI EMP 01</v>
          </cell>
          <cell r="D375" t="str">
            <v>CE5F2D9F-7670-EF11-B65C-009C02B0CB58</v>
          </cell>
          <cell r="E375">
            <v>0</v>
          </cell>
        </row>
        <row r="376">
          <cell r="A376" t="str">
            <v>SANTA LUZIA</v>
          </cell>
          <cell r="C376" t="str">
            <v>ÁREA FRIMISA</v>
          </cell>
          <cell r="D376" t="str">
            <v>1F238CA3-1F55-E811-8D3F-80C16E075108</v>
          </cell>
          <cell r="E376">
            <v>1000</v>
          </cell>
        </row>
        <row r="377">
          <cell r="A377" t="str">
            <v>CAMPINAS</v>
          </cell>
          <cell r="C377" t="str">
            <v>ÁREA FURACÃO</v>
          </cell>
          <cell r="D377" t="str">
            <v>90C1ADE3-EC04-EC11-AC3B-005056856B6C</v>
          </cell>
          <cell r="E377">
            <v>0</v>
          </cell>
        </row>
        <row r="378">
          <cell r="A378" t="str">
            <v>SÃO CARLOS</v>
          </cell>
          <cell r="C378" t="str">
            <v>ÁREA GRAMBARÉ EMP 01</v>
          </cell>
          <cell r="D378" t="str">
            <v>E5E2A485-6ACC-EF11-B65C-009C02B0CB58</v>
          </cell>
          <cell r="E378">
            <v>0</v>
          </cell>
        </row>
        <row r="379">
          <cell r="A379" t="str">
            <v>NOVA IGUAÇU</v>
          </cell>
          <cell r="C379" t="str">
            <v>ÁREA JARDIM JASMIM EMP 1</v>
          </cell>
          <cell r="D379" t="str">
            <v>54C4196C-0877-E911-A7AC-80C16E075108</v>
          </cell>
          <cell r="E379">
            <v>0</v>
          </cell>
        </row>
        <row r="380">
          <cell r="A380" t="str">
            <v>BELO HORIZONTE</v>
          </cell>
          <cell r="C380" t="str">
            <v>ÁREA LODI COND 1</v>
          </cell>
          <cell r="D380" t="str">
            <v>D056C595-ACE8-EA11-88C0-0050568AA20F</v>
          </cell>
          <cell r="E380">
            <v>160</v>
          </cell>
        </row>
        <row r="381">
          <cell r="A381" t="str">
            <v>BELO HORIZONTE</v>
          </cell>
          <cell r="C381" t="str">
            <v>ÁREA LODI COND 2</v>
          </cell>
          <cell r="D381" t="str">
            <v>C57C8B11-02F9-EA11-BEEB-005056856875</v>
          </cell>
          <cell r="E381">
            <v>0</v>
          </cell>
        </row>
        <row r="382">
          <cell r="A382" t="str">
            <v>MARINGÁ</v>
          </cell>
          <cell r="C382" t="str">
            <v>ÁREA MARAÚ EMP 01</v>
          </cell>
          <cell r="D382" t="str">
            <v>7079B1D9-AA7A-EF11-B65C-009C02B0CB58</v>
          </cell>
          <cell r="E382">
            <v>0</v>
          </cell>
        </row>
        <row r="383">
          <cell r="A383" t="str">
            <v>RIO DE JANEIRO</v>
          </cell>
          <cell r="C383" t="str">
            <v>ÁREA RAYAN EMP 1</v>
          </cell>
          <cell r="D383" t="str">
            <v>4EB7A93C-7AE3-E911-82AB-0050568AA20F</v>
          </cell>
          <cell r="E383">
            <v>480</v>
          </cell>
        </row>
        <row r="384">
          <cell r="A384" t="str">
            <v>SUZANO</v>
          </cell>
          <cell r="C384" t="str">
            <v>ÁREA ROSSI</v>
          </cell>
          <cell r="D384" t="str">
            <v>A769F2AA-83CF-E111-84E1-001F2909E810</v>
          </cell>
          <cell r="E384">
            <v>0</v>
          </cell>
        </row>
        <row r="385">
          <cell r="A385" t="str">
            <v>RIBEIRÃO PRETO</v>
          </cell>
          <cell r="C385" t="str">
            <v>ÁREA SOTTO CONDOMÍNIO 5</v>
          </cell>
          <cell r="D385" t="str">
            <v>F53A422C-9A17-EA11-BA0A-0050568AA20F</v>
          </cell>
          <cell r="E385">
            <v>0</v>
          </cell>
        </row>
        <row r="386">
          <cell r="A386" t="str">
            <v>VESPASIANO</v>
          </cell>
          <cell r="C386" t="str">
            <v>ÁREA VALE EMP 02</v>
          </cell>
          <cell r="D386" t="str">
            <v>4CB3C459-025D-EC11-B2FE-005056895191</v>
          </cell>
          <cell r="E386">
            <v>500</v>
          </cell>
        </row>
        <row r="387">
          <cell r="A387" t="str">
            <v>VESPASIANO</v>
          </cell>
          <cell r="C387" t="str">
            <v>ÁREA VALE EMP 03</v>
          </cell>
          <cell r="D387" t="str">
            <v>A4451DAE-A75D-EC11-B501-005056856B6C</v>
          </cell>
          <cell r="E387">
            <v>437</v>
          </cell>
        </row>
        <row r="388">
          <cell r="A388" t="str">
            <v>VESPASIANO</v>
          </cell>
          <cell r="C388" t="str">
            <v>ÁREA VALE EMP 04</v>
          </cell>
          <cell r="D388" t="str">
            <v>E3F4B18F-075D-EC11-B2FE-005056895191</v>
          </cell>
          <cell r="E388">
            <v>500</v>
          </cell>
        </row>
        <row r="389">
          <cell r="A389" t="str">
            <v>VESPASIANO</v>
          </cell>
          <cell r="C389" t="str">
            <v>ÁREA VALE EMP 05</v>
          </cell>
          <cell r="D389" t="str">
            <v>5246F0E5-075D-EC11-B2FE-005056895191</v>
          </cell>
          <cell r="E389">
            <v>453</v>
          </cell>
        </row>
        <row r="390">
          <cell r="A390" t="str">
            <v>VESPASIANO</v>
          </cell>
          <cell r="C390" t="str">
            <v>ÁREA VALE EMP 06</v>
          </cell>
          <cell r="D390" t="str">
            <v>78583847-085D-EC11-B2FE-005056895191</v>
          </cell>
          <cell r="E390">
            <v>477</v>
          </cell>
        </row>
        <row r="391">
          <cell r="A391" t="str">
            <v>VESPASIANO</v>
          </cell>
          <cell r="C391" t="str">
            <v>ÁREA VALE EMP 07</v>
          </cell>
          <cell r="D391" t="str">
            <v>EC9A2E71-0A5D-EC11-B2FE-005056895191</v>
          </cell>
          <cell r="E391">
            <v>500</v>
          </cell>
        </row>
        <row r="392">
          <cell r="A392" t="str">
            <v>VESPASIANO</v>
          </cell>
          <cell r="C392" t="str">
            <v>ÁREA VALE EMP 08</v>
          </cell>
          <cell r="D392" t="str">
            <v>1F20C342-0B5D-EC11-B2FE-005056895191</v>
          </cell>
          <cell r="E392">
            <v>500</v>
          </cell>
        </row>
        <row r="393">
          <cell r="A393" t="str">
            <v>VESPASIANO</v>
          </cell>
          <cell r="C393" t="str">
            <v>ÁREA VALE EMP 09</v>
          </cell>
          <cell r="D393" t="str">
            <v>7C6608AA-0B5D-EC11-B2FE-005056895191</v>
          </cell>
          <cell r="E393">
            <v>500</v>
          </cell>
        </row>
        <row r="394">
          <cell r="A394" t="str">
            <v>VESPASIANO</v>
          </cell>
          <cell r="C394" t="str">
            <v>ÁREA VALE EMP 10</v>
          </cell>
          <cell r="D394" t="str">
            <v>3E7A3905-0C5D-EC11-B2FE-005056895191</v>
          </cell>
          <cell r="E394">
            <v>413</v>
          </cell>
        </row>
        <row r="395">
          <cell r="A395" t="str">
            <v>VESPASIANO</v>
          </cell>
          <cell r="C395" t="str">
            <v>ÁREA VALE EMP 11</v>
          </cell>
          <cell r="D395" t="str">
            <v>53B94851-0C5D-EC11-B2FE-005056895191</v>
          </cell>
          <cell r="E395">
            <v>500</v>
          </cell>
        </row>
        <row r="396">
          <cell r="A396" t="str">
            <v>VESPASIANO</v>
          </cell>
          <cell r="C396" t="str">
            <v>ÁREA VALE EMP 12</v>
          </cell>
          <cell r="D396" t="str">
            <v>CCB996E3-0C5D-EC11-B2FE-005056895191</v>
          </cell>
          <cell r="E396">
            <v>318</v>
          </cell>
        </row>
        <row r="397">
          <cell r="A397" t="str">
            <v>VESPASIANO</v>
          </cell>
          <cell r="C397" t="str">
            <v>ÁREA VALE EMP 13</v>
          </cell>
          <cell r="D397" t="str">
            <v>0CAE3B42-0D5D-EC11-B2FE-005056895191</v>
          </cell>
          <cell r="E397">
            <v>318</v>
          </cell>
        </row>
        <row r="398">
          <cell r="A398" t="str">
            <v>VESPASIANO</v>
          </cell>
          <cell r="C398" t="str">
            <v>ÁREA VALE EMP 14</v>
          </cell>
          <cell r="D398" t="str">
            <v>E6308C94-0D5D-EC11-B2FE-005056895191</v>
          </cell>
          <cell r="E398">
            <v>318</v>
          </cell>
        </row>
        <row r="399">
          <cell r="A399" t="str">
            <v>VESPASIANO</v>
          </cell>
          <cell r="C399" t="str">
            <v>ÁREA VALE EMP 15</v>
          </cell>
          <cell r="D399" t="str">
            <v>EE52CAEE-0D5D-EC11-B2FE-005056895191</v>
          </cell>
          <cell r="E399">
            <v>318</v>
          </cell>
        </row>
        <row r="400">
          <cell r="A400" t="str">
            <v>VESPASIANO</v>
          </cell>
          <cell r="C400" t="str">
            <v>ÁREA VALE EMP 16</v>
          </cell>
          <cell r="D400" t="str">
            <v>1A8ED1DB-115D-EC11-B2FE-005056895191</v>
          </cell>
          <cell r="E400">
            <v>318</v>
          </cell>
        </row>
        <row r="401">
          <cell r="A401" t="str">
            <v>VESPASIANO</v>
          </cell>
          <cell r="C401" t="str">
            <v>ÁREA VALE EMP 17</v>
          </cell>
          <cell r="D401" t="str">
            <v>D0F7521D-A85D-EC11-B501-005056856B6C</v>
          </cell>
          <cell r="E401">
            <v>477</v>
          </cell>
        </row>
        <row r="402">
          <cell r="A402" t="str">
            <v>BELO HORIZONTE</v>
          </cell>
          <cell r="C402" t="str">
            <v>ARGEL</v>
          </cell>
          <cell r="D402" t="str">
            <v>9A8A0D9E-2C8A-DD11-8A4F-001B78B9D994</v>
          </cell>
          <cell r="E402">
            <v>40</v>
          </cell>
        </row>
        <row r="403">
          <cell r="A403" t="str">
            <v>ARAÇATUBA</v>
          </cell>
          <cell r="C403" t="str">
            <v>ART LIFE RESIDENCIAL</v>
          </cell>
          <cell r="D403" t="str">
            <v>C1BA8EFB-5A4A-E811-A00D-009C02B0CB58</v>
          </cell>
          <cell r="E403">
            <v>176</v>
          </cell>
        </row>
        <row r="404">
          <cell r="A404" t="str">
            <v>BELO HORIZONTE</v>
          </cell>
          <cell r="C404" t="str">
            <v>ASTÚRIAS</v>
          </cell>
          <cell r="D404" t="str">
            <v>9092DB85-328A-DD11-8A4F-001B78B9D994</v>
          </cell>
          <cell r="E404">
            <v>60</v>
          </cell>
        </row>
        <row r="405">
          <cell r="A405" t="str">
            <v>BELO HORIZONTE</v>
          </cell>
          <cell r="C405" t="str">
            <v>ATLÂNTIDA</v>
          </cell>
          <cell r="D405" t="str">
            <v>635C5EC5-378A-DD11-8A4F-001B78B9D994</v>
          </cell>
          <cell r="E405">
            <v>96</v>
          </cell>
        </row>
        <row r="406">
          <cell r="A406" t="str">
            <v>CUIABÁ</v>
          </cell>
          <cell r="C406" t="str">
            <v>ÁUREA</v>
          </cell>
          <cell r="D406" t="str">
            <v>DA8BEB59-0052-EC11-B501-005056856B6C</v>
          </cell>
          <cell r="E406">
            <v>0</v>
          </cell>
        </row>
        <row r="407">
          <cell r="A407" t="str">
            <v>BELO HORIZONTE</v>
          </cell>
          <cell r="C407" t="str">
            <v>AUSTRÁLIA</v>
          </cell>
          <cell r="D407" t="str">
            <v>FCAFBEC3-3C8A-DD11-8A4F-001B78B9D994</v>
          </cell>
          <cell r="E407">
            <v>6</v>
          </cell>
        </row>
        <row r="408">
          <cell r="A408" t="str">
            <v>BELO HORIZONTE</v>
          </cell>
          <cell r="C408" t="str">
            <v>AVANT GARDE</v>
          </cell>
          <cell r="D408" t="str">
            <v>ED8C694D-8EEC-DC11-A2F9-001B7845B4A6</v>
          </cell>
          <cell r="E408">
            <v>32</v>
          </cell>
        </row>
        <row r="409">
          <cell r="A409" t="str">
            <v>CAMPO GRANDE</v>
          </cell>
          <cell r="C409" t="str">
            <v>AZURE</v>
          </cell>
          <cell r="D409" t="str">
            <v>0204BE5D-874F-EB11-85D0-005056856875</v>
          </cell>
          <cell r="E409">
            <v>0</v>
          </cell>
        </row>
        <row r="410">
          <cell r="A410" t="str">
            <v>BELO HORIZONTE</v>
          </cell>
          <cell r="C410" t="str">
            <v>BALBEC</v>
          </cell>
          <cell r="D410" t="str">
            <v>A7141B13-72DB-DF11-B242-001F2909E810</v>
          </cell>
          <cell r="E410">
            <v>1</v>
          </cell>
        </row>
        <row r="411">
          <cell r="A411" t="str">
            <v>LIMEIRA</v>
          </cell>
          <cell r="C411" t="str">
            <v>BANG BANG EMP 01</v>
          </cell>
          <cell r="D411" t="str">
            <v>973F61B8-4257-F011-8E0C-80C16E075108</v>
          </cell>
          <cell r="E411">
            <v>0</v>
          </cell>
        </row>
        <row r="412">
          <cell r="A412" t="str">
            <v>BOTUCATU</v>
          </cell>
          <cell r="C412" t="str">
            <v>BARÃO DE BARCELOS</v>
          </cell>
          <cell r="D412" t="str">
            <v>28E4194B-3A2D-E811-A00D-009C02B0CB58</v>
          </cell>
          <cell r="E412">
            <v>300</v>
          </cell>
        </row>
        <row r="413">
          <cell r="A413" t="str">
            <v>BELO HORIZONTE</v>
          </cell>
          <cell r="C413" t="str">
            <v>BARILOCHE</v>
          </cell>
          <cell r="D413" t="str">
            <v>2B3C0EAD-4F8A-DD11-8A4F-001B78B9D994</v>
          </cell>
          <cell r="E413">
            <v>4</v>
          </cell>
        </row>
        <row r="414">
          <cell r="A414" t="str">
            <v>BAURU</v>
          </cell>
          <cell r="C414" t="str">
            <v>BELA FRANÇA</v>
          </cell>
          <cell r="D414" t="str">
            <v>F8ADB2F9-F8B4-E711-9550-005056856B6C</v>
          </cell>
          <cell r="E414">
            <v>100</v>
          </cell>
        </row>
        <row r="415">
          <cell r="A415" t="str">
            <v>BAURU</v>
          </cell>
          <cell r="C415" t="str">
            <v>BELA GRÉCIA</v>
          </cell>
          <cell r="D415" t="str">
            <v>EEE6C72D-CDD5-E711-B989-80C16E075108</v>
          </cell>
          <cell r="E415">
            <v>200</v>
          </cell>
        </row>
        <row r="416">
          <cell r="A416" t="str">
            <v>BAURU</v>
          </cell>
          <cell r="C416" t="str">
            <v>BELA SUÍÇA</v>
          </cell>
          <cell r="D416" t="str">
            <v>6A86C6CB-992E-E811-A00D-009C02B0CB58</v>
          </cell>
          <cell r="E416">
            <v>140</v>
          </cell>
        </row>
        <row r="417">
          <cell r="A417" t="str">
            <v>BOTUCATU</v>
          </cell>
          <cell r="C417" t="str">
            <v>BELIZE RESIDENCIAL</v>
          </cell>
          <cell r="D417" t="str">
            <v>58A1F515-46DB-E711-B989-80C16E075108</v>
          </cell>
          <cell r="E417">
            <v>220</v>
          </cell>
        </row>
        <row r="418">
          <cell r="A418" t="str">
            <v>VALPARAÍSO DE GOIÁS</v>
          </cell>
          <cell r="C418" t="str">
            <v>BELLE FIORI</v>
          </cell>
          <cell r="D418" t="str">
            <v>119E7552-7BD3-DE11-8C8B-001F2909E810</v>
          </cell>
          <cell r="E418">
            <v>96</v>
          </cell>
        </row>
        <row r="419">
          <cell r="A419" t="str">
            <v>VALPARAÍSO DE GOIÁS</v>
          </cell>
          <cell r="C419" t="str">
            <v>BELLE STANZA</v>
          </cell>
          <cell r="D419" t="str">
            <v>F03CAF31-7BD3-DE11-8C8B-001F2909E810</v>
          </cell>
          <cell r="E419">
            <v>192</v>
          </cell>
        </row>
        <row r="420">
          <cell r="A420" t="str">
            <v>VALPARAÍSO DE GOIÁS</v>
          </cell>
          <cell r="C420" t="str">
            <v>BELLE STELLA</v>
          </cell>
          <cell r="D420" t="str">
            <v>D9FD44EC-7AD3-DE11-8C8B-001F2909E810</v>
          </cell>
          <cell r="E420">
            <v>400</v>
          </cell>
        </row>
        <row r="421">
          <cell r="A421" t="str">
            <v>BELO HORIZONTE</v>
          </cell>
          <cell r="C421" t="str">
            <v>BELLE VILLE</v>
          </cell>
          <cell r="D421" t="str">
            <v>655AB4DE-76D9-DC11-ABCF-001B7845B4A6</v>
          </cell>
          <cell r="E421">
            <v>100</v>
          </cell>
        </row>
        <row r="422">
          <cell r="A422" t="str">
            <v>VALPARAÍSO DE GOIÁS</v>
          </cell>
          <cell r="C422" t="str">
            <v>BELLO CIELO</v>
          </cell>
          <cell r="D422" t="str">
            <v>8717051A-284C-DD11-BC22-001B78B9D994</v>
          </cell>
          <cell r="E422">
            <v>344</v>
          </cell>
        </row>
        <row r="423">
          <cell r="A423" t="str">
            <v>VALPARAÍSO DE GOIÁS</v>
          </cell>
          <cell r="C423" t="str">
            <v>BELLO SOLARE</v>
          </cell>
          <cell r="D423" t="str">
            <v>C3BA9BC5-7AD3-DE11-8C8B-001F2909E810</v>
          </cell>
          <cell r="E423">
            <v>368</v>
          </cell>
        </row>
        <row r="424">
          <cell r="A424" t="str">
            <v>BELFORD ROXO</v>
          </cell>
          <cell r="C424" t="str">
            <v>BELO CAMPO</v>
          </cell>
          <cell r="D424" t="str">
            <v>D7BCC29F-CA49-DD11-BC22-001B78B9D994</v>
          </cell>
          <cell r="E424">
            <v>624</v>
          </cell>
        </row>
        <row r="425">
          <cell r="A425" t="str">
            <v>GUARULHOS</v>
          </cell>
          <cell r="C425" t="str">
            <v>BEM VIVER GUARULHOS</v>
          </cell>
          <cell r="D425" t="str">
            <v>982CF337-3B96-DE11-B196-001F2909E83C</v>
          </cell>
          <cell r="E425">
            <v>920</v>
          </cell>
        </row>
        <row r="426">
          <cell r="A426" t="str">
            <v>BELO HORIZONTE</v>
          </cell>
          <cell r="C426" t="str">
            <v>BERLIM</v>
          </cell>
          <cell r="D426" t="str">
            <v>4A8261BE-5AE2-DD11-BD2B-001B78B9D994</v>
          </cell>
          <cell r="E426">
            <v>0</v>
          </cell>
        </row>
        <row r="427">
          <cell r="A427" t="str">
            <v>UBERABA</v>
          </cell>
          <cell r="C427" t="str">
            <v>BETO MENDES EMP 02</v>
          </cell>
          <cell r="D427" t="str">
            <v>BC756297-653F-ED11-BBD2-80C16E075108</v>
          </cell>
          <cell r="E427">
            <v>0</v>
          </cell>
        </row>
        <row r="428">
          <cell r="A428" t="str">
            <v>UBERABA</v>
          </cell>
          <cell r="C428" t="str">
            <v>BETO MENDES EMP 03</v>
          </cell>
          <cell r="D428" t="str">
            <v>9AB45420-663F-ED11-BBD2-80C16E075108</v>
          </cell>
          <cell r="E428">
            <v>0</v>
          </cell>
        </row>
        <row r="429">
          <cell r="A429" t="str">
            <v>SÃO PAULO</v>
          </cell>
          <cell r="C429" t="str">
            <v>BLOCKBUSTER EMP 01</v>
          </cell>
          <cell r="D429" t="str">
            <v>8746250F-6CCC-EF11-B65C-009C02B0CB58</v>
          </cell>
          <cell r="E429">
            <v>0</v>
          </cell>
        </row>
        <row r="430">
          <cell r="A430" t="str">
            <v>LAGOA SANTA</v>
          </cell>
          <cell r="C430" t="str">
            <v>BLUE PUB EMP 01</v>
          </cell>
          <cell r="D430" t="str">
            <v>0184081D-88C3-EF11-AAAE-005056856875</v>
          </cell>
          <cell r="E430">
            <v>0</v>
          </cell>
        </row>
        <row r="431">
          <cell r="A431" t="str">
            <v>MARINGÁ</v>
          </cell>
          <cell r="C431" t="str">
            <v>BOLA DE NEVE EMP 01</v>
          </cell>
          <cell r="D431" t="str">
            <v>6ABD0584-BEBB-EF11-B65C-009C02B0CB58</v>
          </cell>
          <cell r="E431">
            <v>0</v>
          </cell>
        </row>
        <row r="432">
          <cell r="A432" t="str">
            <v>MARINGÁ</v>
          </cell>
          <cell r="C432" t="str">
            <v>BOLA DE NEVE EMP 02</v>
          </cell>
          <cell r="D432" t="str">
            <v>54A17EDD-2D2C-F011-AB5A-80C16E075108</v>
          </cell>
          <cell r="E432">
            <v>0</v>
          </cell>
        </row>
        <row r="433">
          <cell r="A433" t="str">
            <v>BELO HORIZONTE</v>
          </cell>
          <cell r="C433" t="str">
            <v>BOLIVIA</v>
          </cell>
          <cell r="D433" t="str">
            <v>E0F37B3A-73DB-DF11-B242-001F2909E810</v>
          </cell>
          <cell r="E433">
            <v>15</v>
          </cell>
        </row>
        <row r="434">
          <cell r="A434" t="str">
            <v>LONDRINA</v>
          </cell>
          <cell r="C434" t="str">
            <v>BOM PEIXE EMP 01</v>
          </cell>
          <cell r="D434" t="str">
            <v>805F7882-A2B9-EC11-B1AD-005056856875</v>
          </cell>
          <cell r="E434">
            <v>0</v>
          </cell>
        </row>
        <row r="435">
          <cell r="A435" t="str">
            <v>LONDRINA</v>
          </cell>
          <cell r="C435" t="str">
            <v>BOM PEIXE EMP 02</v>
          </cell>
          <cell r="D435" t="str">
            <v>58533FBF-A4B9-EC11-B1AD-005056856875</v>
          </cell>
          <cell r="E435">
            <v>0</v>
          </cell>
        </row>
        <row r="436">
          <cell r="A436" t="str">
            <v>LONDRINA</v>
          </cell>
          <cell r="C436" t="str">
            <v>BOM PEIXE EMP 03</v>
          </cell>
          <cell r="D436" t="str">
            <v>988FAC03-A7B9-EC11-BA45-005056890018</v>
          </cell>
          <cell r="E436">
            <v>0</v>
          </cell>
        </row>
        <row r="437">
          <cell r="A437" t="str">
            <v>ARARAQUARA</v>
          </cell>
          <cell r="C437" t="str">
            <v>BOMBA GRANDE EMP 02</v>
          </cell>
          <cell r="D437" t="str">
            <v>330B4FE8-6C4F-EF11-A9C6-80C16E075108</v>
          </cell>
          <cell r="E437">
            <v>0</v>
          </cell>
        </row>
        <row r="438">
          <cell r="A438" t="str">
            <v>ARARAQUARA</v>
          </cell>
          <cell r="C438" t="str">
            <v>BOMBA GRANDE EMP 03</v>
          </cell>
          <cell r="D438" t="str">
            <v>47A7C12E-3116-EF11-9143-80C16E075108</v>
          </cell>
          <cell r="E438">
            <v>0</v>
          </cell>
        </row>
        <row r="439">
          <cell r="A439" t="str">
            <v>ARARAQUARA</v>
          </cell>
          <cell r="C439" t="str">
            <v>BOMBA GRANDE EMP 04</v>
          </cell>
          <cell r="D439" t="str">
            <v>14EA0127-6D4F-EF11-A9C6-80C16E075108</v>
          </cell>
          <cell r="E439">
            <v>0</v>
          </cell>
        </row>
        <row r="440">
          <cell r="A440" t="str">
            <v>ARARAQUARA</v>
          </cell>
          <cell r="C440" t="str">
            <v>BOMBA GRANDE EMP 05</v>
          </cell>
          <cell r="D440" t="str">
            <v>17332E5B-6D4F-EF11-A9C6-80C16E075108</v>
          </cell>
          <cell r="E440">
            <v>0</v>
          </cell>
        </row>
        <row r="441">
          <cell r="A441" t="str">
            <v>ARARAQUARA</v>
          </cell>
          <cell r="C441" t="str">
            <v>BOMBA GRANDE EMP 06</v>
          </cell>
          <cell r="D441" t="str">
            <v>82448483-6D4F-EF11-A9C6-80C16E075108</v>
          </cell>
          <cell r="E441">
            <v>0</v>
          </cell>
        </row>
        <row r="442">
          <cell r="A442" t="str">
            <v>ARARAQUARA</v>
          </cell>
          <cell r="C442" t="str">
            <v>BOMBA GRANDE EMP01</v>
          </cell>
          <cell r="D442" t="str">
            <v>39EA6CFB-433E-EC11-B501-005056856B6C</v>
          </cell>
          <cell r="E442">
            <v>944</v>
          </cell>
        </row>
        <row r="443">
          <cell r="A443" t="str">
            <v>FORTALEZA</v>
          </cell>
          <cell r="C443" t="str">
            <v>BONAVITA CONDOMÍNIO CLUBE</v>
          </cell>
          <cell r="D443" t="str">
            <v>AF35481F-F9B4-DF11-B20E-001F2909E810</v>
          </cell>
          <cell r="E443">
            <v>220</v>
          </cell>
        </row>
        <row r="444">
          <cell r="A444" t="str">
            <v>BAURU</v>
          </cell>
          <cell r="C444" t="str">
            <v>BONUTTI</v>
          </cell>
          <cell r="D444" t="str">
            <v>3318BF5F-F484-DD11-8A4F-001B78B9D994</v>
          </cell>
          <cell r="E444">
            <v>144</v>
          </cell>
        </row>
        <row r="445">
          <cell r="A445" t="str">
            <v>BAURU</v>
          </cell>
          <cell r="C445" t="str">
            <v>BORGHESI</v>
          </cell>
          <cell r="D445" t="str">
            <v>4D78C196-336A-DE11-BFF6-001F2909E83C</v>
          </cell>
          <cell r="E445">
            <v>260</v>
          </cell>
        </row>
        <row r="446">
          <cell r="A446" t="str">
            <v>CONTAGEM</v>
          </cell>
          <cell r="C446" t="str">
            <v>BOSQUE AURORA</v>
          </cell>
          <cell r="D446" t="str">
            <v>D9F3F1EE-22DB-DC11-ABCF-001B7845B4A6</v>
          </cell>
          <cell r="E446">
            <v>32</v>
          </cell>
        </row>
        <row r="447">
          <cell r="A447" t="str">
            <v>CONTAGEM</v>
          </cell>
          <cell r="C447" t="str">
            <v>BOSQUE DA FIGUEIRA</v>
          </cell>
          <cell r="D447" t="str">
            <v>0229601B-CCE7-DC11-ABD0-001B7845B4A6</v>
          </cell>
          <cell r="E447">
            <v>32</v>
          </cell>
        </row>
        <row r="448">
          <cell r="A448" t="str">
            <v>CONTAGEM</v>
          </cell>
          <cell r="C448" t="str">
            <v>BOSQUE DA RIBEIRA</v>
          </cell>
          <cell r="D448" t="str">
            <v>21073504-4CE9-DC11-ABD0-001B7845B4A6</v>
          </cell>
          <cell r="E448">
            <v>288</v>
          </cell>
        </row>
        <row r="449">
          <cell r="A449" t="str">
            <v>CONTAGEM</v>
          </cell>
          <cell r="C449" t="str">
            <v>BOSQUE DAS LARANJEIRAS</v>
          </cell>
          <cell r="D449" t="str">
            <v>0C3810B6-CCE7-DC11-ABD0-001B7845B4A6</v>
          </cell>
          <cell r="E449">
            <v>256</v>
          </cell>
        </row>
        <row r="450">
          <cell r="A450" t="str">
            <v>CONTAGEM</v>
          </cell>
          <cell r="C450" t="str">
            <v>BOSQUE DAS OLIVEIRAS</v>
          </cell>
          <cell r="D450" t="str">
            <v>8E61C441-23DB-DC11-ABCF-001B7845B4A6</v>
          </cell>
          <cell r="E450">
            <v>72</v>
          </cell>
        </row>
        <row r="451">
          <cell r="A451" t="str">
            <v>CONTAGEM</v>
          </cell>
          <cell r="C451" t="str">
            <v>BOSQUE DAS SAPUCAIAS</v>
          </cell>
          <cell r="D451" t="str">
            <v>40A71DE9-4BE9-DC11-ABD0-001B7845B4A6</v>
          </cell>
          <cell r="E451">
            <v>128</v>
          </cell>
        </row>
        <row r="452">
          <cell r="A452" t="str">
            <v>CONTAGEM</v>
          </cell>
          <cell r="C452" t="str">
            <v>BOSQUE DAS SERINGUEIRAS</v>
          </cell>
          <cell r="D452" t="str">
            <v>D0ABEB3A-4CE9-DC11-ABD0-001B7845B4A6</v>
          </cell>
          <cell r="E452">
            <v>96</v>
          </cell>
        </row>
        <row r="453">
          <cell r="A453" t="str">
            <v>CONTAGEM</v>
          </cell>
          <cell r="C453" t="str">
            <v>BOSQUE DO INDAIÁ</v>
          </cell>
          <cell r="D453" t="str">
            <v>5C0FC381-CCE7-DC11-ABD0-001B7845B4A6</v>
          </cell>
          <cell r="E453">
            <v>192</v>
          </cell>
        </row>
        <row r="454">
          <cell r="A454" t="str">
            <v>CONTAGEM</v>
          </cell>
          <cell r="C454" t="str">
            <v>BOSQUE DO INGÁ</v>
          </cell>
          <cell r="D454" t="str">
            <v>9693C35E-CCE7-DC11-ABD0-001B7845B4A6</v>
          </cell>
          <cell r="E454">
            <v>112</v>
          </cell>
        </row>
        <row r="455">
          <cell r="A455" t="str">
            <v>CONTAGEM</v>
          </cell>
          <cell r="C455" t="str">
            <v>BOSQUE DOS JATOBÁS</v>
          </cell>
          <cell r="D455" t="str">
            <v>9FFD3334-B04E-DE11-B0E8-001F2909E83C</v>
          </cell>
          <cell r="E455">
            <v>160</v>
          </cell>
        </row>
        <row r="456">
          <cell r="A456" t="str">
            <v>SÃO PAULO</v>
          </cell>
          <cell r="C456" t="str">
            <v>BOSQUE MAIA</v>
          </cell>
          <cell r="D456" t="str">
            <v>2692F1BA-F9DF-E511-B93A-80C16E075108</v>
          </cell>
          <cell r="E456">
            <v>288</v>
          </cell>
        </row>
        <row r="457">
          <cell r="A457" t="str">
            <v>CONTAGEM</v>
          </cell>
          <cell r="C457" t="str">
            <v>BOSQUE VERDE</v>
          </cell>
          <cell r="D457" t="str">
            <v>9F7B1022-4CE9-DC11-ABD0-001B7845B4A6</v>
          </cell>
          <cell r="E457">
            <v>64</v>
          </cell>
        </row>
        <row r="458">
          <cell r="A458" t="str">
            <v>BELO HORIZONTE</v>
          </cell>
          <cell r="C458" t="str">
            <v>BOSSA NOVA PARK</v>
          </cell>
          <cell r="D458" t="str">
            <v>A5B47FF2-129C-DF11-B20E-001F2909E810</v>
          </cell>
          <cell r="E458">
            <v>150</v>
          </cell>
        </row>
        <row r="459">
          <cell r="A459" t="str">
            <v>CONTAGEM</v>
          </cell>
          <cell r="C459" t="str">
            <v>BURGUERIA EMP 01</v>
          </cell>
          <cell r="D459" t="str">
            <v>41BA72C6-FBFE-EC11-B1AD-005056856875</v>
          </cell>
          <cell r="E459">
            <v>0</v>
          </cell>
        </row>
        <row r="460">
          <cell r="A460" t="str">
            <v>BELO HORIZONTE</v>
          </cell>
          <cell r="C460" t="str">
            <v>BURLE MARX</v>
          </cell>
          <cell r="D460" t="str">
            <v>4D801FC1-4AE9-DC11-ABD0-001B7845B4A6</v>
          </cell>
          <cell r="E460">
            <v>176</v>
          </cell>
        </row>
        <row r="461">
          <cell r="A461" t="str">
            <v>JUNDIAÍ</v>
          </cell>
          <cell r="C461" t="str">
            <v>CABEÇA DE BACALHAU EMP 01</v>
          </cell>
          <cell r="D461" t="str">
            <v>24D0472D-EDAB-EE11-A95E-005056856875</v>
          </cell>
          <cell r="E461">
            <v>0</v>
          </cell>
        </row>
        <row r="462">
          <cell r="A462" t="str">
            <v>JUNDIAÍ</v>
          </cell>
          <cell r="C462" t="str">
            <v>CABEÇA DE BACALHAU EMP 02</v>
          </cell>
          <cell r="D462" t="str">
            <v>1FDE90A2-EDAB-EE11-A95E-005056856875</v>
          </cell>
          <cell r="E462">
            <v>0</v>
          </cell>
        </row>
        <row r="463">
          <cell r="A463" t="str">
            <v>JUNDIAÍ</v>
          </cell>
          <cell r="C463" t="str">
            <v>CABEÇA DE BACALHAU EMP 03</v>
          </cell>
          <cell r="D463" t="str">
            <v>33A3AE77-EEAB-EE11-A95E-005056856875</v>
          </cell>
          <cell r="E463">
            <v>0</v>
          </cell>
        </row>
        <row r="464">
          <cell r="A464" t="str">
            <v>BETIM</v>
          </cell>
          <cell r="C464" t="str">
            <v>CACHOEIRA DOS CRISTAIS</v>
          </cell>
          <cell r="D464" t="str">
            <v>6C5856F5-C8CF-E311-B03C-80C16E075108</v>
          </cell>
          <cell r="E464">
            <v>560</v>
          </cell>
        </row>
        <row r="465">
          <cell r="A465" t="str">
            <v>SÃO JOSÉ DO RIO PRETO</v>
          </cell>
          <cell r="C465" t="str">
            <v>CACHORRO DO MATO NOVO EMP</v>
          </cell>
          <cell r="D465" t="str">
            <v>9AAEF060-B9AC-EF11-B65C-009C02B0CB58</v>
          </cell>
          <cell r="E465">
            <v>448</v>
          </cell>
        </row>
        <row r="466">
          <cell r="A466" t="str">
            <v>CAMPO GRANDE</v>
          </cell>
          <cell r="C466" t="str">
            <v>CAFÉ SUAVE EMP 01</v>
          </cell>
          <cell r="D466" t="str">
            <v>DC94CC40-8E52-F011-8E0C-80C16E075108</v>
          </cell>
          <cell r="E466">
            <v>0</v>
          </cell>
        </row>
        <row r="467">
          <cell r="A467" t="str">
            <v>RIBEIRÃO PRETO</v>
          </cell>
          <cell r="C467" t="str">
            <v>CAHIMA EMP 01</v>
          </cell>
          <cell r="D467" t="str">
            <v>64466F75-AF7E-EC11-A871-005056895191</v>
          </cell>
          <cell r="E467">
            <v>0</v>
          </cell>
        </row>
        <row r="468">
          <cell r="A468" t="str">
            <v>RIBEIRÃO PRETO</v>
          </cell>
          <cell r="C468" t="str">
            <v>CAHIMA EMP 02</v>
          </cell>
          <cell r="D468" t="str">
            <v>975841E6-B17E-EC11-A871-005056895191</v>
          </cell>
          <cell r="E468">
            <v>0</v>
          </cell>
        </row>
        <row r="469">
          <cell r="A469" t="str">
            <v>RIBEIRÃO PRETO</v>
          </cell>
          <cell r="C469" t="str">
            <v>CAHIMA EMP 03</v>
          </cell>
          <cell r="D469" t="str">
            <v>ECCF6443-B47E-EC11-A871-005056895191</v>
          </cell>
          <cell r="E469">
            <v>0</v>
          </cell>
        </row>
        <row r="470">
          <cell r="A470" t="str">
            <v>RIBEIRÃO PRETO</v>
          </cell>
          <cell r="C470" t="str">
            <v>CAHIMA EMP 04</v>
          </cell>
          <cell r="D470" t="str">
            <v>F5195508-B67E-EC11-B501-005056856B6C</v>
          </cell>
          <cell r="E470">
            <v>0</v>
          </cell>
        </row>
        <row r="471">
          <cell r="A471" t="str">
            <v>SÃO GONÇALO</v>
          </cell>
          <cell r="C471" t="str">
            <v>CALANDRINE EMP 01</v>
          </cell>
          <cell r="D471" t="str">
            <v>B706BDC4-EF90-ED11-98D9-009C02B0CB58</v>
          </cell>
          <cell r="E471">
            <v>0</v>
          </cell>
        </row>
        <row r="472">
          <cell r="A472" t="str">
            <v>SÃO GONÇALO</v>
          </cell>
          <cell r="C472" t="str">
            <v>RESIDENCIAL MORADA REAL</v>
          </cell>
          <cell r="D472" t="str">
            <v>151EA096-F190-ED11-98D9-009C02B0CB58</v>
          </cell>
          <cell r="E472">
            <v>0</v>
          </cell>
        </row>
        <row r="473">
          <cell r="A473" t="str">
            <v>SÃO JOSÉ DOS CAMPOS</v>
          </cell>
          <cell r="C473" t="str">
            <v>CAMINHO DAS PITANGUEIRAS</v>
          </cell>
          <cell r="D473" t="str">
            <v>991E5239-B26A-E911-90BB-80C16E075108</v>
          </cell>
          <cell r="E473">
            <v>299</v>
          </cell>
        </row>
        <row r="474">
          <cell r="A474" t="str">
            <v>SÃO JOSÉ DOS CAMPOS</v>
          </cell>
          <cell r="C474" t="str">
            <v>CAMINHO DOS CAMBUCIS</v>
          </cell>
          <cell r="D474" t="str">
            <v>326B4A1C-4A77-E911-A7AC-80C16E075108</v>
          </cell>
          <cell r="E474">
            <v>208</v>
          </cell>
        </row>
        <row r="475">
          <cell r="A475" t="str">
            <v>CURITIBA</v>
          </cell>
          <cell r="C475" t="str">
            <v>CAMÕES</v>
          </cell>
          <cell r="D475" t="str">
            <v>1B5BE56D-DC46-DD11-BC22-001B78B9D994</v>
          </cell>
          <cell r="E475">
            <v>80</v>
          </cell>
        </row>
        <row r="476">
          <cell r="A476" t="str">
            <v>SÃO JOSÉ DOS CAMPOS</v>
          </cell>
          <cell r="C476" t="str">
            <v>CAMPO ALEGRE</v>
          </cell>
          <cell r="D476" t="str">
            <v>49BE256B-C2CC-DF11-B242-001F2909E810</v>
          </cell>
          <cell r="E476">
            <v>13</v>
          </cell>
        </row>
        <row r="477">
          <cell r="A477" t="str">
            <v>SÃO JOSÉ DOS CAMPOS</v>
          </cell>
          <cell r="C477" t="str">
            <v>CAMPO BELO</v>
          </cell>
          <cell r="D477" t="str">
            <v>7103A31D-C9CC-DF11-B242-001F2909E810</v>
          </cell>
          <cell r="E477">
            <v>10</v>
          </cell>
        </row>
        <row r="478">
          <cell r="A478" t="str">
            <v>SÃO JOSÉ DOS CAMPOS</v>
          </cell>
          <cell r="C478" t="str">
            <v>CAMPO BIANCO</v>
          </cell>
          <cell r="D478" t="str">
            <v>ABB58ECC-AFB1-DE11-B17C-001B78B9D994</v>
          </cell>
          <cell r="E478">
            <v>400</v>
          </cell>
        </row>
        <row r="479">
          <cell r="A479" t="str">
            <v>CAMPINAS</v>
          </cell>
          <cell r="C479" t="str">
            <v>CAMPO DAS ARAUCÁRIAS</v>
          </cell>
          <cell r="D479" t="str">
            <v>E2043F47-91D5-E911-B027-0050568AA20F</v>
          </cell>
          <cell r="E479">
            <v>420</v>
          </cell>
        </row>
        <row r="480">
          <cell r="A480" t="str">
            <v>CAMPINAS</v>
          </cell>
          <cell r="C480" t="str">
            <v>CAMPO DAS CEREJEIRAS</v>
          </cell>
          <cell r="D480" t="str">
            <v>522E92AE-91D5-E911-B027-0050568AA20F</v>
          </cell>
          <cell r="E480">
            <v>380</v>
          </cell>
        </row>
        <row r="481">
          <cell r="A481" t="str">
            <v>SÃO JOSÉ DOS CAMPOS</v>
          </cell>
          <cell r="C481" t="str">
            <v>CAMPO DAS JABUTICABEIRAS</v>
          </cell>
          <cell r="D481" t="str">
            <v>49A9DF52-06C4-ED11-98D9-009C02B0CB58</v>
          </cell>
          <cell r="E481">
            <v>0</v>
          </cell>
        </row>
        <row r="482">
          <cell r="A482" t="str">
            <v>CAMPINAS</v>
          </cell>
          <cell r="C482" t="str">
            <v>CAMPO DAS PALMEIRAS</v>
          </cell>
          <cell r="D482" t="str">
            <v>22EE2B15-92D5-E911-B027-0050568AA20F</v>
          </cell>
          <cell r="E482">
            <v>400</v>
          </cell>
        </row>
        <row r="483">
          <cell r="A483" t="str">
            <v>SÃO JOSÉ DOS CAMPOS</v>
          </cell>
          <cell r="C483" t="str">
            <v>CAMPO DEL REY</v>
          </cell>
          <cell r="D483" t="str">
            <v>A4149CDB-C754-DD11-BC22-001B78B9D994</v>
          </cell>
          <cell r="E483">
            <v>160</v>
          </cell>
        </row>
        <row r="484">
          <cell r="A484" t="str">
            <v>SÃO JOSÉ DOS CAMPOS</v>
          </cell>
          <cell r="C484" t="str">
            <v>CAMPO DI BOURBON</v>
          </cell>
          <cell r="D484" t="str">
            <v>8D4F5602-B2FA-DC11-8284-001B7845B4A6</v>
          </cell>
          <cell r="E484">
            <v>192</v>
          </cell>
        </row>
        <row r="485">
          <cell r="A485" t="str">
            <v>SÃO JOSÉ DOS CAMPOS</v>
          </cell>
          <cell r="C485" t="str">
            <v>CAMPO DI BRAGANÇA</v>
          </cell>
          <cell r="D485" t="str">
            <v>64657154-02CC-DC11-9ED6-001B7845B4A6</v>
          </cell>
          <cell r="E485">
            <v>480</v>
          </cell>
        </row>
        <row r="486">
          <cell r="A486" t="str">
            <v>SÃO JOSÉ DOS CAMPOS</v>
          </cell>
          <cell r="C486" t="str">
            <v>CAMPO DI ITALIA</v>
          </cell>
          <cell r="D486" t="str">
            <v>02B97836-B4EB-DC11-A2F9-001B7845B4A6</v>
          </cell>
          <cell r="E486">
            <v>340</v>
          </cell>
        </row>
        <row r="487">
          <cell r="A487" t="str">
            <v>SÃO JOSÉ DOS CAMPOS</v>
          </cell>
          <cell r="C487" t="str">
            <v>CAMPO DI ORLEANS</v>
          </cell>
          <cell r="D487" t="str">
            <v>04A6B2F4-C2CA-DC11-8D7D-001B7845B4A6</v>
          </cell>
          <cell r="E487">
            <v>208</v>
          </cell>
        </row>
        <row r="488">
          <cell r="A488" t="str">
            <v>SÃO JOSÉ DOS CAMPOS</v>
          </cell>
          <cell r="C488" t="str">
            <v>CAMPO DI RAVI</v>
          </cell>
          <cell r="D488" t="str">
            <v>B61C4BF5-8838-EA11-BA0A-0050568AA20F</v>
          </cell>
          <cell r="E488">
            <v>192</v>
          </cell>
        </row>
        <row r="489">
          <cell r="A489" t="str">
            <v>SÃO JOSÉ DOS CAMPOS</v>
          </cell>
          <cell r="C489" t="str">
            <v>CAMPO DOS BANDEIRANTES</v>
          </cell>
          <cell r="D489" t="str">
            <v>8A75206F-2884-DD11-8A4F-001B78B9D994</v>
          </cell>
          <cell r="E489">
            <v>190</v>
          </cell>
        </row>
        <row r="490">
          <cell r="A490" t="str">
            <v>SÃO JOSÉ DOS CAMPOS</v>
          </cell>
          <cell r="C490" t="str">
            <v>CAMPO DOS COCAIS</v>
          </cell>
          <cell r="D490" t="str">
            <v>B8E8304B-6D6E-EE11-8E2D-009C02B0CB58</v>
          </cell>
          <cell r="E490">
            <v>0</v>
          </cell>
        </row>
        <row r="491">
          <cell r="A491" t="str">
            <v>CAMPINAS</v>
          </cell>
          <cell r="C491" t="str">
            <v>CAMPO DOS IPÊS</v>
          </cell>
          <cell r="D491" t="str">
            <v>909F89BA-8FD5-E911-B027-0050568AA20F</v>
          </cell>
          <cell r="E491">
            <v>240</v>
          </cell>
        </row>
        <row r="492">
          <cell r="A492" t="str">
            <v>SÃO JOSÉ DOS CAMPOS</v>
          </cell>
          <cell r="C492" t="str">
            <v>CAMPO DOS PAMPAS</v>
          </cell>
          <cell r="D492" t="str">
            <v>C27826D9-6C6E-EE11-8E2D-009C02B0CB58</v>
          </cell>
          <cell r="E492">
            <v>0</v>
          </cell>
        </row>
        <row r="493">
          <cell r="A493" t="str">
            <v>CAMPINAS</v>
          </cell>
          <cell r="C493" t="str">
            <v>CAMPO DOS PINHEIROS</v>
          </cell>
          <cell r="D493" t="str">
            <v>DEFADC82-90D5-E911-B027-0050568AA20F</v>
          </cell>
          <cell r="E493">
            <v>420</v>
          </cell>
        </row>
        <row r="494">
          <cell r="A494" t="str">
            <v>SÃO JOSÉ DOS CAMPOS</v>
          </cell>
          <cell r="C494" t="str">
            <v>CAMPO GIALLO</v>
          </cell>
          <cell r="D494" t="str">
            <v>80465044-FCA9-DE11-B17C-001B78B9D994</v>
          </cell>
          <cell r="E494">
            <v>640</v>
          </cell>
        </row>
        <row r="495">
          <cell r="A495" t="str">
            <v>SÃO JOSÉ DOS CAMPOS</v>
          </cell>
          <cell r="C495" t="str">
            <v>CAMPO GRANDE</v>
          </cell>
          <cell r="D495" t="str">
            <v>8577481A-C8CC-DF11-B242-001F2909E810</v>
          </cell>
          <cell r="E495">
            <v>84</v>
          </cell>
        </row>
        <row r="496">
          <cell r="A496" t="str">
            <v>BELO HORIZONTE</v>
          </cell>
          <cell r="C496" t="str">
            <v>CAMPOS DO JORDÃO</v>
          </cell>
          <cell r="D496" t="str">
            <v>A24BFA89-5D8A-DD11-8A4F-001B78B9D994</v>
          </cell>
          <cell r="E496">
            <v>40</v>
          </cell>
        </row>
        <row r="497">
          <cell r="A497" t="str">
            <v>PIRACICABA</v>
          </cell>
          <cell r="C497" t="str">
            <v>CAMUZZI EMP 01</v>
          </cell>
          <cell r="D497" t="str">
            <v>FFB47FEC-88EA-ED11-9510-005056856875</v>
          </cell>
          <cell r="E497">
            <v>0</v>
          </cell>
        </row>
        <row r="498">
          <cell r="A498" t="str">
            <v>BELO HORIZONTE</v>
          </cell>
          <cell r="C498" t="str">
            <v>CANADA</v>
          </cell>
          <cell r="D498" t="str">
            <v>E4030FDB-73DB-DF11-B242-001F2909E810</v>
          </cell>
          <cell r="E498">
            <v>4</v>
          </cell>
        </row>
        <row r="499">
          <cell r="A499" t="str">
            <v>CANOAS</v>
          </cell>
          <cell r="C499" t="str">
            <v>CANASVIEIRAS EMP 01</v>
          </cell>
          <cell r="D499" t="str">
            <v>2FC831D2-F30C-F011-B65C-009C02B0CB58</v>
          </cell>
          <cell r="E499">
            <v>0</v>
          </cell>
        </row>
        <row r="500">
          <cell r="A500" t="str">
            <v>VITÓRIA DA CONQUISTA</v>
          </cell>
          <cell r="C500" t="str">
            <v>CANDEIAS LÍRIOS</v>
          </cell>
          <cell r="D500" t="str">
            <v>CADBFE5D-FFE9-E911-BFE9-005056856875</v>
          </cell>
          <cell r="E500">
            <v>320</v>
          </cell>
        </row>
        <row r="501">
          <cell r="A501" t="str">
            <v>VITÓRIA DA CONQUISTA</v>
          </cell>
          <cell r="C501" t="str">
            <v>CANDEIAS VIOLET</v>
          </cell>
          <cell r="D501" t="str">
            <v>C71A424A-00EA-E911-BFE9-005056856875</v>
          </cell>
          <cell r="E501">
            <v>320</v>
          </cell>
        </row>
        <row r="502">
          <cell r="A502" t="str">
            <v>CURITIBA</v>
          </cell>
          <cell r="C502" t="str">
            <v>CÂNDIDO PORTINARI</v>
          </cell>
          <cell r="D502" t="str">
            <v>834A2A32-788A-DD11-8A4F-001B78B9D994</v>
          </cell>
          <cell r="E502">
            <v>50</v>
          </cell>
        </row>
        <row r="503">
          <cell r="A503" t="str">
            <v>CURITIBA</v>
          </cell>
          <cell r="C503" t="str">
            <v>CANNES</v>
          </cell>
          <cell r="D503" t="str">
            <v>0ACFF34B-34EA-DC11-ABD0-001B7845B4A6</v>
          </cell>
          <cell r="E503">
            <v>168</v>
          </cell>
        </row>
        <row r="504">
          <cell r="A504" t="str">
            <v>SANTANA DE PARNAÍBA</v>
          </cell>
          <cell r="C504" t="str">
            <v>CANTO DA GOTA EMP 01</v>
          </cell>
          <cell r="D504" t="str">
            <v>6D839DCD-AE99-EE11-8ACD-80C16E075108</v>
          </cell>
          <cell r="E504">
            <v>0</v>
          </cell>
        </row>
        <row r="505">
          <cell r="A505" t="str">
            <v>CAMPINAS</v>
          </cell>
          <cell r="C505" t="str">
            <v>CANTO DA SERRA</v>
          </cell>
          <cell r="D505" t="str">
            <v>F0FDE89F-8CDE-EB11-930A-0050568AA20F</v>
          </cell>
          <cell r="E505">
            <v>0</v>
          </cell>
        </row>
        <row r="506">
          <cell r="A506" t="str">
            <v>FORTALEZA</v>
          </cell>
          <cell r="C506" t="str">
            <v>CANTO DOS PÁSSAROS</v>
          </cell>
          <cell r="D506" t="str">
            <v>9A6BA7FD-50BF-EC11-B1AD-005056856875</v>
          </cell>
          <cell r="E506">
            <v>0</v>
          </cell>
        </row>
        <row r="507">
          <cell r="A507" t="str">
            <v>SANTA BÁRBARA D'OESTE</v>
          </cell>
          <cell r="C507" t="str">
            <v>CARA DE PAU EMP 01</v>
          </cell>
          <cell r="D507" t="str">
            <v>FF0A98E6-5D8D-EE11-8E2D-009C02B0CB58</v>
          </cell>
          <cell r="E507">
            <v>0</v>
          </cell>
        </row>
        <row r="508">
          <cell r="A508" t="str">
            <v>BELO HORIZONTE</v>
          </cell>
          <cell r="C508" t="str">
            <v>CARAVELAS</v>
          </cell>
          <cell r="D508" t="str">
            <v>B71A5404-76DB-DF11-B242-001F2909E810</v>
          </cell>
          <cell r="E508">
            <v>0</v>
          </cell>
        </row>
        <row r="509">
          <cell r="A509" t="str">
            <v>FORTALEZA</v>
          </cell>
          <cell r="C509" t="str">
            <v>CARAVELLE</v>
          </cell>
          <cell r="D509" t="str">
            <v>C92251D8-3134-ED11-B1AD-005056856875</v>
          </cell>
          <cell r="E509">
            <v>576</v>
          </cell>
        </row>
        <row r="510">
          <cell r="A510" t="str">
            <v>SÃO CARLOS</v>
          </cell>
          <cell r="C510" t="str">
            <v>CARLOS GOMES</v>
          </cell>
          <cell r="D510" t="str">
            <v>8245D264-3A8A-DD11-8A4F-001B78B9D994</v>
          </cell>
          <cell r="E510">
            <v>48</v>
          </cell>
        </row>
        <row r="511">
          <cell r="A511" t="str">
            <v>SÃO CARLOS</v>
          </cell>
          <cell r="C511" t="str">
            <v>CARLOS MAGNO</v>
          </cell>
          <cell r="D511" t="str">
            <v>8562A84B-7BFB-DC11-8284-001B7845B4A6</v>
          </cell>
          <cell r="E511">
            <v>112</v>
          </cell>
        </row>
        <row r="512">
          <cell r="A512" t="str">
            <v>BELO HORIZONTE</v>
          </cell>
          <cell r="C512" t="str">
            <v>CARMEN EMP 01</v>
          </cell>
          <cell r="D512" t="str">
            <v>215F1EA8-23D3-ED11-98D9-009C02B0CB58</v>
          </cell>
          <cell r="E512">
            <v>0</v>
          </cell>
        </row>
        <row r="513">
          <cell r="A513" t="str">
            <v>CURITIBA</v>
          </cell>
          <cell r="C513" t="str">
            <v>CARMENÈRE</v>
          </cell>
          <cell r="D513" t="str">
            <v>006B002F-EC85-DE11-9553-001F2909E83C</v>
          </cell>
          <cell r="E513">
            <v>344</v>
          </cell>
        </row>
        <row r="514">
          <cell r="A514" t="str">
            <v>RIBEIRÃO PRETO</v>
          </cell>
          <cell r="C514" t="str">
            <v>CARPINA EMP 01</v>
          </cell>
          <cell r="D514" t="str">
            <v>78B2949A-5D79-EC11-B501-005056856B6C</v>
          </cell>
          <cell r="E514">
            <v>0</v>
          </cell>
        </row>
        <row r="515">
          <cell r="A515" t="str">
            <v>CURITIBA</v>
          </cell>
          <cell r="C515" t="str">
            <v>COLINA DAS CASTANHEIRAS</v>
          </cell>
          <cell r="D515" t="str">
            <v>73042A6C-623D-F011-AB5A-80C16E075108</v>
          </cell>
          <cell r="E515">
            <v>0</v>
          </cell>
        </row>
        <row r="516">
          <cell r="A516" t="str">
            <v>CATANDUVA</v>
          </cell>
          <cell r="C516" t="str">
            <v>CASA BELA</v>
          </cell>
          <cell r="D516" t="str">
            <v>3AC29022-5854-E811-8D3F-80C16E075108</v>
          </cell>
          <cell r="E516">
            <v>112</v>
          </cell>
        </row>
        <row r="517">
          <cell r="A517" t="str">
            <v>CATANDUVA</v>
          </cell>
          <cell r="C517" t="str">
            <v>CASA DE LEON</v>
          </cell>
          <cell r="D517" t="str">
            <v>9584A516-9BCF-E711-B989-80C16E075108</v>
          </cell>
          <cell r="E517">
            <v>240</v>
          </cell>
        </row>
        <row r="518">
          <cell r="A518" t="str">
            <v>CURITIBA</v>
          </cell>
          <cell r="C518" t="str">
            <v>CASTANHEDA</v>
          </cell>
          <cell r="D518" t="str">
            <v>C1DE2FA3-758A-DD11-8A4F-001B78B9D994</v>
          </cell>
          <cell r="E518">
            <v>56</v>
          </cell>
        </row>
        <row r="519">
          <cell r="A519" t="str">
            <v>CAMPO GRANDE</v>
          </cell>
          <cell r="C519" t="str">
            <v>CASTELLO DI BELMOND</v>
          </cell>
          <cell r="D519" t="str">
            <v>ED6A27A6-F71F-ED11-BA45-005056890018</v>
          </cell>
          <cell r="E519">
            <v>0</v>
          </cell>
        </row>
        <row r="520">
          <cell r="A520" t="str">
            <v>CAMPO GRANDE</v>
          </cell>
          <cell r="C520" t="str">
            <v>CASTELLO DI MOURA</v>
          </cell>
          <cell r="D520" t="str">
            <v>6E58A472-1718-E811-9E99-009C02B0CB58</v>
          </cell>
          <cell r="E520">
            <v>200</v>
          </cell>
        </row>
        <row r="521">
          <cell r="A521" t="str">
            <v>CAMPO GRANDE</v>
          </cell>
          <cell r="C521" t="str">
            <v>CASTELLO DI TREVISO</v>
          </cell>
          <cell r="D521" t="str">
            <v>69DCCD34-E68E-E911-B807-005056856875</v>
          </cell>
          <cell r="E521">
            <v>128</v>
          </cell>
        </row>
        <row r="522">
          <cell r="A522" t="str">
            <v>CAMPO GRANDE</v>
          </cell>
          <cell r="C522" t="str">
            <v>CASTELLO DI TURIM</v>
          </cell>
          <cell r="D522" t="str">
            <v>0AFC6144-9B47-EA11-BA0A-0050568AA20F</v>
          </cell>
          <cell r="E522">
            <v>0</v>
          </cell>
        </row>
        <row r="523">
          <cell r="A523" t="str">
            <v>CAMPO GRANDE</v>
          </cell>
          <cell r="C523" t="str">
            <v>CASTELLO DI UDINE</v>
          </cell>
          <cell r="D523" t="str">
            <v>B9027529-2640-E411-8EFB-009C02B0CB58</v>
          </cell>
          <cell r="E523">
            <v>196</v>
          </cell>
        </row>
        <row r="524">
          <cell r="A524" t="str">
            <v>CAMPO GRANDE</v>
          </cell>
          <cell r="C524" t="str">
            <v>CASTELO DE ALGARVE</v>
          </cell>
          <cell r="D524" t="str">
            <v>1DC668ED-884F-EB11-85D0-005056856875</v>
          </cell>
          <cell r="E524">
            <v>0</v>
          </cell>
        </row>
        <row r="525">
          <cell r="A525" t="str">
            <v>CAMPO GRANDE</v>
          </cell>
          <cell r="C525" t="str">
            <v>CASTELO DE ÉVORA</v>
          </cell>
          <cell r="D525" t="str">
            <v>3D52A74D-4B20-F011-AB5A-80C16E075108</v>
          </cell>
          <cell r="E525">
            <v>0</v>
          </cell>
        </row>
        <row r="526">
          <cell r="A526" t="str">
            <v>CAMPO GRANDE</v>
          </cell>
          <cell r="C526" t="str">
            <v>CASTELO DE LEON</v>
          </cell>
          <cell r="D526" t="str">
            <v>1A38D3A6-C08B-EF11-A9C6-80C16E075108</v>
          </cell>
          <cell r="E526">
            <v>0</v>
          </cell>
        </row>
        <row r="527">
          <cell r="A527" t="str">
            <v>CAMPO GRANDE</v>
          </cell>
          <cell r="C527" t="str">
            <v>CASTELO DE LUCCA</v>
          </cell>
          <cell r="D527" t="str">
            <v>79BF43A6-4920-F011-AB5A-80C16E075108</v>
          </cell>
          <cell r="E527">
            <v>0</v>
          </cell>
        </row>
        <row r="528">
          <cell r="A528" t="str">
            <v>CAMPO GRANDE</v>
          </cell>
          <cell r="C528" t="str">
            <v>CASTELO DE MALTA</v>
          </cell>
          <cell r="D528" t="str">
            <v>551F83CE-D456-EC11-B2FE-005056895191</v>
          </cell>
          <cell r="E528">
            <v>0</v>
          </cell>
        </row>
        <row r="529">
          <cell r="A529" t="str">
            <v>CAMPO GRANDE</v>
          </cell>
          <cell r="C529" t="str">
            <v>CASTELO DE ROCCA</v>
          </cell>
          <cell r="D529" t="str">
            <v>1AA9E5B4-E3F3-EF11-B65C-009C02B0CB58</v>
          </cell>
          <cell r="E529">
            <v>0</v>
          </cell>
        </row>
        <row r="530">
          <cell r="A530" t="str">
            <v>CAMPO GRANDE</v>
          </cell>
          <cell r="C530" t="str">
            <v>CASTELO DE ROMA</v>
          </cell>
          <cell r="D530" t="str">
            <v>DFEB425F-F50C-F011-B65C-009C02B0CB58</v>
          </cell>
          <cell r="E530">
            <v>0</v>
          </cell>
        </row>
        <row r="531">
          <cell r="A531" t="str">
            <v>CAMPO GRANDE</v>
          </cell>
          <cell r="C531" t="str">
            <v>CASTELO DE VERAS</v>
          </cell>
          <cell r="D531" t="str">
            <v>956195FC-DBF3-EF11-B65C-009C02B0CB58</v>
          </cell>
          <cell r="E531">
            <v>0</v>
          </cell>
        </row>
        <row r="532">
          <cell r="A532" t="str">
            <v>CURITIBA</v>
          </cell>
          <cell r="C532" t="str">
            <v>CASTRO ALVES</v>
          </cell>
          <cell r="D532" t="str">
            <v>99EB16F3-7915-DF11-83FF-001F2909E810</v>
          </cell>
          <cell r="E532">
            <v>40</v>
          </cell>
        </row>
        <row r="533">
          <cell r="A533" t="str">
            <v>BELO HORIZONTE</v>
          </cell>
          <cell r="C533" t="str">
            <v>CATEDRAL EMP 01</v>
          </cell>
          <cell r="D533" t="str">
            <v>0CBE1A31-409F-EC11-B501-005056856B6C</v>
          </cell>
          <cell r="E533">
            <v>0</v>
          </cell>
        </row>
        <row r="534">
          <cell r="A534" t="str">
            <v>CURITIBA</v>
          </cell>
          <cell r="C534" t="str">
            <v>CATENA</v>
          </cell>
          <cell r="D534" t="str">
            <v>97ABFBB8-ED85-DE11-9553-001F2909E83C</v>
          </cell>
          <cell r="E534">
            <v>280</v>
          </cell>
        </row>
        <row r="535">
          <cell r="A535" t="str">
            <v>CARUARU</v>
          </cell>
          <cell r="C535" t="str">
            <v>CD JARDIM COND. CLUBE_ JD DOS COQUEIROS</v>
          </cell>
          <cell r="D535" t="str">
            <v>CDF9BC9A-4385-DF11-B20E-001F2909E810</v>
          </cell>
          <cell r="E535">
            <v>432</v>
          </cell>
        </row>
        <row r="536">
          <cell r="A536" t="str">
            <v>SUZANO</v>
          </cell>
          <cell r="C536" t="str">
            <v>CELULOSE EMP 01</v>
          </cell>
          <cell r="D536" t="str">
            <v>6B9FB792-CB4D-F011-8E0C-80C16E075108</v>
          </cell>
          <cell r="E536">
            <v>0</v>
          </cell>
        </row>
        <row r="537">
          <cell r="A537" t="str">
            <v>BELO HORIZONTE</v>
          </cell>
          <cell r="C537" t="str">
            <v>CENTRAL PARK</v>
          </cell>
          <cell r="D537" t="str">
            <v>BBCDEC69-E73F-DE11-B0E7-001F2909E83C</v>
          </cell>
          <cell r="E537">
            <v>0</v>
          </cell>
        </row>
        <row r="538">
          <cell r="A538" t="str">
            <v>PORTO ALEGRE</v>
          </cell>
          <cell r="C538" t="str">
            <v>PORTO MÔNACO</v>
          </cell>
          <cell r="D538" t="str">
            <v>1E9AD992-F381-EF11-B65C-009C02B0CB58</v>
          </cell>
          <cell r="E538">
            <v>340</v>
          </cell>
        </row>
        <row r="539">
          <cell r="A539" t="str">
            <v>FRANCA</v>
          </cell>
          <cell r="C539" t="str">
            <v>CHAMPAGNAT</v>
          </cell>
          <cell r="D539" t="str">
            <v>ED899A11-F1DA-DF11-B242-001F2909E810</v>
          </cell>
          <cell r="E539">
            <v>5</v>
          </cell>
        </row>
        <row r="540">
          <cell r="A540" t="str">
            <v>CUIABÁ</v>
          </cell>
          <cell r="C540" t="str">
            <v>CHAPADA JACARANDÁ</v>
          </cell>
          <cell r="D540" t="str">
            <v>30F7C7BA-895F-ED11-9E0C-005056856875</v>
          </cell>
          <cell r="E540">
            <v>480</v>
          </cell>
        </row>
        <row r="541">
          <cell r="A541" t="str">
            <v>CUIABÁ</v>
          </cell>
          <cell r="C541" t="str">
            <v>CHAPADA BOULEVARD</v>
          </cell>
          <cell r="D541" t="str">
            <v>79BD889D-430D-E611-A5BB-009C02B0CB58</v>
          </cell>
          <cell r="E541">
            <v>768</v>
          </cell>
        </row>
        <row r="542">
          <cell r="A542" t="str">
            <v>CUIABÁ</v>
          </cell>
          <cell r="C542" t="str">
            <v>CHAPADA DAS ACÁCIAS</v>
          </cell>
          <cell r="D542" t="str">
            <v>2F8A79B7-F00C-F011-B65C-009C02B0CB58</v>
          </cell>
          <cell r="E542">
            <v>0</v>
          </cell>
        </row>
        <row r="543">
          <cell r="A543" t="str">
            <v>CUIABÁ</v>
          </cell>
          <cell r="C543" t="str">
            <v>CHAPADA DAS ANDORINHAS</v>
          </cell>
          <cell r="D543" t="str">
            <v>3BA706A8-695B-E411-B5D2-009C02B0CB58</v>
          </cell>
          <cell r="E543">
            <v>352</v>
          </cell>
        </row>
        <row r="544">
          <cell r="A544" t="str">
            <v>CUIABÁ</v>
          </cell>
          <cell r="C544" t="str">
            <v>CHAPADA DAS ARARAS</v>
          </cell>
          <cell r="D544" t="str">
            <v>390F5C5B-6032-F011-B65C-009C02B0CB58</v>
          </cell>
          <cell r="E544">
            <v>0</v>
          </cell>
        </row>
        <row r="545">
          <cell r="A545" t="str">
            <v>CUIABÁ</v>
          </cell>
          <cell r="C545" t="str">
            <v>CHAPADA DAS BORBOLETAS</v>
          </cell>
          <cell r="D545" t="str">
            <v>F1DDE799-2DC4-E511-9CC2-009C02B0CB58</v>
          </cell>
          <cell r="E545">
            <v>432</v>
          </cell>
        </row>
        <row r="546">
          <cell r="A546" t="str">
            <v>CUIABÁ</v>
          </cell>
          <cell r="C546" t="str">
            <v>CHAPADA DAS DUNAS</v>
          </cell>
          <cell r="D546" t="str">
            <v>1AC8383E-93EE-E411-A3A7-80C16E075108</v>
          </cell>
          <cell r="E546">
            <v>276</v>
          </cell>
        </row>
        <row r="547">
          <cell r="A547" t="str">
            <v>VÁRZEA GRANDE</v>
          </cell>
          <cell r="C547" t="str">
            <v>CHAPADA DAS GOIABEIRAS</v>
          </cell>
          <cell r="D547" t="str">
            <v>D3A4C1C1-FFA3-EE11-8E2D-009C02B0CB58</v>
          </cell>
          <cell r="E547">
            <v>0</v>
          </cell>
        </row>
        <row r="548">
          <cell r="A548" t="str">
            <v>VÁRZEA GRANDE</v>
          </cell>
          <cell r="C548" t="str">
            <v>CHAPADA DAS LARANJEIRAS</v>
          </cell>
          <cell r="D548" t="str">
            <v>BC6FDD82-E7E0-EB11-930A-0050568AA20F</v>
          </cell>
          <cell r="E548">
            <v>0</v>
          </cell>
        </row>
        <row r="549">
          <cell r="A549" t="str">
            <v>CUIABÁ</v>
          </cell>
          <cell r="C549" t="str">
            <v>CHAPADA DAS PAINEIRAS</v>
          </cell>
          <cell r="D549" t="str">
            <v>3CEC7F80-F4ED-E611-ABB6-80C16E075108</v>
          </cell>
          <cell r="E549">
            <v>140</v>
          </cell>
        </row>
        <row r="550">
          <cell r="A550" t="str">
            <v>CUIABÁ</v>
          </cell>
          <cell r="C550" t="str">
            <v>CHAPADA DAS ROSAS</v>
          </cell>
          <cell r="D550" t="str">
            <v>39608499-440D-E611-A5BB-009C02B0CB58</v>
          </cell>
          <cell r="E550">
            <v>360</v>
          </cell>
        </row>
        <row r="551">
          <cell r="A551" t="str">
            <v>CUIABÁ</v>
          </cell>
          <cell r="C551" t="str">
            <v>CHAPADA DAS SAFIRAS</v>
          </cell>
          <cell r="D551" t="str">
            <v>B670F02C-4CFD-E711-A541-009C02B0CB58</v>
          </cell>
          <cell r="E551">
            <v>320</v>
          </cell>
        </row>
        <row r="552">
          <cell r="A552" t="str">
            <v>VÁRZEA GRANDE</v>
          </cell>
          <cell r="C552" t="str">
            <v>CHAPADA DAS VIOLETAS</v>
          </cell>
          <cell r="D552" t="str">
            <v>989EE7F7-C8A5-E611-ABB6-80C16E075108</v>
          </cell>
          <cell r="E552">
            <v>144</v>
          </cell>
        </row>
        <row r="553">
          <cell r="A553" t="str">
            <v>CUIABÁ</v>
          </cell>
          <cell r="C553" t="str">
            <v>CHAPADA DO VALE</v>
          </cell>
          <cell r="D553" t="str">
            <v>B8047E74-D714-E311-BEFC-80C16E075108</v>
          </cell>
          <cell r="E553">
            <v>576</v>
          </cell>
        </row>
        <row r="554">
          <cell r="A554" t="str">
            <v>CUIABÁ</v>
          </cell>
          <cell r="C554" t="str">
            <v>CHAPADA DOS COLIBRIS</v>
          </cell>
          <cell r="D554" t="str">
            <v>F3135F45-695B-E411-B5D2-009C02B0CB58</v>
          </cell>
          <cell r="E554">
            <v>368</v>
          </cell>
        </row>
        <row r="555">
          <cell r="A555" t="str">
            <v>VÁRZEA GRANDE</v>
          </cell>
          <cell r="C555" t="str">
            <v>CHAPADA DOS GIRASSÓIS</v>
          </cell>
          <cell r="D555" t="str">
            <v>8793002D-F649-E711-8CD7-009C02B0CB58</v>
          </cell>
          <cell r="E555">
            <v>340</v>
          </cell>
        </row>
        <row r="556">
          <cell r="A556" t="str">
            <v>CUIABÁ</v>
          </cell>
          <cell r="C556" t="str">
            <v>CHAPADA DOS HIBISCOS</v>
          </cell>
          <cell r="D556" t="str">
            <v>CAA0D4F4-9EFC-E811-B503-009C02B0CB58</v>
          </cell>
          <cell r="E556">
            <v>192</v>
          </cell>
        </row>
        <row r="557">
          <cell r="A557" t="str">
            <v>VÁRZEA GRANDE</v>
          </cell>
          <cell r="C557" t="str">
            <v>CHAPADA DOS INGÁS</v>
          </cell>
          <cell r="D557" t="str">
            <v>4B6669EA-217F-EE11-8E2D-009C02B0CB58</v>
          </cell>
          <cell r="E557">
            <v>0</v>
          </cell>
        </row>
        <row r="558">
          <cell r="A558" t="str">
            <v>VÁRZEA GRANDE</v>
          </cell>
          <cell r="C558" t="str">
            <v>CHAPADA DOS IPÊS</v>
          </cell>
          <cell r="D558" t="str">
            <v>A925007A-4AFD-E711-A541-009C02B0CB58</v>
          </cell>
          <cell r="E558">
            <v>140</v>
          </cell>
        </row>
        <row r="559">
          <cell r="A559" t="str">
            <v>CUIABÁ</v>
          </cell>
          <cell r="C559" t="str">
            <v>CHAPADA DOS NOBRES</v>
          </cell>
          <cell r="D559" t="str">
            <v>6FBA6425-71C0-EE11-A95E-005056856875</v>
          </cell>
          <cell r="E559">
            <v>0</v>
          </cell>
        </row>
        <row r="560">
          <cell r="A560" t="str">
            <v>CUIABÁ</v>
          </cell>
          <cell r="C560" t="str">
            <v>CHAPADA DOS PINHAIS</v>
          </cell>
          <cell r="D560" t="str">
            <v>E1606C35-693F-E511-A3A7-80C16E075108</v>
          </cell>
          <cell r="E560">
            <v>228</v>
          </cell>
        </row>
        <row r="561">
          <cell r="A561" t="str">
            <v>CUIABÁ</v>
          </cell>
          <cell r="C561" t="str">
            <v>CHAPADA DOS SABIÁS</v>
          </cell>
          <cell r="D561" t="str">
            <v>2213E831-D33A-E511-A3A7-80C16E075108</v>
          </cell>
          <cell r="E561">
            <v>340</v>
          </cell>
        </row>
        <row r="562">
          <cell r="A562" t="str">
            <v>CUIABÁ</v>
          </cell>
          <cell r="C562" t="str">
            <v>CHAPADA DOS VENTOS</v>
          </cell>
          <cell r="D562" t="str">
            <v>91A813A7-E881-EF11-B65C-009C02B0CB58</v>
          </cell>
          <cell r="E562">
            <v>0</v>
          </cell>
        </row>
        <row r="563">
          <cell r="A563" t="str">
            <v>CUIABÁ</v>
          </cell>
          <cell r="C563" t="str">
            <v>CHAPADA FLOR DO CERRADO</v>
          </cell>
          <cell r="D563" t="str">
            <v>73CDCD35-C715-EE11-AE6A-009C02B0CB58</v>
          </cell>
          <cell r="E563">
            <v>0</v>
          </cell>
        </row>
        <row r="564">
          <cell r="A564" t="str">
            <v>CUIABÁ</v>
          </cell>
          <cell r="C564" t="str">
            <v>CHAPADA PRIMAVERA</v>
          </cell>
          <cell r="D564" t="str">
            <v>23D157CE-40C0-EE11-8ACD-80C16E075108</v>
          </cell>
          <cell r="E564">
            <v>0</v>
          </cell>
        </row>
        <row r="565">
          <cell r="A565" t="str">
            <v>CUIABÁ</v>
          </cell>
          <cell r="C565" t="str">
            <v>CHAPADA RAVIERA</v>
          </cell>
          <cell r="D565" t="str">
            <v>8AE2A876-9CFC-E811-B503-009C02B0CB58</v>
          </cell>
          <cell r="E565">
            <v>320</v>
          </cell>
        </row>
        <row r="566">
          <cell r="A566" t="str">
            <v>CURITIBA</v>
          </cell>
          <cell r="C566" t="str">
            <v>CHARDONNAY</v>
          </cell>
          <cell r="D566" t="str">
            <v>08D12D0B-ED85-DE11-9553-001F2909E83C</v>
          </cell>
          <cell r="E566">
            <v>344</v>
          </cell>
        </row>
        <row r="567">
          <cell r="A567" t="str">
            <v>CUIABÁ</v>
          </cell>
          <cell r="C567" t="str">
            <v>CHARME GOIABEIRAS</v>
          </cell>
          <cell r="D567" t="str">
            <v>1122C077-2B8E-DD11-917B-001B78B9D994</v>
          </cell>
          <cell r="E567">
            <v>210</v>
          </cell>
        </row>
        <row r="568">
          <cell r="A568" t="str">
            <v>CURITIBA</v>
          </cell>
          <cell r="C568" t="str">
            <v>CHIANTI</v>
          </cell>
          <cell r="D568" t="str">
            <v>A822A95A-EE85-DE11-9553-001F2909E83C</v>
          </cell>
          <cell r="E568">
            <v>40</v>
          </cell>
        </row>
        <row r="569">
          <cell r="A569" t="str">
            <v>BELO HORIZONTE</v>
          </cell>
          <cell r="C569" t="str">
            <v>CHICAGO</v>
          </cell>
          <cell r="D569" t="str">
            <v>0E51B444-48BA-DD11-BEF7-001B78B9D994</v>
          </cell>
          <cell r="E569">
            <v>0</v>
          </cell>
        </row>
        <row r="570">
          <cell r="A570" t="str">
            <v>SÃO PAULO</v>
          </cell>
          <cell r="C570" t="str">
            <v>CIA CITY 54</v>
          </cell>
          <cell r="D570" t="str">
            <v>82048936-F043-EC11-B2FE-005056895191</v>
          </cell>
          <cell r="E570">
            <v>160</v>
          </cell>
        </row>
        <row r="571">
          <cell r="A571" t="str">
            <v>SÃO PAULO</v>
          </cell>
          <cell r="C571" t="str">
            <v>CIA CITY_19</v>
          </cell>
          <cell r="D571" t="str">
            <v>569BB1CE-4962-EB11-AA45-005056856875</v>
          </cell>
          <cell r="E571">
            <v>160</v>
          </cell>
        </row>
        <row r="572">
          <cell r="A572" t="str">
            <v>SÃO PAULO</v>
          </cell>
          <cell r="C572" t="str">
            <v>CIA CITY_20</v>
          </cell>
          <cell r="D572" t="str">
            <v>237E90E0-5462-EB11-AA45-005056856875</v>
          </cell>
          <cell r="E572">
            <v>160</v>
          </cell>
        </row>
        <row r="573">
          <cell r="A573" t="str">
            <v>SÃO PAULO</v>
          </cell>
          <cell r="C573" t="str">
            <v>CIA CITY_22</v>
          </cell>
          <cell r="D573" t="str">
            <v>F0321BB4-5662-EB11-AA45-005056856875</v>
          </cell>
          <cell r="E573">
            <v>240</v>
          </cell>
        </row>
        <row r="574">
          <cell r="A574" t="str">
            <v>SÃO PAULO</v>
          </cell>
          <cell r="C574" t="str">
            <v>CIA CITY_24</v>
          </cell>
          <cell r="D574" t="str">
            <v>83DA30A7-5862-EB11-AA45-005056856875</v>
          </cell>
          <cell r="E574">
            <v>400</v>
          </cell>
        </row>
        <row r="575">
          <cell r="A575" t="str">
            <v>SÃO PAULO</v>
          </cell>
          <cell r="C575" t="str">
            <v>CIA CITY_25</v>
          </cell>
          <cell r="D575" t="str">
            <v>F0B83629-5A62-EB11-AA45-005056856875</v>
          </cell>
          <cell r="E575">
            <v>400</v>
          </cell>
        </row>
        <row r="576">
          <cell r="A576" t="str">
            <v>SÃO PAULO</v>
          </cell>
          <cell r="C576" t="str">
            <v>CIA CITY_27</v>
          </cell>
          <cell r="D576" t="str">
            <v>361E2B52-5C62-EB11-AA45-005056856875</v>
          </cell>
          <cell r="E576">
            <v>120</v>
          </cell>
        </row>
        <row r="577">
          <cell r="A577" t="str">
            <v>SÃO PAULO</v>
          </cell>
          <cell r="C577" t="str">
            <v>CIA CITY_28</v>
          </cell>
          <cell r="D577" t="str">
            <v>4D0C541C-5D62-EB11-AA45-005056856875</v>
          </cell>
          <cell r="E577">
            <v>320</v>
          </cell>
        </row>
        <row r="578">
          <cell r="A578" t="str">
            <v>SÃO PAULO</v>
          </cell>
          <cell r="C578" t="str">
            <v>CIA CITY_29</v>
          </cell>
          <cell r="D578" t="str">
            <v>E1D57274-5E62-EB11-AA45-005056856875</v>
          </cell>
          <cell r="E578">
            <v>80</v>
          </cell>
        </row>
        <row r="579">
          <cell r="A579" t="str">
            <v>SÃO PAULO</v>
          </cell>
          <cell r="C579" t="str">
            <v>CIA CITY_33</v>
          </cell>
          <cell r="D579" t="str">
            <v>B96A8A95-6362-EB11-AA45-005056856875</v>
          </cell>
          <cell r="E579">
            <v>160</v>
          </cell>
        </row>
        <row r="580">
          <cell r="A580" t="str">
            <v>SÃO PAULO</v>
          </cell>
          <cell r="C580" t="str">
            <v>CIA CITY_36</v>
          </cell>
          <cell r="D580" t="str">
            <v>DA1F1994-6662-EB11-AA45-005056856875</v>
          </cell>
          <cell r="E580">
            <v>360</v>
          </cell>
        </row>
        <row r="581">
          <cell r="A581" t="str">
            <v>SÃO PAULO</v>
          </cell>
          <cell r="C581" t="str">
            <v>CIA CITY_37</v>
          </cell>
          <cell r="D581" t="str">
            <v>FB1A46AF-6762-EB11-AA45-005056856875</v>
          </cell>
          <cell r="E581">
            <v>240</v>
          </cell>
        </row>
        <row r="582">
          <cell r="A582" t="str">
            <v>SÃO PAULO</v>
          </cell>
          <cell r="C582" t="str">
            <v>CIA CITY_38</v>
          </cell>
          <cell r="D582" t="str">
            <v>DA6643C1-6862-EB11-AA45-005056856875</v>
          </cell>
          <cell r="E582">
            <v>160</v>
          </cell>
        </row>
        <row r="583">
          <cell r="A583" t="str">
            <v>SÃO PAULO</v>
          </cell>
          <cell r="C583" t="str">
            <v>CIA CITY_39</v>
          </cell>
          <cell r="D583" t="str">
            <v>3C5542C0-6962-EB11-AA45-005056856875</v>
          </cell>
          <cell r="E583">
            <v>160</v>
          </cell>
        </row>
        <row r="584">
          <cell r="A584" t="str">
            <v>SÃO PAULO</v>
          </cell>
          <cell r="C584" t="str">
            <v>CIA CITY_45</v>
          </cell>
          <cell r="D584" t="str">
            <v>1F43EC95-6F62-EB11-AA45-005056856875</v>
          </cell>
          <cell r="E584">
            <v>240</v>
          </cell>
        </row>
        <row r="585">
          <cell r="A585" t="str">
            <v>SÃO PAULO</v>
          </cell>
          <cell r="C585" t="str">
            <v>CIA CITY_46</v>
          </cell>
          <cell r="D585" t="str">
            <v>B1B66FB7-267C-EB11-AA45-005056856875</v>
          </cell>
          <cell r="E585">
            <v>200</v>
          </cell>
        </row>
        <row r="586">
          <cell r="A586" t="str">
            <v>SÃO PAULO</v>
          </cell>
          <cell r="C586" t="str">
            <v>CIA CITY_47</v>
          </cell>
          <cell r="D586" t="str">
            <v>5335CEAC-E343-EC11-B2FE-005056895191</v>
          </cell>
          <cell r="E586">
            <v>160</v>
          </cell>
        </row>
        <row r="587">
          <cell r="A587" t="str">
            <v>SÃO PAULO</v>
          </cell>
          <cell r="C587" t="str">
            <v>CIA CITY_48</v>
          </cell>
          <cell r="D587" t="str">
            <v>56045E0B-E643-EC11-B2FE-005056895191</v>
          </cell>
          <cell r="E587">
            <v>160</v>
          </cell>
        </row>
        <row r="588">
          <cell r="A588" t="str">
            <v>SÃO PAULO</v>
          </cell>
          <cell r="C588" t="str">
            <v>CIA CITY_49</v>
          </cell>
          <cell r="D588" t="str">
            <v>4328E39B-E743-EC11-B2FE-005056895191</v>
          </cell>
          <cell r="E588">
            <v>120</v>
          </cell>
        </row>
        <row r="589">
          <cell r="A589" t="str">
            <v>SÃO PAULO</v>
          </cell>
          <cell r="C589" t="str">
            <v>CIA CITY_50</v>
          </cell>
          <cell r="D589" t="str">
            <v>9E8434F6-E843-EC11-B2FE-005056895191</v>
          </cell>
          <cell r="E589">
            <v>200</v>
          </cell>
        </row>
        <row r="590">
          <cell r="A590" t="str">
            <v>SÃO PAULO</v>
          </cell>
          <cell r="C590" t="str">
            <v>CIA CITY_51</v>
          </cell>
          <cell r="D590" t="str">
            <v>10E3716C-EA43-EC11-B2FE-005056895191</v>
          </cell>
          <cell r="E590">
            <v>120</v>
          </cell>
        </row>
        <row r="591">
          <cell r="A591" t="str">
            <v>SÃO PAULO</v>
          </cell>
          <cell r="C591" t="str">
            <v>CIA CITY_52</v>
          </cell>
          <cell r="D591" t="str">
            <v>69E10C64-EB43-EC11-B2FE-005056895191</v>
          </cell>
          <cell r="E591">
            <v>160</v>
          </cell>
        </row>
        <row r="592">
          <cell r="A592" t="str">
            <v>SÃO PAULO</v>
          </cell>
          <cell r="C592" t="str">
            <v>CIA CITY_53</v>
          </cell>
          <cell r="D592" t="str">
            <v>B1554A09-EF43-EC11-B2FE-005056895191</v>
          </cell>
          <cell r="E592">
            <v>200</v>
          </cell>
        </row>
        <row r="593">
          <cell r="A593" t="str">
            <v>SÃO PAULO</v>
          </cell>
          <cell r="C593" t="str">
            <v>CIA CITY_55</v>
          </cell>
          <cell r="D593" t="str">
            <v>5EB7E946-F143-EC11-B2FE-005056895191</v>
          </cell>
          <cell r="E593">
            <v>120</v>
          </cell>
        </row>
        <row r="594">
          <cell r="A594" t="str">
            <v>SÃO PAULO</v>
          </cell>
          <cell r="C594" t="str">
            <v>CIA CITY_56</v>
          </cell>
          <cell r="D594" t="str">
            <v>42579158-F443-EC11-B2FE-005056895191</v>
          </cell>
          <cell r="E594">
            <v>80</v>
          </cell>
        </row>
        <row r="595">
          <cell r="A595" t="str">
            <v>SÃO PAULO</v>
          </cell>
          <cell r="C595" t="str">
            <v>CIA CITY_57</v>
          </cell>
          <cell r="D595" t="str">
            <v>EDA23FA8-F543-EC11-B2FE-005056895191</v>
          </cell>
          <cell r="E595">
            <v>280</v>
          </cell>
        </row>
        <row r="596">
          <cell r="A596" t="str">
            <v>SÃO PAULO</v>
          </cell>
          <cell r="C596" t="str">
            <v>CIA CITY_58</v>
          </cell>
          <cell r="D596" t="str">
            <v>56068237-F743-EC11-B2FE-005056895191</v>
          </cell>
          <cell r="E596">
            <v>0</v>
          </cell>
        </row>
        <row r="597">
          <cell r="A597" t="str">
            <v>SÃO PAULO</v>
          </cell>
          <cell r="C597" t="str">
            <v>CIA CITY_59</v>
          </cell>
          <cell r="D597" t="str">
            <v>B788D5AA-F843-EC11-B2FE-005056895191</v>
          </cell>
          <cell r="E597">
            <v>200</v>
          </cell>
        </row>
        <row r="598">
          <cell r="A598" t="str">
            <v>SÃO PAULO</v>
          </cell>
          <cell r="C598" t="str">
            <v>CIA CITY_60</v>
          </cell>
          <cell r="D598" t="str">
            <v>6AFFEB61-FA43-EC11-B2FE-005056895191</v>
          </cell>
          <cell r="E598">
            <v>200</v>
          </cell>
        </row>
        <row r="599">
          <cell r="A599" t="str">
            <v>SÃO PAULO</v>
          </cell>
          <cell r="C599" t="str">
            <v>CIA CITY_61</v>
          </cell>
          <cell r="D599" t="str">
            <v>64DCEE58-FB43-EC11-B2FE-005056895191</v>
          </cell>
          <cell r="E599">
            <v>240</v>
          </cell>
        </row>
        <row r="600">
          <cell r="A600" t="str">
            <v>SÃO PAULO</v>
          </cell>
          <cell r="C600" t="str">
            <v>CIA CITY_62</v>
          </cell>
          <cell r="D600" t="str">
            <v>7D2D6E5D-FC43-EC11-B2FE-005056895191</v>
          </cell>
          <cell r="E600">
            <v>280</v>
          </cell>
        </row>
        <row r="601">
          <cell r="A601" t="str">
            <v>SÃO PAULO</v>
          </cell>
          <cell r="C601" t="str">
            <v>CIA CITY_63</v>
          </cell>
          <cell r="D601" t="str">
            <v>8D2FAA0D-FE43-EC11-B2FE-005056895191</v>
          </cell>
          <cell r="E601">
            <v>160</v>
          </cell>
        </row>
        <row r="602">
          <cell r="A602" t="str">
            <v>SÃO PAULO</v>
          </cell>
          <cell r="C602" t="str">
            <v>CIA CITY_64</v>
          </cell>
          <cell r="D602" t="str">
            <v>2D54B7E5-FE43-EC11-B2FE-005056895191</v>
          </cell>
          <cell r="E602">
            <v>120</v>
          </cell>
        </row>
        <row r="603">
          <cell r="A603" t="str">
            <v>SÃO PAULO</v>
          </cell>
          <cell r="C603" t="str">
            <v>CIA CITY_65</v>
          </cell>
          <cell r="D603" t="str">
            <v>7D6A3DCB-FF43-EC11-B2FE-005056895191</v>
          </cell>
          <cell r="E603">
            <v>160</v>
          </cell>
        </row>
        <row r="604">
          <cell r="A604" t="str">
            <v>SÃO PAULO</v>
          </cell>
          <cell r="C604" t="str">
            <v>CIA CITY_66</v>
          </cell>
          <cell r="D604" t="str">
            <v>720ADB8D-0044-EC11-B2FE-005056895191</v>
          </cell>
          <cell r="E604">
            <v>360</v>
          </cell>
        </row>
        <row r="605">
          <cell r="A605" t="str">
            <v>BAURU</v>
          </cell>
          <cell r="C605" t="str">
            <v>CIBELE</v>
          </cell>
          <cell r="D605" t="str">
            <v>04462402-378A-DD11-8A4F-001B78B9D994</v>
          </cell>
          <cell r="E605">
            <v>55</v>
          </cell>
        </row>
        <row r="606">
          <cell r="A606" t="str">
            <v>SÃO LUÍS</v>
          </cell>
          <cell r="C606" t="str">
            <v>CIDADE DE BERLIM</v>
          </cell>
          <cell r="D606" t="str">
            <v>A6475CB4-F935-E911-B8F1-009C02B0CB58</v>
          </cell>
          <cell r="E606">
            <v>272</v>
          </cell>
        </row>
        <row r="607">
          <cell r="A607" t="str">
            <v>CARUARU</v>
          </cell>
          <cell r="C607" t="str">
            <v>CIDADE JARDIM COND. CLUBE_PQ JARDIM DOS ALECRINS</v>
          </cell>
          <cell r="D607" t="str">
            <v>9ADE4620-C2C9-E111-B8E0-001F2909E810</v>
          </cell>
          <cell r="E607">
            <v>320</v>
          </cell>
        </row>
        <row r="608">
          <cell r="A608" t="str">
            <v>VESPASIANO</v>
          </cell>
          <cell r="C608" t="str">
            <v>CIDADE VERDE COND. RESI_HORIZONTE VERDE COND.</v>
          </cell>
          <cell r="D608" t="str">
            <v>3A6724B5-FE4F-E011-BDCF-001F2909E810</v>
          </cell>
          <cell r="E608">
            <v>400</v>
          </cell>
        </row>
        <row r="609">
          <cell r="A609" t="str">
            <v>CAMPINAS</v>
          </cell>
          <cell r="C609" t="str">
            <v>CINTIA</v>
          </cell>
          <cell r="D609" t="str">
            <v>D9A23597-0A8B-DD11-917B-001B78B9D994</v>
          </cell>
          <cell r="E609">
            <v>144</v>
          </cell>
        </row>
        <row r="610">
          <cell r="A610" t="str">
            <v>CAMPINAS</v>
          </cell>
          <cell r="C610" t="str">
            <v>CLARA</v>
          </cell>
          <cell r="D610" t="str">
            <v>26C79CFE-698A-DD11-8A4F-001B78B9D994</v>
          </cell>
          <cell r="E610">
            <v>162</v>
          </cell>
        </row>
        <row r="611">
          <cell r="A611" t="str">
            <v>CAMPINAS</v>
          </cell>
          <cell r="C611" t="str">
            <v>CLÁUDIA</v>
          </cell>
          <cell r="D611" t="str">
            <v>80A194D6-028B-DD11-917B-001B78B9D994</v>
          </cell>
          <cell r="E611">
            <v>210</v>
          </cell>
        </row>
        <row r="612">
          <cell r="A612" t="str">
            <v>BELO HORIZONTE</v>
          </cell>
          <cell r="C612" t="str">
            <v>COIMBRA</v>
          </cell>
          <cell r="D612" t="str">
            <v>DF7817AF-A383-DF11-B20E-001F2909E810</v>
          </cell>
          <cell r="E612">
            <v>0</v>
          </cell>
        </row>
        <row r="613">
          <cell r="A613" t="str">
            <v>CAMPINAS</v>
          </cell>
          <cell r="C613" t="str">
            <v>COIMBRA GARDEN</v>
          </cell>
          <cell r="D613" t="str">
            <v>48A18A1F-200F-E711-AC8B-80C16E075108</v>
          </cell>
          <cell r="E613">
            <v>416</v>
          </cell>
        </row>
        <row r="614">
          <cell r="A614" t="str">
            <v>MACAÉ</v>
          </cell>
          <cell r="C614" t="str">
            <v>COMPLEXO MARES DO ATLÂNTICO_MAR DA IRLANDA</v>
          </cell>
          <cell r="D614" t="str">
            <v>BDEDF273-9CBF-E011-8272-001F2909E810</v>
          </cell>
          <cell r="E614">
            <v>320</v>
          </cell>
        </row>
        <row r="615">
          <cell r="A615" t="str">
            <v>CAMPINAS</v>
          </cell>
          <cell r="C615" t="str">
            <v>COMPLEXO PARQUE DA COSTEIRA_PARQUE CAMBURI</v>
          </cell>
          <cell r="D615" t="str">
            <v>785FA98C-B4A4-DF11-B20E-001F2909E810</v>
          </cell>
          <cell r="E615">
            <v>0</v>
          </cell>
        </row>
        <row r="616">
          <cell r="A616" t="str">
            <v>CURITIBA</v>
          </cell>
          <cell r="C616" t="str">
            <v>COMPOSTELA</v>
          </cell>
          <cell r="D616" t="str">
            <v>E263B601-F76B-DE11-BFF6-001F2909E83C</v>
          </cell>
          <cell r="E616">
            <v>236</v>
          </cell>
        </row>
        <row r="617">
          <cell r="A617" t="str">
            <v>LONDRINA</v>
          </cell>
          <cell r="C617" t="str">
            <v>CONDOMINIO LAGOA AZUL</v>
          </cell>
          <cell r="D617" t="str">
            <v>DC0964E2-D171-E011-BDCF-001F2909E810</v>
          </cell>
          <cell r="E617">
            <v>144</v>
          </cell>
        </row>
        <row r="618">
          <cell r="A618" t="str">
            <v>LONDRINA</v>
          </cell>
          <cell r="C618" t="str">
            <v>CONDOMÍNIO LAGOA BONITA</v>
          </cell>
          <cell r="D618" t="str">
            <v>30FD91F7-D171-E011-BDCF-001F2909E810</v>
          </cell>
          <cell r="E618">
            <v>288</v>
          </cell>
        </row>
        <row r="619">
          <cell r="A619" t="str">
            <v>LONDRINA</v>
          </cell>
          <cell r="C619" t="str">
            <v>CONDOMÍNIO LAGOA DOURADA</v>
          </cell>
          <cell r="D619" t="str">
            <v>12B5B6C5-D171-E011-BDCF-001F2909E810</v>
          </cell>
          <cell r="E619">
            <v>448</v>
          </cell>
        </row>
        <row r="620">
          <cell r="A620" t="str">
            <v>LONDRINA</v>
          </cell>
          <cell r="C620" t="str">
            <v>CONDOMÍNIO LAGOA SANTA</v>
          </cell>
          <cell r="D620" t="str">
            <v>E9823161-A471-E011-BDCF-001F2909E810</v>
          </cell>
          <cell r="E620">
            <v>512</v>
          </cell>
        </row>
        <row r="621">
          <cell r="A621" t="str">
            <v>AMERICANA</v>
          </cell>
          <cell r="C621" t="str">
            <v>CONDOMINIO RESIDENCIAL DANISA</v>
          </cell>
          <cell r="D621" t="str">
            <v>1EE441A3-E38D-DF11-B20E-001F2909E810</v>
          </cell>
          <cell r="E621">
            <v>3</v>
          </cell>
        </row>
        <row r="622">
          <cell r="A622" t="str">
            <v>SOROCABA</v>
          </cell>
          <cell r="C622" t="str">
            <v>CONDOMÍNIO RESIDENCIAL LAGO DE LUCA</v>
          </cell>
          <cell r="D622" t="str">
            <v>14D63624-979F-E711-8E92-009C02B0CB58</v>
          </cell>
          <cell r="E622">
            <v>0</v>
          </cell>
        </row>
        <row r="623">
          <cell r="A623" t="str">
            <v>CAMPO GRANDE</v>
          </cell>
          <cell r="C623" t="str">
            <v>CONQUISTA SÃO FRANCISCO</v>
          </cell>
          <cell r="D623" t="str">
            <v>88799016-F56D-DD11-A282-001B78B9D994</v>
          </cell>
          <cell r="E623">
            <v>96</v>
          </cell>
        </row>
        <row r="624">
          <cell r="A624" t="str">
            <v>CUIABÁ</v>
          </cell>
          <cell r="C624" t="str">
            <v>CONTORNO LESTE EMP 01</v>
          </cell>
          <cell r="D624" t="str">
            <v>8FF3D2B8-8FC6-EE11-8ACD-80C16E075108</v>
          </cell>
          <cell r="E624">
            <v>0</v>
          </cell>
        </row>
        <row r="625">
          <cell r="A625" t="str">
            <v>CUIABÁ</v>
          </cell>
          <cell r="C625" t="str">
            <v>CONTORNO LESTE EMP 02</v>
          </cell>
          <cell r="D625" t="str">
            <v>0B459EA2-90C6-EE11-8ACD-80C16E075108</v>
          </cell>
          <cell r="E625">
            <v>0</v>
          </cell>
        </row>
        <row r="626">
          <cell r="A626" t="str">
            <v>CUIABÁ</v>
          </cell>
          <cell r="C626" t="str">
            <v>CONTORNO LESTE EMP 03</v>
          </cell>
          <cell r="D626" t="str">
            <v>74228A50-91C6-EE11-8ACD-80C16E075108</v>
          </cell>
          <cell r="E626">
            <v>0</v>
          </cell>
        </row>
        <row r="627">
          <cell r="A627" t="str">
            <v>LONDRINA</v>
          </cell>
          <cell r="C627" t="str">
            <v>COPÃO EMP 01</v>
          </cell>
          <cell r="D627" t="str">
            <v>B250335B-FBAB-EE11-A95E-005056856875</v>
          </cell>
          <cell r="E627">
            <v>0</v>
          </cell>
        </row>
        <row r="628">
          <cell r="A628" t="str">
            <v>LONDRINA</v>
          </cell>
          <cell r="C628" t="str">
            <v>COPÃO EMP 02</v>
          </cell>
          <cell r="D628" t="str">
            <v>4DAC0BE2-F2AE-EE11-A95E-005056856875</v>
          </cell>
          <cell r="E628">
            <v>0</v>
          </cell>
        </row>
        <row r="629">
          <cell r="A629" t="str">
            <v>LONDRINA</v>
          </cell>
          <cell r="C629" t="str">
            <v>COPÃO EMP 03</v>
          </cell>
          <cell r="D629" t="str">
            <v>50A5263A-F4AE-EE11-A95E-005056856875</v>
          </cell>
          <cell r="E629">
            <v>0</v>
          </cell>
        </row>
        <row r="630">
          <cell r="A630" t="str">
            <v>LONDRINA</v>
          </cell>
          <cell r="C630" t="str">
            <v>COPÃO EMP 04</v>
          </cell>
          <cell r="D630" t="str">
            <v>35FD95C5-F4AE-EE11-A95E-005056856875</v>
          </cell>
          <cell r="E630">
            <v>0</v>
          </cell>
        </row>
        <row r="631">
          <cell r="A631" t="str">
            <v>LONDRINA</v>
          </cell>
          <cell r="C631" t="str">
            <v>COPÃO EMP 05</v>
          </cell>
          <cell r="D631" t="str">
            <v>5C474005-F6AE-EE11-A95E-005056856875</v>
          </cell>
          <cell r="E631">
            <v>0</v>
          </cell>
        </row>
        <row r="632">
          <cell r="A632" t="str">
            <v>LONDRINA</v>
          </cell>
          <cell r="C632" t="str">
            <v>COPÃO EMP 06</v>
          </cell>
          <cell r="D632" t="str">
            <v>9F418204-F7AE-EE11-A95E-005056856875</v>
          </cell>
          <cell r="E632">
            <v>0</v>
          </cell>
        </row>
        <row r="633">
          <cell r="A633" t="str">
            <v>LONDRINA</v>
          </cell>
          <cell r="C633" t="str">
            <v>COPÃO EMP 07</v>
          </cell>
          <cell r="D633" t="str">
            <v>729BBCBA-F7AE-EE11-A95E-005056856875</v>
          </cell>
          <cell r="E633">
            <v>0</v>
          </cell>
        </row>
        <row r="634">
          <cell r="A634" t="str">
            <v>LONDRINA</v>
          </cell>
          <cell r="C634" t="str">
            <v>COPÃO EMP 08</v>
          </cell>
          <cell r="D634" t="str">
            <v>75BAB3DB-922A-F011-AAAE-005056856875</v>
          </cell>
          <cell r="E634">
            <v>0</v>
          </cell>
        </row>
        <row r="635">
          <cell r="A635" t="str">
            <v>LONDRINA</v>
          </cell>
          <cell r="C635" t="str">
            <v>COPÃO EMP 09</v>
          </cell>
          <cell r="D635" t="str">
            <v>74B3751B-932A-F011-AAAE-005056856875</v>
          </cell>
          <cell r="E635">
            <v>0</v>
          </cell>
        </row>
        <row r="636">
          <cell r="A636" t="str">
            <v>LONDRINA</v>
          </cell>
          <cell r="C636" t="str">
            <v>COPÃO EMP 10</v>
          </cell>
          <cell r="D636" t="str">
            <v>C29C308F-932A-F011-AAAE-005056856875</v>
          </cell>
          <cell r="E636">
            <v>0</v>
          </cell>
        </row>
        <row r="637">
          <cell r="A637" t="str">
            <v>LONDRINA</v>
          </cell>
          <cell r="C637" t="str">
            <v>COPÃO EMP 11</v>
          </cell>
          <cell r="D637" t="str">
            <v>E999A7CD-932A-F011-AAAE-005056856875</v>
          </cell>
          <cell r="E637">
            <v>0</v>
          </cell>
        </row>
        <row r="638">
          <cell r="A638" t="str">
            <v>BELO HORIZONTE</v>
          </cell>
          <cell r="C638" t="str">
            <v>CORDOBA</v>
          </cell>
          <cell r="D638" t="str">
            <v>C3D11B8E-7569-DD11-AD97-001B78B9D994</v>
          </cell>
          <cell r="E638">
            <v>0</v>
          </cell>
        </row>
        <row r="639">
          <cell r="A639" t="str">
            <v>CAMPINAS</v>
          </cell>
          <cell r="C639" t="str">
            <v>CORES DO CAMPO</v>
          </cell>
          <cell r="D639" t="str">
            <v>FE6CE2C6-A8E7-EE11-94F2-005056856875</v>
          </cell>
          <cell r="E639">
            <v>0</v>
          </cell>
        </row>
        <row r="640">
          <cell r="A640" t="str">
            <v>CAMPINAS</v>
          </cell>
          <cell r="C640" t="str">
            <v>CORES DO LAGO</v>
          </cell>
          <cell r="D640" t="str">
            <v>6A1C21EA-38CA-ED11-879A-80C16E075108</v>
          </cell>
          <cell r="E640">
            <v>0</v>
          </cell>
        </row>
        <row r="641">
          <cell r="A641" t="str">
            <v>CAMPINAS</v>
          </cell>
          <cell r="C641" t="str">
            <v>CORES DO MAR</v>
          </cell>
          <cell r="D641" t="str">
            <v>A97997E7-39CA-ED11-9510-005056856875</v>
          </cell>
          <cell r="E641">
            <v>0</v>
          </cell>
        </row>
        <row r="642">
          <cell r="A642" t="str">
            <v>CURITIBA</v>
          </cell>
          <cell r="C642" t="str">
            <v>COSENZA</v>
          </cell>
          <cell r="D642" t="str">
            <v>416009C9-9110-E111-B689-001F2909E810</v>
          </cell>
          <cell r="E642">
            <v>840</v>
          </cell>
        </row>
        <row r="643">
          <cell r="A643" t="str">
            <v>FORTALEZA</v>
          </cell>
          <cell r="C643" t="str">
            <v>COSTA ATLÂNTICA CONDOMINIO CLUBE</v>
          </cell>
          <cell r="D643" t="str">
            <v>49B3D614-8CB2-DD11-A0C7-001B78B9D994</v>
          </cell>
          <cell r="E643">
            <v>280</v>
          </cell>
        </row>
        <row r="644">
          <cell r="A644" t="str">
            <v>BELO HORIZONTE</v>
          </cell>
          <cell r="C644" t="str">
            <v>COSTA AZUL</v>
          </cell>
          <cell r="D644" t="str">
            <v>656457FB-C1F2-DD11-9EFB-001B78B9D994</v>
          </cell>
          <cell r="E644">
            <v>0</v>
          </cell>
        </row>
        <row r="645">
          <cell r="A645" t="str">
            <v>CAMAÇARI</v>
          </cell>
          <cell r="C645" t="str">
            <v>COSTA DO CACAU</v>
          </cell>
          <cell r="D645" t="str">
            <v>22A3EEAA-9FA2-E511-B93A-80C16E075108</v>
          </cell>
          <cell r="E645">
            <v>640</v>
          </cell>
        </row>
        <row r="646">
          <cell r="A646" t="str">
            <v>CAMAÇARI</v>
          </cell>
          <cell r="C646" t="str">
            <v>COSTA DO DESCOBRIMENTO</v>
          </cell>
          <cell r="D646" t="str">
            <v>7E830923-9FA2-E511-B93A-80C16E075108</v>
          </cell>
          <cell r="E646">
            <v>380</v>
          </cell>
        </row>
        <row r="647">
          <cell r="A647" t="str">
            <v>CAMAÇARI</v>
          </cell>
          <cell r="C647" t="str">
            <v>COSTA DOS COQUEIROS</v>
          </cell>
          <cell r="D647" t="str">
            <v>1E46AB5A-9FA2-E511-B93A-80C16E075108</v>
          </cell>
          <cell r="E647">
            <v>300</v>
          </cell>
        </row>
        <row r="648">
          <cell r="A648" t="str">
            <v>BELO HORIZONTE</v>
          </cell>
          <cell r="C648" t="str">
            <v>COSTA RICA</v>
          </cell>
          <cell r="D648" t="str">
            <v>418E5DC6-80DB-DF11-B242-001F2909E810</v>
          </cell>
          <cell r="E648">
            <v>9</v>
          </cell>
        </row>
        <row r="649">
          <cell r="A649" t="str">
            <v>CAMPINAS</v>
          </cell>
          <cell r="C649" t="str">
            <v>CRAQUE DO PARIS EMP01</v>
          </cell>
          <cell r="D649" t="str">
            <v>5CA913FA-6DCD-EC11-BA45-005056890018</v>
          </cell>
          <cell r="E649">
            <v>0</v>
          </cell>
        </row>
        <row r="650">
          <cell r="A650" t="str">
            <v>CAMPINAS</v>
          </cell>
          <cell r="C650" t="str">
            <v>CRISTAL VILLE</v>
          </cell>
          <cell r="D650" t="str">
            <v>D0A86B4D-C3C9-DC11-8D7D-001B7845B4A6</v>
          </cell>
          <cell r="E650">
            <v>160</v>
          </cell>
        </row>
        <row r="651">
          <cell r="A651" t="str">
            <v>CAMPINAS</v>
          </cell>
          <cell r="C651" t="str">
            <v>CRISTIANE</v>
          </cell>
          <cell r="D651" t="str">
            <v>E4C04145-0E8B-DD11-917B-001B78B9D994</v>
          </cell>
          <cell r="E651">
            <v>8</v>
          </cell>
        </row>
        <row r="652">
          <cell r="A652" t="str">
            <v>NITERÓI</v>
          </cell>
          <cell r="C652" t="str">
            <v>CURUMIM EMP 01</v>
          </cell>
          <cell r="D652" t="str">
            <v>8082DB85-B8F3-EB11-A30E-0050568A2E98</v>
          </cell>
          <cell r="E652">
            <v>310</v>
          </cell>
        </row>
        <row r="653">
          <cell r="A653" t="str">
            <v>BELO HORIZONTE</v>
          </cell>
          <cell r="C653" t="str">
            <v>D. HENRIQUE ORLEA</v>
          </cell>
          <cell r="D653" t="str">
            <v>F0310423-81DB-DF11-B242-001F2909E810</v>
          </cell>
          <cell r="E653">
            <v>0</v>
          </cell>
        </row>
        <row r="654">
          <cell r="A654" t="str">
            <v>BELO HORIZONTE</v>
          </cell>
          <cell r="C654" t="str">
            <v>DAMASCO</v>
          </cell>
          <cell r="D654" t="str">
            <v>A5C095BC-48BA-DD11-BEF7-001B78B9D994</v>
          </cell>
          <cell r="E654">
            <v>0</v>
          </cell>
        </row>
        <row r="655">
          <cell r="A655" t="str">
            <v>BELO HORIZONTE</v>
          </cell>
          <cell r="C655" t="str">
            <v>DANÚBIO</v>
          </cell>
          <cell r="D655" t="str">
            <v>89959718-687F-DD11-8A4F-001B78B9D994</v>
          </cell>
          <cell r="E655">
            <v>140</v>
          </cell>
        </row>
        <row r="656">
          <cell r="A656" t="str">
            <v>RIO DE JANEIRO</v>
          </cell>
          <cell r="C656" t="str">
            <v>DECATHLON EMP 01</v>
          </cell>
          <cell r="D656" t="str">
            <v>FB95C7E5-4152-EE11-AE6A-009C02B0CB58</v>
          </cell>
          <cell r="E656">
            <v>0</v>
          </cell>
        </row>
        <row r="657">
          <cell r="A657" t="str">
            <v>BELO HORIZONTE</v>
          </cell>
          <cell r="C657" t="str">
            <v>DELFOS</v>
          </cell>
          <cell r="D657" t="str">
            <v>C720A47E-C258-DD11-BC22-001B78B9D994</v>
          </cell>
          <cell r="E657">
            <v>50</v>
          </cell>
        </row>
        <row r="658">
          <cell r="A658" t="str">
            <v>BELO HORIZONTE</v>
          </cell>
          <cell r="C658" t="str">
            <v>DENVER</v>
          </cell>
          <cell r="D658" t="str">
            <v>7AA56D76-81DB-DF11-B242-001F2909E810</v>
          </cell>
          <cell r="E658">
            <v>4</v>
          </cell>
        </row>
        <row r="659">
          <cell r="A659" t="str">
            <v>JUNDIAÍ</v>
          </cell>
          <cell r="C659" t="str">
            <v>VALE DA AURORA</v>
          </cell>
          <cell r="D659" t="str">
            <v>A7E27D3E-AE7A-EF11-B65C-009C02B0CB58</v>
          </cell>
          <cell r="E659">
            <v>0</v>
          </cell>
        </row>
        <row r="660">
          <cell r="A660" t="str">
            <v>BELO HORIZONTE</v>
          </cell>
          <cell r="C660" t="str">
            <v>DETROIT</v>
          </cell>
          <cell r="D660" t="str">
            <v>CDE23E9C-22EC-DF11-B242-001F2909E810</v>
          </cell>
          <cell r="E660">
            <v>1</v>
          </cell>
        </row>
        <row r="661">
          <cell r="A661" t="str">
            <v>BELO HORIZONTE</v>
          </cell>
          <cell r="C661" t="str">
            <v>DI DIGITAL EMP 01</v>
          </cell>
          <cell r="D661" t="str">
            <v>60684C95-DEF2-EF11-B65C-009C02B0CB58</v>
          </cell>
          <cell r="E661">
            <v>0</v>
          </cell>
        </row>
        <row r="662">
          <cell r="A662" t="str">
            <v>BELO HORIZONTE</v>
          </cell>
          <cell r="C662" t="str">
            <v>DI DIGITAL EMP 02</v>
          </cell>
          <cell r="D662" t="str">
            <v>1CBBE173-DFF2-EF11-B65C-009C02B0CB58</v>
          </cell>
          <cell r="E662">
            <v>0</v>
          </cell>
        </row>
        <row r="663">
          <cell r="A663" t="str">
            <v>BELO HORIZONTE</v>
          </cell>
          <cell r="C663" t="str">
            <v>DOM GIUSEPPE</v>
          </cell>
          <cell r="D663" t="str">
            <v>E17D1059-83DB-DF11-B242-001F2909E810</v>
          </cell>
          <cell r="E663">
            <v>0</v>
          </cell>
        </row>
        <row r="664">
          <cell r="A664" t="str">
            <v>JUNDIAÍ</v>
          </cell>
          <cell r="C664" t="str">
            <v>DONA RANHA EMP 01</v>
          </cell>
          <cell r="D664" t="str">
            <v>6AE52E49-759B-EF11-AB5A-80C16E075108</v>
          </cell>
          <cell r="E664">
            <v>0</v>
          </cell>
        </row>
        <row r="665">
          <cell r="A665" t="str">
            <v>BELO HORIZONTE</v>
          </cell>
          <cell r="C665" t="str">
            <v>D'OUTONNO</v>
          </cell>
          <cell r="D665" t="str">
            <v>DE301232-33E9-DC11-ABD0-001B7845B4A6</v>
          </cell>
          <cell r="E665">
            <v>60</v>
          </cell>
        </row>
        <row r="666">
          <cell r="A666" t="str">
            <v>FORTALEZA</v>
          </cell>
          <cell r="C666" t="str">
            <v>RESIDENCIAL ESPELHO DAS AGUAS</v>
          </cell>
          <cell r="D666" t="str">
            <v>FA8918EE-3458-F011-9D65-005056856875</v>
          </cell>
          <cell r="E666">
            <v>220</v>
          </cell>
        </row>
        <row r="667">
          <cell r="A667" t="str">
            <v>SÃO LUÍS</v>
          </cell>
          <cell r="C667" t="str">
            <v>DUNAS DO MAR</v>
          </cell>
          <cell r="D667" t="str">
            <v>97249464-6A81-ED11-879A-80C16E075108</v>
          </cell>
          <cell r="E667">
            <v>208</v>
          </cell>
        </row>
        <row r="668">
          <cell r="A668" t="str">
            <v>DUQUE DE CAXIAS</v>
          </cell>
          <cell r="C668" t="str">
            <v>DUQUE DE COIMBRA</v>
          </cell>
          <cell r="D668" t="str">
            <v>1F57E2FB-4284-E711-8E92-009C02B0CB58</v>
          </cell>
          <cell r="E668">
            <v>160</v>
          </cell>
        </row>
        <row r="669">
          <cell r="A669" t="str">
            <v>CAMPINAS</v>
          </cell>
          <cell r="C669" t="str">
            <v>EAD EMP 01</v>
          </cell>
          <cell r="D669" t="str">
            <v>A18813F6-DC4C-EE11-8ACD-80C16E075108</v>
          </cell>
          <cell r="E669">
            <v>0</v>
          </cell>
        </row>
        <row r="670">
          <cell r="A670" t="str">
            <v>CAMPINAS</v>
          </cell>
          <cell r="C670" t="str">
            <v>EAD EMP 02</v>
          </cell>
          <cell r="D670" t="str">
            <v>E00F9861-DD4C-EE11-8ACD-80C16E075108</v>
          </cell>
          <cell r="E670">
            <v>0</v>
          </cell>
        </row>
        <row r="671">
          <cell r="A671" t="str">
            <v>EUSÉBIO</v>
          </cell>
          <cell r="C671" t="str">
            <v>ECO FIT EUSÉBIO</v>
          </cell>
          <cell r="D671" t="str">
            <v>B20F530B-5FC4-E511-9CC2-009C02B0CB58</v>
          </cell>
          <cell r="E671">
            <v>720</v>
          </cell>
        </row>
        <row r="672">
          <cell r="A672" t="str">
            <v>GOIÂNIA</v>
          </cell>
          <cell r="C672" t="str">
            <v>ECO VILLE ARAGUAIA</v>
          </cell>
          <cell r="D672" t="str">
            <v>68640861-284C-DD11-BC22-001B78B9D994</v>
          </cell>
          <cell r="E672">
            <v>256</v>
          </cell>
        </row>
        <row r="673">
          <cell r="A673" t="str">
            <v>GOIÂNIA</v>
          </cell>
          <cell r="C673" t="str">
            <v>ECO VILLE CALDAS NOVAS</v>
          </cell>
          <cell r="D673" t="str">
            <v>ECF5496D-284C-DD11-BC22-001B78B9D994</v>
          </cell>
          <cell r="E673">
            <v>216</v>
          </cell>
        </row>
        <row r="674">
          <cell r="A674" t="str">
            <v>GOIÂNIA</v>
          </cell>
          <cell r="C674" t="str">
            <v>ECO VILLE SERRA DOURADA</v>
          </cell>
          <cell r="D674" t="str">
            <v>93503379-284C-DD11-BC22-001B78B9D994</v>
          </cell>
          <cell r="E674">
            <v>288</v>
          </cell>
        </row>
        <row r="675">
          <cell r="A675" t="str">
            <v>JOÃO PESSOA</v>
          </cell>
          <cell r="C675" t="str">
            <v>ECOMAX EMP 01</v>
          </cell>
          <cell r="D675" t="str">
            <v>FEAB70AA-EE81-EF11-B65C-009C02B0CB58</v>
          </cell>
          <cell r="E675">
            <v>0</v>
          </cell>
        </row>
        <row r="676">
          <cell r="A676" t="str">
            <v>BELO HORIZONTE</v>
          </cell>
          <cell r="C676" t="str">
            <v>EDIFÍCIO VILLE SION</v>
          </cell>
          <cell r="D676" t="str">
            <v>189B1B5C-F7DB-DC11-ABCF-001B7845B4A6</v>
          </cell>
          <cell r="E676">
            <v>60</v>
          </cell>
        </row>
        <row r="677">
          <cell r="A677" t="str">
            <v>RIO DE JANEIRO</v>
          </cell>
          <cell r="C677" t="str">
            <v>EDITORA UNIVERSAL EMP 01</v>
          </cell>
          <cell r="D677" t="str">
            <v>609D061F-352C-F011-AB5A-80C16E075108</v>
          </cell>
          <cell r="E677">
            <v>0</v>
          </cell>
        </row>
        <row r="678">
          <cell r="A678" t="str">
            <v>BELO HORIZONTE</v>
          </cell>
          <cell r="C678" t="str">
            <v>EGITO</v>
          </cell>
          <cell r="D678" t="str">
            <v>454F32BF-83DB-DF11-B242-001F2909E810</v>
          </cell>
          <cell r="E678">
            <v>4</v>
          </cell>
        </row>
        <row r="679">
          <cell r="A679" t="str">
            <v>FORTALEZA</v>
          </cell>
          <cell r="C679" t="str">
            <v>ENCANTO PARANGABA CONDOMÍNIO CLUBE</v>
          </cell>
          <cell r="D679" t="str">
            <v>C474AB5F-57E9-DD11-BD2B-001B78B9D994</v>
          </cell>
          <cell r="E679">
            <v>200</v>
          </cell>
        </row>
        <row r="680">
          <cell r="A680" t="str">
            <v>VESPASIANO</v>
          </cell>
          <cell r="C680" t="str">
            <v>ENGTU EMP 01</v>
          </cell>
          <cell r="D680" t="str">
            <v>FE424064-37AA-EE11-8E2D-009C02B0CB58</v>
          </cell>
          <cell r="E680">
            <v>0</v>
          </cell>
        </row>
        <row r="681">
          <cell r="A681" t="str">
            <v>BELO HORIZONTE</v>
          </cell>
          <cell r="C681" t="str">
            <v>ESCARPAS II</v>
          </cell>
          <cell r="D681" t="str">
            <v>9A830CF6-D3DA-DF11-B242-001F2909E810</v>
          </cell>
          <cell r="E681">
            <v>0</v>
          </cell>
        </row>
        <row r="682">
          <cell r="A682" t="str">
            <v>FLORIANÓPOLIS</v>
          </cell>
          <cell r="C682" t="str">
            <v>ESCOLA DE HIPISMO EMP 01</v>
          </cell>
          <cell r="D682" t="str">
            <v>A5B58631-E1B7-EF11-B65C-009C02B0CB58</v>
          </cell>
          <cell r="E682">
            <v>0</v>
          </cell>
        </row>
        <row r="683">
          <cell r="A683" t="str">
            <v>FLORIANÓPOLIS</v>
          </cell>
          <cell r="C683" t="str">
            <v>ESCOLA DE HIPISMO EMP 02</v>
          </cell>
          <cell r="D683" t="str">
            <v>494692B2-7632-F011-AB5A-80C16E075108</v>
          </cell>
          <cell r="E683">
            <v>0</v>
          </cell>
        </row>
        <row r="684">
          <cell r="A684" t="str">
            <v>CAMPINAS</v>
          </cell>
          <cell r="C684" t="str">
            <v>ESMERALDA VILLE</v>
          </cell>
          <cell r="D684" t="str">
            <v>17D57F03-99CE-DC11-9ED6-001B7845B4A6</v>
          </cell>
          <cell r="E684">
            <v>280</v>
          </cell>
        </row>
        <row r="685">
          <cell r="A685" t="str">
            <v>BELO HORIZONTE</v>
          </cell>
          <cell r="C685" t="str">
            <v>ESPARTA</v>
          </cell>
          <cell r="D685" t="str">
            <v>D3289B49-AE89-DD11-8A4F-001B78B9D994</v>
          </cell>
          <cell r="E685">
            <v>0</v>
          </cell>
        </row>
        <row r="686">
          <cell r="A686" t="str">
            <v>BELO HORIZONTE</v>
          </cell>
          <cell r="C686" t="str">
            <v>ESSENZA</v>
          </cell>
          <cell r="D686" t="str">
            <v>EB6AFDBF-B946-DD11-BC22-001B78B9D994</v>
          </cell>
          <cell r="E686">
            <v>100</v>
          </cell>
        </row>
        <row r="687">
          <cell r="A687" t="str">
            <v>FORTALEZA</v>
          </cell>
          <cell r="C687" t="str">
            <v>ESTRELA MAR EMP 02</v>
          </cell>
          <cell r="D687" t="str">
            <v>E8F9F2C6-0192-EF11-B65C-009C02B0CB58</v>
          </cell>
          <cell r="E687">
            <v>0</v>
          </cell>
        </row>
        <row r="688">
          <cell r="A688" t="str">
            <v>RIBEIRÃO PRETO</v>
          </cell>
          <cell r="C688" t="str">
            <v>EVIDENCE CONDOMÍNIO RESORT</v>
          </cell>
          <cell r="D688" t="str">
            <v>20A7B066-F4EA-DC11-A2F9-001B7845B4A6</v>
          </cell>
          <cell r="E688">
            <v>719</v>
          </cell>
        </row>
        <row r="689">
          <cell r="A689" t="str">
            <v>BELO HORIZONTE</v>
          </cell>
          <cell r="C689" t="str">
            <v>EVORA</v>
          </cell>
          <cell r="D689" t="str">
            <v>BDDEBE47-40DC-DF11-B242-001F2909E810</v>
          </cell>
          <cell r="E689">
            <v>4</v>
          </cell>
        </row>
        <row r="690">
          <cell r="A690" t="str">
            <v>BETIM</v>
          </cell>
          <cell r="C690" t="str">
            <v>FÁBRICA DE BLOCOS</v>
          </cell>
          <cell r="D690" t="str">
            <v>AD9DA040-4A31-E911-8C00-80C16E075108</v>
          </cell>
          <cell r="E690">
            <v>0</v>
          </cell>
        </row>
        <row r="691">
          <cell r="A691" t="str">
            <v>CURITIBA</v>
          </cell>
          <cell r="C691" t="str">
            <v>RESIDENCIAL COLINA DAS ARAUCÁRIAS</v>
          </cell>
          <cell r="D691" t="str">
            <v>8C8F587F-DD71-EF11-A9C6-80C16E075108</v>
          </cell>
          <cell r="E691">
            <v>456</v>
          </cell>
        </row>
        <row r="692">
          <cell r="A692" t="str">
            <v>BELO HORIZONTE</v>
          </cell>
          <cell r="C692" t="str">
            <v>FACES SION</v>
          </cell>
          <cell r="D692" t="str">
            <v>748C3BFC-86EC-DC11-A2F9-001B7845B4A6</v>
          </cell>
          <cell r="E692">
            <v>124</v>
          </cell>
        </row>
        <row r="693">
          <cell r="A693" t="str">
            <v>GUARULHOS</v>
          </cell>
          <cell r="C693" t="str">
            <v>FAMÍLIA LAUER EMP 01</v>
          </cell>
          <cell r="D693" t="str">
            <v>45F0F5A5-FB07-F011-AAAE-005056856875</v>
          </cell>
          <cell r="E693">
            <v>0</v>
          </cell>
        </row>
        <row r="694">
          <cell r="A694" t="str">
            <v>GOIÂNIA</v>
          </cell>
          <cell r="C694" t="str">
            <v>FARAÓ EMP 01</v>
          </cell>
          <cell r="D694" t="str">
            <v>A40C6C0B-342C-F011-AB5A-80C16E075108</v>
          </cell>
          <cell r="E694">
            <v>0</v>
          </cell>
        </row>
        <row r="695">
          <cell r="A695" t="str">
            <v>FORTALEZA</v>
          </cell>
          <cell r="C695" t="str">
            <v>FAVORITTO RESIDENCE CLUBE</v>
          </cell>
          <cell r="D695" t="str">
            <v>E2636294-244C-DD11-BC22-001B78B9D994</v>
          </cell>
          <cell r="E695">
            <v>336</v>
          </cell>
        </row>
        <row r="696">
          <cell r="A696" t="str">
            <v>MARINGÁ</v>
          </cell>
          <cell r="C696" t="str">
            <v>FAZENDINHA DA UEM 1</v>
          </cell>
          <cell r="D696" t="str">
            <v>8F9E229C-0862-E911-B8F1-009C02B0CB58</v>
          </cell>
          <cell r="E696">
            <v>248</v>
          </cell>
        </row>
        <row r="697">
          <cell r="A697" t="str">
            <v>MARINGÁ</v>
          </cell>
          <cell r="C697" t="str">
            <v>FAZENDINHA DA UEM 2</v>
          </cell>
          <cell r="D697" t="str">
            <v>93221C84-0962-E911-B8F1-009C02B0CB58</v>
          </cell>
          <cell r="E697">
            <v>328</v>
          </cell>
        </row>
        <row r="698">
          <cell r="A698" t="str">
            <v>FORTALEZA</v>
          </cell>
          <cell r="C698" t="str">
            <v>FEIRA DOS PASSAROS EMP 02</v>
          </cell>
          <cell r="D698" t="str">
            <v>DCDF0499-8C04-EE11-9510-005056856875</v>
          </cell>
          <cell r="E698">
            <v>0</v>
          </cell>
        </row>
        <row r="699">
          <cell r="A699" t="str">
            <v>FEIRA DE SANTANA</v>
          </cell>
          <cell r="C699" t="str">
            <v>FEIRA FLOWER</v>
          </cell>
          <cell r="D699" t="str">
            <v>F8B3ADD0-D01E-EB11-9D23-005056856B6C</v>
          </cell>
          <cell r="E699">
            <v>244</v>
          </cell>
        </row>
        <row r="700">
          <cell r="A700" t="str">
            <v>FEIRA DE SANTANA</v>
          </cell>
          <cell r="C700" t="str">
            <v>FEIRA GARDEN</v>
          </cell>
          <cell r="D700" t="str">
            <v>C1AA7968-455B-E711-BB04-DB6828735DB2</v>
          </cell>
          <cell r="E700">
            <v>368</v>
          </cell>
        </row>
        <row r="701">
          <cell r="A701" t="str">
            <v>FEIRA DE SANTANA</v>
          </cell>
          <cell r="C701" t="str">
            <v>FEIRA RESIDENCE</v>
          </cell>
          <cell r="D701" t="str">
            <v>E18F5B0B-465B-E711-BB04-DB6828735DB2</v>
          </cell>
          <cell r="E701">
            <v>224</v>
          </cell>
        </row>
        <row r="702">
          <cell r="A702" t="str">
            <v>FEIRA DE SANTANA</v>
          </cell>
          <cell r="C702" t="str">
            <v>FEIRA VILLE</v>
          </cell>
          <cell r="D702" t="str">
            <v>D8986AB7-455B-E711-BB04-DB6828735DB2</v>
          </cell>
          <cell r="E702">
            <v>208</v>
          </cell>
        </row>
        <row r="703">
          <cell r="A703" t="str">
            <v>BELO HORIZONTE</v>
          </cell>
          <cell r="C703" t="str">
            <v>FENIX</v>
          </cell>
          <cell r="D703" t="str">
            <v>ED8C1793-40DC-DF11-B242-001F2909E810</v>
          </cell>
          <cell r="E703">
            <v>8</v>
          </cell>
        </row>
        <row r="704">
          <cell r="A704" t="str">
            <v>FRANCA</v>
          </cell>
          <cell r="C704" t="str">
            <v>FERRETTE RESIDENCIAL</v>
          </cell>
          <cell r="D704" t="str">
            <v>79D0A67F-2572-E711-91B2-80C16E075108</v>
          </cell>
          <cell r="E704">
            <v>112</v>
          </cell>
        </row>
        <row r="705">
          <cell r="A705" t="str">
            <v>FRANCA</v>
          </cell>
          <cell r="C705" t="str">
            <v>FESTEGGIARE CLUBE E CONDOMÍNIO</v>
          </cell>
          <cell r="D705" t="str">
            <v>4DA289B0-FBEA-DC11-A2F9-001B7845B4A6</v>
          </cell>
          <cell r="E705">
            <v>224</v>
          </cell>
        </row>
        <row r="706">
          <cell r="A706" t="str">
            <v>FRANCA</v>
          </cell>
          <cell r="C706" t="str">
            <v>FIORENTINE CLUB E CONDOMÍNIO</v>
          </cell>
          <cell r="D706" t="str">
            <v>36873DCC-FAEA-DC11-A2F9-001B7845B4A6</v>
          </cell>
          <cell r="E706">
            <v>384</v>
          </cell>
        </row>
        <row r="707">
          <cell r="A707" t="str">
            <v>UBERLÂNDIA</v>
          </cell>
          <cell r="C707" t="str">
            <v>FLAVIA</v>
          </cell>
          <cell r="D707" t="str">
            <v>1DA2B533-48DC-DF11-B242-001F2909E810</v>
          </cell>
          <cell r="E707">
            <v>5</v>
          </cell>
        </row>
        <row r="708">
          <cell r="A708" t="str">
            <v>PARNAMIRIM</v>
          </cell>
          <cell r="C708" t="str">
            <v>FLINTSTONES EMP 01</v>
          </cell>
          <cell r="D708" t="str">
            <v>1DE04D7E-8AC3-EF11-AAAE-005056856875</v>
          </cell>
          <cell r="E708">
            <v>0</v>
          </cell>
        </row>
        <row r="709">
          <cell r="A709" t="str">
            <v>FEIRA DE SANTANA</v>
          </cell>
          <cell r="C709" t="str">
            <v>FLOR DO MANDACARU</v>
          </cell>
          <cell r="D709" t="str">
            <v>0E104466-CB0D-E811-B989-80C16E075108</v>
          </cell>
          <cell r="E709">
            <v>190</v>
          </cell>
        </row>
        <row r="710">
          <cell r="A710" t="str">
            <v>FEIRA DE SANTANA</v>
          </cell>
          <cell r="C710" t="str">
            <v>FLOR DO SERTÃO</v>
          </cell>
          <cell r="D710" t="str">
            <v>0BC75C0E-CC0D-E811-B989-80C16E075108</v>
          </cell>
          <cell r="E710">
            <v>281</v>
          </cell>
        </row>
        <row r="711">
          <cell r="A711" t="str">
            <v>PALHOÇA</v>
          </cell>
          <cell r="C711" t="str">
            <v>FLORES DO LITORAL_RESIDENCIAL BROMÉLIAS</v>
          </cell>
          <cell r="D711" t="str">
            <v>0860261E-8D21-E411-8EFB-009C02B0CB58</v>
          </cell>
          <cell r="E711">
            <v>480</v>
          </cell>
        </row>
        <row r="712">
          <cell r="A712" t="str">
            <v>SÃO JOSÉ</v>
          </cell>
          <cell r="C712" t="str">
            <v>FLORES DO MEDITERRÂNEO</v>
          </cell>
          <cell r="D712" t="str">
            <v>8E0399F0-53B3-E611-B1E9-009C02B0CB58</v>
          </cell>
          <cell r="E712">
            <v>528</v>
          </cell>
        </row>
        <row r="713">
          <cell r="A713" t="str">
            <v>BELO HORIZONTE</v>
          </cell>
          <cell r="C713" t="str">
            <v>FLORIDA</v>
          </cell>
          <cell r="D713" t="str">
            <v>2097A607-41DC-DF11-B242-001F2909E810</v>
          </cell>
          <cell r="E713">
            <v>4</v>
          </cell>
        </row>
        <row r="714">
          <cell r="A714" t="str">
            <v>CONTAGEM</v>
          </cell>
          <cell r="C714" t="str">
            <v>FONTANA AIROLO</v>
          </cell>
          <cell r="D714" t="str">
            <v>7C4E6C7D-AFDB-DC11-ABCF-001B7845B4A6</v>
          </cell>
          <cell r="E714">
            <v>96</v>
          </cell>
        </row>
        <row r="715">
          <cell r="A715" t="str">
            <v>CONTAGEM</v>
          </cell>
          <cell r="C715" t="str">
            <v>FONTANA BIASCA</v>
          </cell>
          <cell r="D715" t="str">
            <v>87B04059-4FE9-DC11-ABD0-001B7845B4A6</v>
          </cell>
          <cell r="E715">
            <v>256</v>
          </cell>
        </row>
        <row r="716">
          <cell r="A716" t="str">
            <v>FORTALEZA</v>
          </cell>
          <cell r="C716" t="str">
            <v>FONTANA DI GENOVA</v>
          </cell>
          <cell r="D716" t="str">
            <v>4F233D2D-6F0B-E811-A541-009C02B0CB58</v>
          </cell>
          <cell r="E716">
            <v>288</v>
          </cell>
        </row>
        <row r="717">
          <cell r="A717" t="str">
            <v>BELO HORIZONTE</v>
          </cell>
          <cell r="C717" t="str">
            <v>FONTANA DI TREVI</v>
          </cell>
          <cell r="D717" t="str">
            <v>8EDC8A0C-D284-E111-A73F-001F2909E810</v>
          </cell>
          <cell r="E717">
            <v>0</v>
          </cell>
        </row>
        <row r="718">
          <cell r="A718" t="str">
            <v>CAMPINAS</v>
          </cell>
          <cell r="C718" t="str">
            <v>FONTANA GARDEN</v>
          </cell>
          <cell r="D718" t="str">
            <v>44215232-1D0F-E711-AC8B-80C16E075108</v>
          </cell>
          <cell r="E718">
            <v>424</v>
          </cell>
        </row>
        <row r="719">
          <cell r="A719" t="str">
            <v>CONTAGEM</v>
          </cell>
          <cell r="C719" t="str">
            <v>FONTANA VERONA</v>
          </cell>
          <cell r="D719" t="str">
            <v>E9B6FF57-27DB-DC11-ABCF-001B7845B4A6</v>
          </cell>
          <cell r="E719">
            <v>160</v>
          </cell>
        </row>
        <row r="720">
          <cell r="A720" t="str">
            <v>FORTALEZA</v>
          </cell>
          <cell r="C720" t="str">
            <v>FOR LIFE MARAPONGA COND. CLUBE_RESIDENCIAL ALEGRIA</v>
          </cell>
          <cell r="D720" t="str">
            <v>3B157F86-09FE-DF11-B242-001F2909E810</v>
          </cell>
          <cell r="E720">
            <v>390</v>
          </cell>
        </row>
        <row r="721">
          <cell r="A721" t="str">
            <v>FORTALEZA</v>
          </cell>
          <cell r="C721" t="str">
            <v>FOR LIFE MARAPONGA_RES. LIBERDADE</v>
          </cell>
          <cell r="D721" t="str">
            <v>92F96A9D-CAA0-E011-BDCF-001F2909E810</v>
          </cell>
          <cell r="E721">
            <v>380</v>
          </cell>
        </row>
        <row r="722">
          <cell r="A722" t="str">
            <v>FORTALEZA</v>
          </cell>
          <cell r="C722" t="str">
            <v>FOR LIFE MARAPONGA_RESID. DIVERSÃO</v>
          </cell>
          <cell r="D722" t="str">
            <v>781E52DB-83B8-E011-8272-001F2909E810</v>
          </cell>
          <cell r="E722">
            <v>530</v>
          </cell>
        </row>
        <row r="723">
          <cell r="A723" t="str">
            <v>FORTALEZA</v>
          </cell>
          <cell r="C723" t="str">
            <v>FOR LIFE MARAPONGA_RESID. FELICIDADE</v>
          </cell>
          <cell r="D723" t="str">
            <v>01946795-83B8-E011-8272-001F2909E810</v>
          </cell>
          <cell r="E723">
            <v>340</v>
          </cell>
        </row>
        <row r="724">
          <cell r="A724" t="str">
            <v>FORTALEZA</v>
          </cell>
          <cell r="C724" t="str">
            <v>FORTE BITTENCOURT</v>
          </cell>
          <cell r="D724" t="str">
            <v>7BB9D002-61F3-E611-ABB6-80C16E075108</v>
          </cell>
          <cell r="E724">
            <v>112</v>
          </cell>
        </row>
        <row r="725">
          <cell r="A725" t="str">
            <v>FORTALEZA</v>
          </cell>
          <cell r="C725" t="str">
            <v>RESIDENCIAL GUARANI</v>
          </cell>
          <cell r="D725" t="str">
            <v>0243704C-4939-EF11-9143-80C16E075108</v>
          </cell>
          <cell r="E725">
            <v>0</v>
          </cell>
        </row>
        <row r="726">
          <cell r="A726" t="str">
            <v>FORTALEZA</v>
          </cell>
          <cell r="C726" t="str">
            <v>FORTE IRACEMA</v>
          </cell>
          <cell r="D726" t="str">
            <v>F175DD61-C949-DD11-BC22-001B78B9D994</v>
          </cell>
          <cell r="E726">
            <v>880</v>
          </cell>
        </row>
        <row r="727">
          <cell r="A727" t="str">
            <v>FORTALEZA</v>
          </cell>
          <cell r="C727" t="str">
            <v>FORTUNE RESIDENCE CLUB</v>
          </cell>
          <cell r="D727" t="str">
            <v>66E28D1D-3449-DD11-BC22-001B78B9D994</v>
          </cell>
          <cell r="E727">
            <v>228</v>
          </cell>
        </row>
        <row r="728">
          <cell r="A728" t="str">
            <v>FORTALEZA</v>
          </cell>
          <cell r="C728" t="str">
            <v>FOUR SEASONS CLUB E CONDOMÍNIO</v>
          </cell>
          <cell r="D728" t="str">
            <v>5B571F66-3449-DD11-BC22-001B78B9D994</v>
          </cell>
          <cell r="E728">
            <v>160</v>
          </cell>
        </row>
        <row r="729">
          <cell r="A729" t="str">
            <v>FRANCA</v>
          </cell>
          <cell r="C729" t="str">
            <v>FRANCA GARDEN</v>
          </cell>
          <cell r="D729" t="str">
            <v>15811FF3-7661-DE11-B0E8-001F2909E83C</v>
          </cell>
          <cell r="E729">
            <v>1408</v>
          </cell>
        </row>
        <row r="730">
          <cell r="A730" t="str">
            <v>JOINVILLE</v>
          </cell>
          <cell r="C730" t="str">
            <v>FREEDOG EMP 01</v>
          </cell>
          <cell r="D730" t="str">
            <v>DBEBCBD3-7222-EF11-9E4D-009C02B0CB58</v>
          </cell>
          <cell r="E730">
            <v>0</v>
          </cell>
        </row>
        <row r="731">
          <cell r="A731" t="str">
            <v>TERESINA</v>
          </cell>
          <cell r="C731" t="str">
            <v>FREIRE EMP 01</v>
          </cell>
          <cell r="D731" t="str">
            <v>B7F480C1-3F57-F011-8E0C-80C16E075108</v>
          </cell>
          <cell r="E731">
            <v>0</v>
          </cell>
        </row>
        <row r="732">
          <cell r="A732" t="str">
            <v>BRASÍLIA</v>
          </cell>
          <cell r="C732" t="str">
            <v>TORRES DAS VEREDAS</v>
          </cell>
          <cell r="D732" t="str">
            <v>5AF9BCF2-6E1E-ED11-BA45-005056890018</v>
          </cell>
          <cell r="E732">
            <v>352</v>
          </cell>
        </row>
        <row r="733">
          <cell r="A733" t="str">
            <v>CONTAGEM</v>
          </cell>
          <cell r="C733" t="str">
            <v>GIARDINO DI NAPOLI</v>
          </cell>
          <cell r="D733" t="str">
            <v>F8F63C24-5ED9-DC11-ABCF-001B7845B4A6</v>
          </cell>
          <cell r="E733">
            <v>76</v>
          </cell>
        </row>
        <row r="734">
          <cell r="A734" t="str">
            <v>CONTAGEM</v>
          </cell>
          <cell r="C734" t="str">
            <v>GIARDINO DI PARMA</v>
          </cell>
          <cell r="D734" t="str">
            <v>8B760D9D-89D9-DC11-ABCF-001B7845B4A6</v>
          </cell>
          <cell r="E734">
            <v>94</v>
          </cell>
        </row>
        <row r="735">
          <cell r="A735" t="str">
            <v>CONTAGEM</v>
          </cell>
          <cell r="C735" t="str">
            <v>GIARDINO DI PISA</v>
          </cell>
          <cell r="D735" t="str">
            <v>2895A53B-8BD9-DC11-ABCF-001B7845B4A6</v>
          </cell>
          <cell r="E735">
            <v>80</v>
          </cell>
        </row>
        <row r="736">
          <cell r="A736" t="str">
            <v>CONTAGEM</v>
          </cell>
          <cell r="C736" t="str">
            <v>GIARDINO DI TORINO</v>
          </cell>
          <cell r="D736" t="str">
            <v>DB43A6DF-66D9-DC11-ABCF-001B7845B4A6</v>
          </cell>
          <cell r="E736">
            <v>49</v>
          </cell>
        </row>
        <row r="737">
          <cell r="A737" t="str">
            <v>BAURU</v>
          </cell>
          <cell r="C737" t="str">
            <v>GIGO EMP 01</v>
          </cell>
          <cell r="D737" t="str">
            <v>9BC4F95C-7847-EE11-9510-005056856875</v>
          </cell>
          <cell r="E737">
            <v>0</v>
          </cell>
        </row>
        <row r="738">
          <cell r="A738" t="str">
            <v>JUNDIAÍ</v>
          </cell>
          <cell r="C738" t="str">
            <v>GODEX EMP 01</v>
          </cell>
          <cell r="D738" t="str">
            <v>0C8DD1E2-D9D7-ED11-879A-80C16E075108</v>
          </cell>
          <cell r="E738">
            <v>0</v>
          </cell>
        </row>
        <row r="739">
          <cell r="A739" t="str">
            <v>GOVERNADOR VALADARES</v>
          </cell>
          <cell r="C739" t="str">
            <v>GOLDEN PLACE</v>
          </cell>
          <cell r="D739" t="str">
            <v>36556E21-7269-E611-B1E9-009C02B0CB58</v>
          </cell>
          <cell r="E739">
            <v>384</v>
          </cell>
        </row>
        <row r="740">
          <cell r="A740" t="str">
            <v>MARINGÁ</v>
          </cell>
          <cell r="C740" t="str">
            <v>GOOD LUCK EMP 01</v>
          </cell>
          <cell r="D740" t="str">
            <v>74EA125E-969E-EE11-8ACD-80C16E075108</v>
          </cell>
          <cell r="E740">
            <v>0</v>
          </cell>
        </row>
        <row r="741">
          <cell r="A741" t="str">
            <v>GOIÂNIA</v>
          </cell>
          <cell r="C741" t="str">
            <v>GRAN ATLANTA</v>
          </cell>
          <cell r="D741" t="str">
            <v>FAE85D62-992E-E811-8CE7-80C16E075108</v>
          </cell>
          <cell r="E741">
            <v>176</v>
          </cell>
        </row>
        <row r="742">
          <cell r="A742" t="str">
            <v>GOIÂNIA</v>
          </cell>
          <cell r="C742" t="str">
            <v>GRAN BRISA</v>
          </cell>
          <cell r="D742" t="str">
            <v>5A6779A8-1F7F-EE11-8E2D-009C02B0CB58</v>
          </cell>
          <cell r="E742">
            <v>0</v>
          </cell>
        </row>
        <row r="743">
          <cell r="A743" t="str">
            <v>GOIÂNIA</v>
          </cell>
          <cell r="C743" t="str">
            <v>GRAN CANÁRIA</v>
          </cell>
          <cell r="D743" t="str">
            <v>1AD0116D-9B2E-E811-8CE7-80C16E075108</v>
          </cell>
          <cell r="E743">
            <v>112</v>
          </cell>
        </row>
        <row r="744">
          <cell r="A744" t="str">
            <v>GOIÂNIA</v>
          </cell>
          <cell r="C744" t="str">
            <v>GRAN CASTEL</v>
          </cell>
          <cell r="D744" t="str">
            <v>12F63D8C-FF09-DE11-8C23-001B78B9D994</v>
          </cell>
          <cell r="E744">
            <v>290</v>
          </cell>
        </row>
        <row r="745">
          <cell r="A745" t="str">
            <v>APARECIDA DE GOIÂNIA</v>
          </cell>
          <cell r="C745" t="str">
            <v>GRAN CIELO</v>
          </cell>
          <cell r="D745" t="str">
            <v>17692843-22E2-E611-ABB6-80C16E075108</v>
          </cell>
          <cell r="E745">
            <v>196</v>
          </cell>
        </row>
        <row r="746">
          <cell r="A746" t="str">
            <v>GOIÂNIA</v>
          </cell>
          <cell r="C746" t="str">
            <v>GRAN CLASSE</v>
          </cell>
          <cell r="D746" t="str">
            <v>FA294F67-264C-DD11-BC22-001B78B9D994</v>
          </cell>
          <cell r="E746">
            <v>0</v>
          </cell>
        </row>
        <row r="747">
          <cell r="A747" t="str">
            <v>GOIÂNIA</v>
          </cell>
          <cell r="C747" t="str">
            <v>GRAN CLUB</v>
          </cell>
          <cell r="D747" t="str">
            <v>01F1065D-3906-EA11-BA0A-0050568AA20F</v>
          </cell>
          <cell r="E747">
            <v>240</v>
          </cell>
        </row>
        <row r="748">
          <cell r="A748" t="str">
            <v>APARECIDA DE GOIÂNIA</v>
          </cell>
          <cell r="C748" t="str">
            <v>GRAN ESMERALDA</v>
          </cell>
          <cell r="D748" t="str">
            <v>E67B4341-D0CA-E711-B989-80C16E075108</v>
          </cell>
          <cell r="E748">
            <v>260</v>
          </cell>
        </row>
        <row r="749">
          <cell r="A749" t="str">
            <v>RIBEIRÃO PRETO</v>
          </cell>
          <cell r="C749" t="str">
            <v>GRAN FLORENCIA</v>
          </cell>
          <cell r="D749" t="str">
            <v>BAFB581A-7CB5-E611-B1E9-009C02B0CB58</v>
          </cell>
          <cell r="E749">
            <v>208</v>
          </cell>
        </row>
        <row r="750">
          <cell r="A750" t="str">
            <v>GOIÂNIA</v>
          </cell>
          <cell r="C750" t="str">
            <v>GRAN HILL</v>
          </cell>
          <cell r="D750" t="str">
            <v>17E934EE-D0D8-EB11-930A-0050568AA20F</v>
          </cell>
          <cell r="E750">
            <v>0</v>
          </cell>
        </row>
        <row r="751">
          <cell r="A751" t="str">
            <v>GOIÂNIA</v>
          </cell>
          <cell r="C751" t="str">
            <v>GRAN JARDIM</v>
          </cell>
          <cell r="D751" t="str">
            <v>68A55660-9193-E511-B93A-80C16E075108</v>
          </cell>
          <cell r="E751">
            <v>448</v>
          </cell>
        </row>
        <row r="752">
          <cell r="A752" t="str">
            <v>GOIÂNIA</v>
          </cell>
          <cell r="C752" t="str">
            <v>GRAN LAGUNA</v>
          </cell>
          <cell r="D752" t="str">
            <v>2A043427-932B-E811-A00D-009C02B0CB58</v>
          </cell>
          <cell r="E752">
            <v>112</v>
          </cell>
        </row>
        <row r="753">
          <cell r="A753" t="str">
            <v>GOIÂNIA</v>
          </cell>
          <cell r="C753" t="str">
            <v>GRAN LÓTUS</v>
          </cell>
          <cell r="D753" t="str">
            <v>4AADAFE5-53A8-EB11-9465-0050568AA20F</v>
          </cell>
          <cell r="E753">
            <v>0</v>
          </cell>
        </row>
        <row r="754">
          <cell r="A754" t="str">
            <v>APARECIDA DE GOIÂNIA</v>
          </cell>
          <cell r="C754" t="str">
            <v>GRAN MAISON</v>
          </cell>
          <cell r="D754" t="str">
            <v>EEC73D21-CA49-DD11-BC22-001B78B9D994</v>
          </cell>
          <cell r="E754">
            <v>180</v>
          </cell>
        </row>
        <row r="755">
          <cell r="A755" t="str">
            <v>APARECIDA DE GOIÂNIA</v>
          </cell>
          <cell r="C755" t="str">
            <v>GRAN OLYMPUS</v>
          </cell>
          <cell r="D755" t="str">
            <v>7F52B6F1-264C-DD11-BC22-001B78B9D994</v>
          </cell>
          <cell r="E755">
            <v>560</v>
          </cell>
        </row>
        <row r="756">
          <cell r="A756" t="str">
            <v>GOIÂNIA</v>
          </cell>
          <cell r="C756" t="str">
            <v>GRAN PALACE</v>
          </cell>
          <cell r="D756" t="str">
            <v>001FBADC-894B-E711-8CD7-009C02B0CB58</v>
          </cell>
          <cell r="E756">
            <v>224</v>
          </cell>
        </row>
        <row r="757">
          <cell r="A757" t="str">
            <v>APARECIDA DE GOIÂNIA</v>
          </cell>
          <cell r="C757" t="str">
            <v>GRAN PARMA</v>
          </cell>
          <cell r="D757" t="str">
            <v>E073EC03-3866-E711-8E92-009C02B0CB58</v>
          </cell>
          <cell r="E757">
            <v>512</v>
          </cell>
        </row>
        <row r="758">
          <cell r="A758" t="str">
            <v>APARECIDA DE GOIÂNIA</v>
          </cell>
          <cell r="C758" t="str">
            <v>GRAN RUBI</v>
          </cell>
          <cell r="D758" t="str">
            <v>B01A2FF7-CB2E-E911-B503-009C02B0CB58</v>
          </cell>
          <cell r="E758">
            <v>208</v>
          </cell>
        </row>
        <row r="759">
          <cell r="A759" t="str">
            <v>APARECIDA DE GOIÂNIA</v>
          </cell>
          <cell r="C759" t="str">
            <v>GRAN SAFIRA</v>
          </cell>
          <cell r="D759" t="str">
            <v>25265B62-CDCA-E711-B989-80C16E075108</v>
          </cell>
          <cell r="E759">
            <v>160</v>
          </cell>
        </row>
        <row r="760">
          <cell r="A760" t="str">
            <v>RIBEIRÃO PRETO</v>
          </cell>
          <cell r="C760" t="str">
            <v>GRAN SOLARIUM</v>
          </cell>
          <cell r="D760" t="str">
            <v>CAD8AF76-0256-E911-B8F1-009C02B0CB58</v>
          </cell>
          <cell r="E760">
            <v>276</v>
          </cell>
        </row>
        <row r="761">
          <cell r="A761" t="str">
            <v>APARECIDA DE GOIÂNIA</v>
          </cell>
          <cell r="C761" t="str">
            <v>GRAN SPLENDORE</v>
          </cell>
          <cell r="D761" t="str">
            <v>BDC8EB3B-A9F3-E611-ABB6-80C16E075108</v>
          </cell>
          <cell r="E761">
            <v>196</v>
          </cell>
        </row>
        <row r="762">
          <cell r="A762" t="str">
            <v>GOIÂNIA</v>
          </cell>
          <cell r="C762" t="str">
            <v>GRAN TERRAZZO</v>
          </cell>
          <cell r="D762" t="str">
            <v>CE156B47-D7D8-EB11-930A-0050568AA20F</v>
          </cell>
          <cell r="E762">
            <v>600</v>
          </cell>
        </row>
        <row r="763">
          <cell r="A763" t="str">
            <v>APARECIDA DE GOIÂNIA</v>
          </cell>
          <cell r="C763" t="str">
            <v>GRAN TORINO</v>
          </cell>
          <cell r="D763" t="str">
            <v>3EA667ED-E00B-E611-A5BB-009C02B0CB58</v>
          </cell>
          <cell r="E763">
            <v>212</v>
          </cell>
        </row>
        <row r="764">
          <cell r="A764" t="str">
            <v>GOIÂNIA</v>
          </cell>
          <cell r="C764" t="str">
            <v>GRAN VALENCE</v>
          </cell>
          <cell r="D764" t="str">
            <v>C4196DDF-FD9E-E811-B96E-009C02B0CB58</v>
          </cell>
          <cell r="E764">
            <v>192</v>
          </cell>
        </row>
        <row r="765">
          <cell r="A765" t="str">
            <v>GOIÂNIA</v>
          </cell>
          <cell r="C765" t="str">
            <v>GRAN VALLEY</v>
          </cell>
          <cell r="D765" t="str">
            <v>A74FF1BC-3B06-EA11-BA0A-0050568AA20F</v>
          </cell>
          <cell r="E765">
            <v>432</v>
          </cell>
        </row>
        <row r="766">
          <cell r="A766" t="str">
            <v>APARECIDA DE GOIÂNIA</v>
          </cell>
          <cell r="C766" t="str">
            <v>GRAN VENEZIA</v>
          </cell>
          <cell r="D766" t="str">
            <v>82FE73FF-3966-E711-8E92-009C02B0CB58</v>
          </cell>
          <cell r="E766">
            <v>208</v>
          </cell>
        </row>
        <row r="767">
          <cell r="A767" t="str">
            <v>GOIÂNIA</v>
          </cell>
          <cell r="C767" t="str">
            <v>GRAN VILLE</v>
          </cell>
          <cell r="D767" t="str">
            <v>0536875D-A0B5-DD11-A0C7-001B78B9D994</v>
          </cell>
          <cell r="E767">
            <v>144</v>
          </cell>
        </row>
        <row r="768">
          <cell r="A768" t="str">
            <v>GUARULHOS</v>
          </cell>
          <cell r="C768" t="str">
            <v>GRAND GARDEN</v>
          </cell>
          <cell r="D768" t="str">
            <v>23287909-84C5-EC11-B1AD-005056856875</v>
          </cell>
          <cell r="E768">
            <v>0</v>
          </cell>
        </row>
        <row r="769">
          <cell r="A769" t="str">
            <v>GUARULHOS</v>
          </cell>
          <cell r="C769" t="str">
            <v>GRAND ITAIM</v>
          </cell>
          <cell r="D769" t="str">
            <v>8C6763A7-1562-EE11-8ACD-80C16E075108</v>
          </cell>
          <cell r="E769">
            <v>0</v>
          </cell>
        </row>
        <row r="770">
          <cell r="A770" t="str">
            <v>GUARULHOS</v>
          </cell>
          <cell r="C770" t="str">
            <v>GRAND PARK</v>
          </cell>
          <cell r="D770" t="str">
            <v>3186D951-5C8D-EE11-8E2D-009C02B0CB58</v>
          </cell>
          <cell r="E770">
            <v>0</v>
          </cell>
        </row>
        <row r="771">
          <cell r="A771" t="str">
            <v>GUARULHOS</v>
          </cell>
          <cell r="C771" t="str">
            <v>GRAND TEODORO</v>
          </cell>
          <cell r="D771" t="str">
            <v>AC55FC36-6365-EF11-B65C-009C02B0CB58</v>
          </cell>
          <cell r="E771">
            <v>0</v>
          </cell>
        </row>
        <row r="772">
          <cell r="A772" t="str">
            <v>BRASÍLIA</v>
          </cell>
          <cell r="C772" t="str">
            <v>GREEN TOWERS CONDOMÍNIO</v>
          </cell>
          <cell r="D772" t="str">
            <v>392CFA74-3549-DD11-BC22-001B78B9D994</v>
          </cell>
          <cell r="E772">
            <v>204</v>
          </cell>
        </row>
        <row r="773">
          <cell r="A773" t="str">
            <v>SÃO LUÍS</v>
          </cell>
          <cell r="C773" t="str">
            <v>GUIMARÃES EMP 1</v>
          </cell>
          <cell r="D773" t="str">
            <v>B890B700-8F14-F011-AAAE-005056856875</v>
          </cell>
          <cell r="E773">
            <v>0</v>
          </cell>
        </row>
        <row r="774">
          <cell r="A774" t="str">
            <v>CANOAS</v>
          </cell>
          <cell r="C774" t="str">
            <v>GUINDANI EMP 02</v>
          </cell>
          <cell r="D774" t="str">
            <v>3634E383-F8A0-EE11-A95E-005056856875</v>
          </cell>
          <cell r="E774">
            <v>0</v>
          </cell>
        </row>
        <row r="775">
          <cell r="A775" t="str">
            <v>CANOAS</v>
          </cell>
          <cell r="C775" t="str">
            <v>GUINDANI EMP 03</v>
          </cell>
          <cell r="D775" t="str">
            <v>BD5DBBF1-F8A0-EE11-A95E-005056856875</v>
          </cell>
          <cell r="E775">
            <v>0</v>
          </cell>
        </row>
        <row r="776">
          <cell r="A776" t="str">
            <v>HORTOLÂNDIA</v>
          </cell>
          <cell r="C776" t="str">
            <v>HARMONIA</v>
          </cell>
          <cell r="D776" t="str">
            <v>A4B55DFE-EFC5-DD11-8457-001B78B9D994</v>
          </cell>
          <cell r="E776">
            <v>96</v>
          </cell>
        </row>
        <row r="777">
          <cell r="A777" t="str">
            <v>CAMPO GRANDE</v>
          </cell>
          <cell r="C777" t="str">
            <v>HELISI</v>
          </cell>
          <cell r="D777" t="str">
            <v>B4670128-FBC1-EE11-8386-009C02B0CB58</v>
          </cell>
          <cell r="E777">
            <v>0</v>
          </cell>
        </row>
        <row r="778">
          <cell r="A778" t="str">
            <v>RIO DE JANEIRO</v>
          </cell>
          <cell r="C778" t="str">
            <v>HELSINK COMERCIAL</v>
          </cell>
          <cell r="D778" t="str">
            <v>79A851B7-10E6-EA11-BEEB-005056856875</v>
          </cell>
          <cell r="E778">
            <v>0</v>
          </cell>
        </row>
        <row r="779">
          <cell r="A779" t="str">
            <v>SÃO JOSÉ</v>
          </cell>
          <cell r="C779" t="str">
            <v>HISTÓRIA DE AMOR EMP 01</v>
          </cell>
          <cell r="D779" t="str">
            <v>1EF4D22E-E2B7-EF11-B65C-009C02B0CB58</v>
          </cell>
          <cell r="E779">
            <v>0</v>
          </cell>
        </row>
        <row r="780">
          <cell r="A780" t="str">
            <v>BELO HORIZONTE</v>
          </cell>
          <cell r="C780" t="str">
            <v>HONDURAS</v>
          </cell>
          <cell r="D780" t="str">
            <v>8FE42F5F-E5F2-DD11-9EFB-001B78B9D994</v>
          </cell>
          <cell r="E780">
            <v>0</v>
          </cell>
        </row>
        <row r="781">
          <cell r="A781" t="str">
            <v>RECIFE</v>
          </cell>
          <cell r="C781" t="str">
            <v>HORIZONTE RECIFE</v>
          </cell>
          <cell r="D781" t="str">
            <v>147BA1E1-8BC3-EF11-AAAE-005056856875</v>
          </cell>
          <cell r="E781">
            <v>0</v>
          </cell>
        </row>
        <row r="782">
          <cell r="A782" t="str">
            <v>BELO HORIZONTE</v>
          </cell>
          <cell r="C782" t="str">
            <v>HORTÊNSIAS</v>
          </cell>
          <cell r="D782" t="str">
            <v>BE1BFBF5-35CD-DD11-B2A6-001B78B9D994</v>
          </cell>
          <cell r="E782">
            <v>0</v>
          </cell>
        </row>
        <row r="783">
          <cell r="A783" t="str">
            <v>BAURU</v>
          </cell>
          <cell r="C783" t="str">
            <v>ÍCARO</v>
          </cell>
          <cell r="D783" t="str">
            <v>401C6052-3E8A-DD11-8A4F-001B78B9D994</v>
          </cell>
          <cell r="E783">
            <v>110</v>
          </cell>
        </row>
        <row r="784">
          <cell r="A784" t="str">
            <v>SÃO LUÍS</v>
          </cell>
          <cell r="C784" t="str">
            <v>ILHA DAS MARÉS</v>
          </cell>
          <cell r="D784" t="str">
            <v>D99CE272-925F-ED11-9E0C-005056856875</v>
          </cell>
          <cell r="E784">
            <v>0</v>
          </cell>
        </row>
        <row r="785">
          <cell r="A785" t="str">
            <v>BELO HORIZONTE</v>
          </cell>
          <cell r="C785" t="str">
            <v>ILHA VITÓRIA</v>
          </cell>
          <cell r="D785" t="str">
            <v>B85B4F26-B189-DD11-8A4F-001B78B9D994</v>
          </cell>
          <cell r="E785">
            <v>0</v>
          </cell>
        </row>
        <row r="786">
          <cell r="A786" t="str">
            <v>CAMPINAS</v>
          </cell>
          <cell r="C786" t="str">
            <v>ILHABELLA GARDEN</v>
          </cell>
          <cell r="D786" t="str">
            <v>13197F58-200F-E711-AC8B-80C16E075108</v>
          </cell>
          <cell r="E786">
            <v>320</v>
          </cell>
        </row>
        <row r="787">
          <cell r="A787" t="str">
            <v>CAMPINAS</v>
          </cell>
          <cell r="C787" t="str">
            <v>INFRACAMP EMP 01</v>
          </cell>
          <cell r="D787" t="str">
            <v>A12D689F-5F6E-EC11-A871-005056895191</v>
          </cell>
          <cell r="E787">
            <v>0</v>
          </cell>
        </row>
        <row r="788">
          <cell r="A788" t="str">
            <v>CAMPINAS</v>
          </cell>
          <cell r="C788" t="str">
            <v>INFRACAMP EMP 02</v>
          </cell>
          <cell r="D788" t="str">
            <v>A679286A-606E-EC11-A871-005056895191</v>
          </cell>
          <cell r="E788">
            <v>0</v>
          </cell>
        </row>
        <row r="789">
          <cell r="A789" t="str">
            <v>BELO HORIZONTE</v>
          </cell>
          <cell r="C789" t="str">
            <v>INGLATERRA</v>
          </cell>
          <cell r="D789" t="str">
            <v>85B32529-20A2-DE11-8D16-001F2909E810</v>
          </cell>
          <cell r="E789">
            <v>0</v>
          </cell>
        </row>
        <row r="790">
          <cell r="A790" t="str">
            <v>FORTALEZA</v>
          </cell>
          <cell r="C790" t="str">
            <v>INSPIRATTO RESIDENCE CLUB</v>
          </cell>
          <cell r="D790" t="str">
            <v>ADE8F68A-A50C-DE11-8C23-001B78B9D994</v>
          </cell>
          <cell r="E790">
            <v>248</v>
          </cell>
        </row>
        <row r="791">
          <cell r="A791" t="str">
            <v>UBERLÂNDIA</v>
          </cell>
          <cell r="C791" t="str">
            <v>ITALIA</v>
          </cell>
          <cell r="D791" t="str">
            <v>5DCA7370-48DC-DF11-B242-001F2909E810</v>
          </cell>
          <cell r="E791">
            <v>4</v>
          </cell>
        </row>
        <row r="792">
          <cell r="A792" t="str">
            <v>BELO HORIZONTE</v>
          </cell>
          <cell r="C792" t="str">
            <v>ITAPARICA</v>
          </cell>
          <cell r="D792" t="str">
            <v>DAB3F10C-ED3F-DE11-B0E7-001F2909E83C</v>
          </cell>
          <cell r="E792">
            <v>0</v>
          </cell>
        </row>
        <row r="793">
          <cell r="A793" t="str">
            <v>JUNDIAÍ</v>
          </cell>
          <cell r="C793" t="str">
            <v>JABUTICABEIRAS</v>
          </cell>
          <cell r="D793" t="str">
            <v>AFB459D1-CCC9-DC11-8D7D-001B7845B4A6</v>
          </cell>
          <cell r="E793">
            <v>432</v>
          </cell>
        </row>
        <row r="794">
          <cell r="A794" t="str">
            <v>VOLTA REDONDA</v>
          </cell>
          <cell r="C794" t="str">
            <v>JACARANDA PITANGA</v>
          </cell>
          <cell r="D794" t="str">
            <v>C386BC54-335D-E811-8D3F-80C16E075108</v>
          </cell>
          <cell r="E794">
            <v>260</v>
          </cell>
        </row>
        <row r="795">
          <cell r="A795" t="str">
            <v>VOLTA REDONDA</v>
          </cell>
          <cell r="C795" t="str">
            <v>JACARANDA VIOLETA</v>
          </cell>
          <cell r="D795" t="str">
            <v>10F2D75E-345D-E811-8D3F-80C16E075108</v>
          </cell>
          <cell r="E795">
            <v>356</v>
          </cell>
        </row>
        <row r="796">
          <cell r="A796" t="str">
            <v>BLUMENAU</v>
          </cell>
          <cell r="C796" t="str">
            <v>JANZ EMP 01</v>
          </cell>
          <cell r="D796" t="str">
            <v>B264A7D7-4C39-EF11-9143-80C16E075108</v>
          </cell>
          <cell r="E796">
            <v>0</v>
          </cell>
        </row>
        <row r="797">
          <cell r="A797" t="str">
            <v>JUIZ DE FORA</v>
          </cell>
          <cell r="C797" t="str">
            <v>JARDIM DAS MANTIQUEIRAS</v>
          </cell>
          <cell r="D797" t="str">
            <v>F0242112-EB63-E611-B1E9-009C02B0CB58</v>
          </cell>
          <cell r="E797">
            <v>460</v>
          </cell>
        </row>
        <row r="798">
          <cell r="A798" t="str">
            <v>CUIABÁ</v>
          </cell>
          <cell r="C798" t="str">
            <v>JARDIM DAS TORRES</v>
          </cell>
          <cell r="D798" t="str">
            <v>0D51F21A-1CB3-EB11-9465-0050568AA20F</v>
          </cell>
          <cell r="E798">
            <v>0</v>
          </cell>
        </row>
        <row r="799">
          <cell r="A799" t="str">
            <v>JOINVILLE</v>
          </cell>
          <cell r="C799" t="str">
            <v>JARDIM DE HAMBURGO</v>
          </cell>
          <cell r="D799" t="str">
            <v>65BA63A7-0707-DD11-8284-001B7845B4A6</v>
          </cell>
          <cell r="E799">
            <v>190</v>
          </cell>
        </row>
        <row r="800">
          <cell r="A800" t="str">
            <v>JUIZ DE FORA</v>
          </cell>
          <cell r="C800" t="str">
            <v>JARDIM DE MINAS</v>
          </cell>
          <cell r="D800" t="str">
            <v>08E536DB-AF69-E011-BDCF-001F2909E810</v>
          </cell>
          <cell r="E800">
            <v>600</v>
          </cell>
        </row>
        <row r="801">
          <cell r="A801" t="str">
            <v>JOINVILLE</v>
          </cell>
          <cell r="C801" t="str">
            <v>JARDIM FERRARA</v>
          </cell>
          <cell r="D801" t="str">
            <v>5FB61A01-C4EA-DC11-A2F9-001B7845B4A6</v>
          </cell>
          <cell r="E801">
            <v>35</v>
          </cell>
        </row>
        <row r="802">
          <cell r="A802" t="str">
            <v>MARÍLIA</v>
          </cell>
          <cell r="C802" t="str">
            <v>JEGUE EMP 01</v>
          </cell>
          <cell r="D802" t="str">
            <v>CAEE1726-E318-ED11-B1AD-005056856875</v>
          </cell>
          <cell r="E802">
            <v>448</v>
          </cell>
        </row>
        <row r="803">
          <cell r="A803" t="str">
            <v>UBERLÂNDIA</v>
          </cell>
          <cell r="C803" t="str">
            <v>JOÃO ROSA EMP 01</v>
          </cell>
          <cell r="D803" t="str">
            <v>1BD74073-FE53-EE11-AE6A-009C02B0CB58</v>
          </cell>
          <cell r="E803">
            <v>0</v>
          </cell>
        </row>
        <row r="804">
          <cell r="A804" t="str">
            <v>BELO HORIZONTE</v>
          </cell>
          <cell r="C804" t="str">
            <v>JORDÂNIA</v>
          </cell>
          <cell r="D804" t="str">
            <v>07F15A4A-9839-DE11-B0E7-001F2909E83C</v>
          </cell>
          <cell r="E804">
            <v>1</v>
          </cell>
        </row>
        <row r="805">
          <cell r="A805" t="str">
            <v>JOINVILLE</v>
          </cell>
          <cell r="C805" t="str">
            <v>JOSÉ DE ALENCAR</v>
          </cell>
          <cell r="D805" t="str">
            <v>D6BBEEDD-CAEA-DC11-A2F9-001B7845B4A6</v>
          </cell>
          <cell r="E805">
            <v>41</v>
          </cell>
        </row>
        <row r="806">
          <cell r="A806" t="str">
            <v>SÃO JOSÉ DO RIO PRETO</v>
          </cell>
          <cell r="C806" t="str">
            <v>JULIANA</v>
          </cell>
          <cell r="D806" t="str">
            <v>7B64ADB8-EFDA-DF11-B242-001F2909E810</v>
          </cell>
          <cell r="E806">
            <v>0</v>
          </cell>
        </row>
        <row r="807">
          <cell r="A807" t="str">
            <v>JUNDIAÍ</v>
          </cell>
          <cell r="C807" t="str">
            <v>JULLIARD</v>
          </cell>
          <cell r="D807" t="str">
            <v>73A0EE87-CB54-DD11-BC22-001B78B9D994</v>
          </cell>
          <cell r="E807">
            <v>80</v>
          </cell>
        </row>
        <row r="808">
          <cell r="A808" t="str">
            <v>SÃO LEOPOLDO</v>
          </cell>
          <cell r="C808" t="str">
            <v>KENNEDY EMP 01</v>
          </cell>
          <cell r="D808" t="str">
            <v>58CEB87B-F481-EF11-B65C-009C02B0CB58</v>
          </cell>
          <cell r="E808">
            <v>0</v>
          </cell>
        </row>
        <row r="809">
          <cell r="A809" t="str">
            <v>LONDRINA</v>
          </cell>
          <cell r="C809" t="str">
            <v>LA MOUNTAIN</v>
          </cell>
          <cell r="D809" t="str">
            <v>A85AB9AB-6BC7-EE11-A95E-005056856875</v>
          </cell>
          <cell r="E809">
            <v>0</v>
          </cell>
        </row>
        <row r="810">
          <cell r="A810" t="str">
            <v>GOIÂNIA</v>
          </cell>
          <cell r="C810" t="str">
            <v>LA RESERVE</v>
          </cell>
          <cell r="D810" t="str">
            <v>3A821B2D-40EB-EC11-BA45-005056890018</v>
          </cell>
          <cell r="E810">
            <v>0</v>
          </cell>
        </row>
        <row r="811">
          <cell r="A811" t="str">
            <v>MANAUS</v>
          </cell>
          <cell r="C811" t="str">
            <v>LA VICTOIRE RESIDENCE</v>
          </cell>
          <cell r="D811" t="str">
            <v>CC08F0E0-C95D-EC11-B2FE-005056895191</v>
          </cell>
          <cell r="E811">
            <v>0</v>
          </cell>
        </row>
        <row r="812">
          <cell r="A812" t="str">
            <v>LONDRINA</v>
          </cell>
          <cell r="C812" t="str">
            <v>LA VILLE</v>
          </cell>
          <cell r="D812" t="str">
            <v>8F5D5104-769D-DE11-8D16-001F2909E810</v>
          </cell>
          <cell r="E812">
            <v>160</v>
          </cell>
        </row>
        <row r="813">
          <cell r="A813" t="str">
            <v>LONDRINA</v>
          </cell>
          <cell r="C813" t="str">
            <v>LA VITTA</v>
          </cell>
          <cell r="D813" t="str">
            <v>DBD96863-5824-E711-B3B8-009C02B0CB58</v>
          </cell>
          <cell r="E813">
            <v>320</v>
          </cell>
        </row>
        <row r="814">
          <cell r="A814" t="str">
            <v>LIMEIRA</v>
          </cell>
          <cell r="C814" t="str">
            <v>LACOSTE</v>
          </cell>
          <cell r="D814" t="str">
            <v>CA7C2B03-B6CA-EB11-BA93-005056856875</v>
          </cell>
          <cell r="E814">
            <v>272</v>
          </cell>
        </row>
        <row r="815">
          <cell r="A815" t="str">
            <v>LONDRINA</v>
          </cell>
          <cell r="C815" t="str">
            <v>LAGOA DA PRATA</v>
          </cell>
          <cell r="D815" t="str">
            <v>ADD06E40-EAB6-E611-B1E9-009C02B0CB58</v>
          </cell>
          <cell r="E815">
            <v>144</v>
          </cell>
        </row>
        <row r="816">
          <cell r="A816" t="str">
            <v>MACEIÓ</v>
          </cell>
          <cell r="C816" t="str">
            <v>LAGOA MANGUABA CONDOMÍNIO CLUBE</v>
          </cell>
          <cell r="D816" t="str">
            <v>9F521CFA-0788-E311-B03C-80C16E075108</v>
          </cell>
          <cell r="E816">
            <v>140</v>
          </cell>
        </row>
        <row r="817">
          <cell r="A817" t="str">
            <v>FORTALEZA</v>
          </cell>
          <cell r="C817" t="str">
            <v>LAGUNE MARAPONGA CONDOMÍNIO CLUBE</v>
          </cell>
          <cell r="D817" t="str">
            <v>A3318E42-3449-DD11-BC22-001B78B9D994</v>
          </cell>
          <cell r="E817">
            <v>480</v>
          </cell>
        </row>
        <row r="818">
          <cell r="A818" t="str">
            <v>CARIACICA</v>
          </cell>
          <cell r="C818" t="str">
            <v>RESIDENCIAL VILA ÁGATA</v>
          </cell>
          <cell r="D818" t="str">
            <v>FEA5244F-CEBB-EF11-B65C-009C02B0CB58</v>
          </cell>
          <cell r="E818">
            <v>0</v>
          </cell>
        </row>
        <row r="819">
          <cell r="A819" t="str">
            <v>CARIACICA</v>
          </cell>
          <cell r="C819" t="str">
            <v>LAZURITE EMP 02</v>
          </cell>
          <cell r="D819" t="str">
            <v>7D18AC32-F5BE-EF11-AB5A-80C16E075108</v>
          </cell>
          <cell r="E819">
            <v>0</v>
          </cell>
        </row>
        <row r="820">
          <cell r="A820" t="str">
            <v>UBERLÂNDIA</v>
          </cell>
          <cell r="C820" t="str">
            <v>LE PREMIER</v>
          </cell>
          <cell r="D820" t="str">
            <v>C2FF0FE1-157E-DE11-95FB-001F2909E83C</v>
          </cell>
          <cell r="E820">
            <v>0</v>
          </cell>
        </row>
        <row r="821">
          <cell r="A821" t="str">
            <v>RIBEIRÃO PRETO</v>
          </cell>
          <cell r="C821" t="str">
            <v>LEONARDO DA VINCI</v>
          </cell>
          <cell r="D821" t="str">
            <v>F2EE3772-8D8C-E511-B93A-80C16E075108</v>
          </cell>
          <cell r="E821">
            <v>0</v>
          </cell>
        </row>
        <row r="822">
          <cell r="A822" t="str">
            <v>RIBEIRÃO PRETO</v>
          </cell>
          <cell r="C822" t="str">
            <v>LETICIA</v>
          </cell>
          <cell r="D822" t="str">
            <v>FA6ECE56-41DC-DF11-B242-001F2909E810</v>
          </cell>
          <cell r="E822">
            <v>223</v>
          </cell>
        </row>
        <row r="823">
          <cell r="A823" t="str">
            <v>BELO HORIZONTE</v>
          </cell>
          <cell r="C823" t="str">
            <v>LIBANO</v>
          </cell>
          <cell r="D823" t="str">
            <v>EEDC6D90-41DC-DF11-B242-001F2909E810</v>
          </cell>
          <cell r="E823">
            <v>0</v>
          </cell>
        </row>
        <row r="824">
          <cell r="A824" t="str">
            <v>BELO HORIZONTE</v>
          </cell>
          <cell r="C824" t="str">
            <v>LÍBANO</v>
          </cell>
          <cell r="D824" t="str">
            <v>2B4515AE-3808-DE11-8C23-001B78B9D994</v>
          </cell>
          <cell r="E824">
            <v>6</v>
          </cell>
        </row>
        <row r="825">
          <cell r="A825" t="str">
            <v>SÃO PAULO</v>
          </cell>
          <cell r="C825" t="str">
            <v>LIBERTADORES EMP 01</v>
          </cell>
          <cell r="D825" t="str">
            <v>77B4A9A0-9152-F011-8E0C-80C16E075108</v>
          </cell>
          <cell r="E825">
            <v>0</v>
          </cell>
        </row>
        <row r="826">
          <cell r="A826" t="str">
            <v>BELO HORIZONTE</v>
          </cell>
          <cell r="C826" t="str">
            <v>LIEGE</v>
          </cell>
          <cell r="D826" t="str">
            <v>D120EAD0-E93F-DE11-B0E7-001F2909E83C</v>
          </cell>
          <cell r="E826">
            <v>0</v>
          </cell>
        </row>
        <row r="827">
          <cell r="A827" t="str">
            <v>LIMEIRA</v>
          </cell>
          <cell r="C827" t="str">
            <v>LIFE SIERRA</v>
          </cell>
          <cell r="D827" t="str">
            <v>502F6D19-2C3A-EF11-9E4D-009C02B0CB58</v>
          </cell>
          <cell r="E827">
            <v>0</v>
          </cell>
        </row>
        <row r="828">
          <cell r="A828" t="str">
            <v>LIMEIRA</v>
          </cell>
          <cell r="C828" t="str">
            <v>LIFE TERRAZZA</v>
          </cell>
          <cell r="D828" t="str">
            <v>AFDD63D4-DD44-ED11-985B-009C02B0CB58</v>
          </cell>
          <cell r="E828">
            <v>384</v>
          </cell>
        </row>
        <row r="829">
          <cell r="A829" t="str">
            <v>CURITIBA</v>
          </cell>
          <cell r="C829" t="str">
            <v>LUGGO ALTO DA GLÓRIA</v>
          </cell>
          <cell r="D829" t="str">
            <v>011F9E35-ECB7-EB11-9465-0050568AA20F</v>
          </cell>
          <cell r="E829">
            <v>0</v>
          </cell>
        </row>
        <row r="830">
          <cell r="A830" t="str">
            <v>RIO DE JANEIRO</v>
          </cell>
          <cell r="C830" t="str">
            <v>LUGGO BENEDITINOS</v>
          </cell>
          <cell r="D830" t="str">
            <v>17708CFE-2142-EC11-B2FE-005056895191</v>
          </cell>
          <cell r="E830">
            <v>119</v>
          </cell>
        </row>
        <row r="831">
          <cell r="A831" t="str">
            <v>CAMPINAS</v>
          </cell>
          <cell r="C831" t="str">
            <v>RESIDENCIAL BONFIM</v>
          </cell>
          <cell r="D831" t="str">
            <v>048C3F9D-E8F9-EB11-A30E-0050568A2E98</v>
          </cell>
          <cell r="E831">
            <v>192</v>
          </cell>
        </row>
        <row r="832">
          <cell r="A832" t="str">
            <v>CAMPINAS</v>
          </cell>
          <cell r="C832" t="str">
            <v>LUGGO CENARIUM</v>
          </cell>
          <cell r="D832" t="str">
            <v>C3427C90-F966-E711-8E92-009C02B0CB58</v>
          </cell>
          <cell r="E832">
            <v>120</v>
          </cell>
        </row>
        <row r="833">
          <cell r="A833" t="str">
            <v>BELO HORIZONTE</v>
          </cell>
          <cell r="C833" t="str">
            <v>LUGGO CIPRESTE</v>
          </cell>
          <cell r="D833" t="str">
            <v>D1165FC0-5A5F-E411-B5D2-009C02B0CB58</v>
          </cell>
          <cell r="E833">
            <v>116</v>
          </cell>
        </row>
        <row r="834">
          <cell r="A834" t="str">
            <v>SALVADOR</v>
          </cell>
          <cell r="C834" t="str">
            <v>LUGGO COSTA AZUL</v>
          </cell>
          <cell r="D834" t="str">
            <v>167D4A24-4EE0-EC11-BA45-005056890018</v>
          </cell>
          <cell r="E834">
            <v>0</v>
          </cell>
        </row>
        <row r="835">
          <cell r="A835" t="str">
            <v>CURITIBA</v>
          </cell>
          <cell r="C835" t="str">
            <v>LUGGO ECOVILLE</v>
          </cell>
          <cell r="D835" t="str">
            <v>AC8A0C61-DFAF-E611-ABB6-80C16E075108</v>
          </cell>
          <cell r="E835">
            <v>88</v>
          </cell>
        </row>
        <row r="836">
          <cell r="A836" t="str">
            <v>CAMPINAS</v>
          </cell>
          <cell r="C836" t="str">
            <v>LUGGO GALLERIA</v>
          </cell>
          <cell r="D836" t="str">
            <v>904BC819-9597-EB11-8159-005056856875</v>
          </cell>
          <cell r="E836">
            <v>216</v>
          </cell>
        </row>
        <row r="837">
          <cell r="A837" t="str">
            <v>SÃO PAULO</v>
          </cell>
          <cell r="C837" t="str">
            <v>LUGGO INDEPENDÊNCIA</v>
          </cell>
          <cell r="D837" t="str">
            <v>F674D687-81F4-EB11-A30E-0050568A2E98</v>
          </cell>
          <cell r="E837">
            <v>0</v>
          </cell>
        </row>
        <row r="838">
          <cell r="A838" t="str">
            <v>PORTO ALEGRE</v>
          </cell>
          <cell r="C838" t="str">
            <v>LUGGO IPIRANGA</v>
          </cell>
          <cell r="D838" t="str">
            <v>127763CB-C736-E911-810A-80C16E075108</v>
          </cell>
          <cell r="E838">
            <v>232</v>
          </cell>
        </row>
        <row r="839">
          <cell r="A839" t="str">
            <v>CAMPINAS</v>
          </cell>
          <cell r="C839" t="str">
            <v>LUGGO JEQUITIBÁS</v>
          </cell>
          <cell r="D839" t="str">
            <v>FC621DFC-9227-EC11-B501-005056856B6C</v>
          </cell>
          <cell r="E839">
            <v>0</v>
          </cell>
        </row>
        <row r="840">
          <cell r="A840" t="str">
            <v>BELO HORIZONTE</v>
          </cell>
          <cell r="C840" t="str">
            <v>LUGGO LEONE</v>
          </cell>
          <cell r="D840" t="str">
            <v>4C7E8D67-4907-EC11-A30E-0050568A2E98</v>
          </cell>
          <cell r="E840">
            <v>0</v>
          </cell>
        </row>
        <row r="841">
          <cell r="A841" t="str">
            <v>CURITIBA</v>
          </cell>
          <cell r="C841" t="str">
            <v>LUGGO LINDOIA</v>
          </cell>
          <cell r="D841" t="str">
            <v>400AF9E3-DEAF-E611-ABB6-80C16E075108</v>
          </cell>
          <cell r="E841">
            <v>128</v>
          </cell>
        </row>
        <row r="842">
          <cell r="A842" t="str">
            <v>CAMPINAS</v>
          </cell>
          <cell r="C842" t="str">
            <v>LUGGO LUCARELLI</v>
          </cell>
          <cell r="D842" t="str">
            <v>0F159D12-7ECD-ED11-9510-005056856875</v>
          </cell>
          <cell r="E842">
            <v>115</v>
          </cell>
        </row>
        <row r="843">
          <cell r="A843" t="str">
            <v>PORTO ALEGRE</v>
          </cell>
          <cell r="C843" t="str">
            <v>LUGGO PORTO BALTAZAR</v>
          </cell>
          <cell r="D843" t="str">
            <v>17CB4290-298D-E411-B5D2-009C02B0CB58</v>
          </cell>
          <cell r="E843">
            <v>672</v>
          </cell>
        </row>
        <row r="844">
          <cell r="A844" t="str">
            <v>PORTO ALEGRE</v>
          </cell>
          <cell r="C844" t="str">
            <v>LUGGO PORTO CARVALHO</v>
          </cell>
          <cell r="D844" t="str">
            <v>4747DE37-E8D9-EB11-A0E6-005056856875</v>
          </cell>
          <cell r="E844">
            <v>0</v>
          </cell>
        </row>
        <row r="845">
          <cell r="A845" t="str">
            <v>CURITIBA</v>
          </cell>
          <cell r="C845" t="str">
            <v>LUGGO REBOUÇAS</v>
          </cell>
          <cell r="D845" t="str">
            <v>C1B15079-DABB-EA11-BEEB-005056856875</v>
          </cell>
          <cell r="E845">
            <v>144</v>
          </cell>
        </row>
        <row r="846">
          <cell r="A846" t="str">
            <v>BELO HORIZONTE</v>
          </cell>
          <cell r="C846" t="str">
            <v>LUGGO_ MY MALL FLEMING.</v>
          </cell>
          <cell r="D846" t="str">
            <v>86AD4E35-827E-EA11-B686-005056856875</v>
          </cell>
          <cell r="E846">
            <v>118</v>
          </cell>
        </row>
        <row r="847">
          <cell r="A847" t="str">
            <v>BRASÍLIA</v>
          </cell>
          <cell r="C847" t="str">
            <v>LUGGO_BELO MIRANTE</v>
          </cell>
          <cell r="D847" t="str">
            <v>0ECF4E7C-3718-E911-B503-009C02B0CB58</v>
          </cell>
          <cell r="E847">
            <v>200</v>
          </cell>
        </row>
        <row r="848">
          <cell r="A848" t="str">
            <v>SÃO PAULO</v>
          </cell>
          <cell r="C848" t="str">
            <v>LUGGO_CAMINHOS DO MAR</v>
          </cell>
          <cell r="D848" t="str">
            <v>D05B0B53-EDDF-E511-B93A-80C16E075108</v>
          </cell>
          <cell r="E848">
            <v>288</v>
          </cell>
        </row>
        <row r="849">
          <cell r="A849" t="str">
            <v>CAMPINAS</v>
          </cell>
          <cell r="C849" t="str">
            <v>LUGGO_FLORENÇA GARDEN</v>
          </cell>
          <cell r="D849" t="str">
            <v>A40C2F96-1F0F-E711-AC8B-80C16E075108</v>
          </cell>
          <cell r="E849">
            <v>384</v>
          </cell>
        </row>
        <row r="850">
          <cell r="A850" t="str">
            <v>CONTAGEM</v>
          </cell>
          <cell r="C850" t="str">
            <v>LUGGO_PARQUE NIEVOLE</v>
          </cell>
          <cell r="D850" t="str">
            <v>DAA31A94-AFE4-DE11-89FA-001F2909E810</v>
          </cell>
          <cell r="E850">
            <v>144</v>
          </cell>
        </row>
        <row r="851">
          <cell r="A851" t="str">
            <v>PORTO ALEGRE</v>
          </cell>
          <cell r="C851" t="str">
            <v>LUGGO_PORTO ARUBA</v>
          </cell>
          <cell r="D851" t="str">
            <v>4F192E98-BCD0-E811-944D-009C02B0CB58</v>
          </cell>
          <cell r="E851">
            <v>88</v>
          </cell>
        </row>
        <row r="852">
          <cell r="A852" t="str">
            <v>CAMPINAS</v>
          </cell>
          <cell r="C852" t="str">
            <v>LUGGO_RESIDENCIAL CONCEPT</v>
          </cell>
          <cell r="D852" t="str">
            <v>761D91AD-7CC2-E911-8E73-0050568AA20F</v>
          </cell>
          <cell r="E852">
            <v>184</v>
          </cell>
        </row>
        <row r="853">
          <cell r="A853" t="str">
            <v>BELO HORIZONTE</v>
          </cell>
          <cell r="C853" t="str">
            <v>LUGGO_RESIDENCIAL LEEDS</v>
          </cell>
          <cell r="D853" t="str">
            <v>11D5AD80-A554-E411-8EFB-009C02B0CB58</v>
          </cell>
          <cell r="E853">
            <v>276</v>
          </cell>
        </row>
        <row r="854">
          <cell r="A854" t="str">
            <v>LAURO DE FREITAS</v>
          </cell>
          <cell r="C854" t="str">
            <v>LUGGO_SOLAR DOS CAMPOS</v>
          </cell>
          <cell r="D854" t="str">
            <v>F4EA80DA-D8AD-E711-91B2-80C16E075108</v>
          </cell>
          <cell r="E854">
            <v>216</v>
          </cell>
        </row>
        <row r="855">
          <cell r="A855" t="str">
            <v>CAMPO GRANDE</v>
          </cell>
          <cell r="C855" t="str">
            <v>LUME</v>
          </cell>
          <cell r="D855" t="str">
            <v>1132AEA6-874F-EB11-85D0-005056856875</v>
          </cell>
          <cell r="E855">
            <v>0</v>
          </cell>
        </row>
        <row r="856">
          <cell r="A856" t="str">
            <v>LONDRINA</v>
          </cell>
          <cell r="C856" t="str">
            <v>LUMIÉRE</v>
          </cell>
          <cell r="D856" t="str">
            <v>BDFC65EE-D454-DD11-BC22-001B78B9D994</v>
          </cell>
          <cell r="E856">
            <v>136</v>
          </cell>
        </row>
        <row r="857">
          <cell r="A857" t="str">
            <v>CAMPO GRANDE</v>
          </cell>
          <cell r="C857" t="str">
            <v>LUNA</v>
          </cell>
          <cell r="D857" t="str">
            <v>1AC205E2-4739-EF11-9143-80C16E075108</v>
          </cell>
          <cell r="E857">
            <v>0</v>
          </cell>
        </row>
        <row r="858">
          <cell r="A858" t="str">
            <v>SOROCABA</v>
          </cell>
          <cell r="C858" t="str">
            <v>LUXA ITAVUVU EMP 01</v>
          </cell>
          <cell r="D858" t="str">
            <v>21A6F63B-AF7A-EF11-B65C-009C02B0CB58</v>
          </cell>
          <cell r="E858">
            <v>0</v>
          </cell>
        </row>
        <row r="859">
          <cell r="A859" t="str">
            <v>MACAÉ</v>
          </cell>
          <cell r="C859" t="str">
            <v>MACAÉ BUENA VISTA</v>
          </cell>
          <cell r="D859" t="str">
            <v>FDC1A099-254C-DD11-BC22-001B78B9D994</v>
          </cell>
          <cell r="E859">
            <v>288</v>
          </cell>
        </row>
        <row r="860">
          <cell r="A860" t="str">
            <v>MARINGÁ</v>
          </cell>
          <cell r="C860" t="str">
            <v>MADAGASCAR</v>
          </cell>
          <cell r="D860" t="str">
            <v>00FA7ED7-0555-DE11-B2C7-001B78B9D994</v>
          </cell>
          <cell r="E860">
            <v>70</v>
          </cell>
        </row>
        <row r="861">
          <cell r="A861" t="str">
            <v>ARARAQUARA</v>
          </cell>
          <cell r="C861" t="str">
            <v>MADEIRA EMP 01</v>
          </cell>
          <cell r="D861" t="str">
            <v>248339B0-1A62-EE11-8ACD-80C16E075108</v>
          </cell>
          <cell r="E861">
            <v>0</v>
          </cell>
        </row>
        <row r="862">
          <cell r="A862" t="str">
            <v>MARÍLIA</v>
          </cell>
          <cell r="C862" t="str">
            <v>MÁLAGA RESIDENCIAL</v>
          </cell>
          <cell r="D862" t="str">
            <v>49B076CC-919E-EE11-8ACD-80C16E075108</v>
          </cell>
          <cell r="E862">
            <v>0</v>
          </cell>
        </row>
        <row r="863">
          <cell r="A863" t="str">
            <v>MOGI DAS CRUZES</v>
          </cell>
          <cell r="C863" t="str">
            <v>MALIBU</v>
          </cell>
          <cell r="D863" t="str">
            <v>EF9F1A3C-57C5-DE11-B17D-001B78B9D994</v>
          </cell>
          <cell r="E863">
            <v>200</v>
          </cell>
        </row>
        <row r="864">
          <cell r="A864" t="str">
            <v>MANAUS</v>
          </cell>
          <cell r="C864" t="str">
            <v>MANAUARA EMP 01</v>
          </cell>
          <cell r="D864" t="str">
            <v>A5A09371-4D43-ED11-B9A1-005056856875</v>
          </cell>
          <cell r="E864">
            <v>0</v>
          </cell>
        </row>
        <row r="865">
          <cell r="A865" t="str">
            <v>SERRA</v>
          </cell>
          <cell r="C865" t="str">
            <v>MANGOS BEACH EMP 1</v>
          </cell>
          <cell r="D865" t="str">
            <v>FD4E6789-8D14-F011-AAAE-005056856875</v>
          </cell>
          <cell r="E865">
            <v>0</v>
          </cell>
        </row>
        <row r="866">
          <cell r="A866" t="str">
            <v>BELO HORIZONTE</v>
          </cell>
          <cell r="C866" t="str">
            <v>MANGUEIRAS</v>
          </cell>
          <cell r="D866" t="str">
            <v>ABBF12F0-7569-DD11-AD97-001B78B9D994</v>
          </cell>
          <cell r="E866">
            <v>0</v>
          </cell>
        </row>
        <row r="867">
          <cell r="A867" t="str">
            <v>PORTO ALEGRE</v>
          </cell>
          <cell r="C867" t="str">
            <v>MANIOCA EMP 01</v>
          </cell>
          <cell r="D867" t="str">
            <v>E73F3C2A-DD03-EE11-8ACD-80C16E075108</v>
          </cell>
          <cell r="E867">
            <v>0</v>
          </cell>
        </row>
        <row r="868">
          <cell r="A868" t="str">
            <v>CURITIBA</v>
          </cell>
          <cell r="C868" t="str">
            <v>RESIDENCIAL CORTESE</v>
          </cell>
          <cell r="D868" t="str">
            <v>1DC489DF-DE3B-F011-8DE6-005056856875</v>
          </cell>
          <cell r="E868">
            <v>144</v>
          </cell>
        </row>
        <row r="869">
          <cell r="A869" t="str">
            <v>SÃO PAULO</v>
          </cell>
          <cell r="C869" t="str">
            <v>MANSÕES DO LAGO</v>
          </cell>
          <cell r="D869" t="str">
            <v>3D791359-CEF9-DC11-8284-001B7845B4A6</v>
          </cell>
          <cell r="E869">
            <v>38</v>
          </cell>
        </row>
        <row r="870">
          <cell r="A870" t="str">
            <v>MACAÉ</v>
          </cell>
          <cell r="C870" t="str">
            <v>MAR DA FLÓRIDA</v>
          </cell>
          <cell r="D870" t="str">
            <v>4DDE1696-0AFF-E011-A6B3-001F2909E810</v>
          </cell>
          <cell r="E870">
            <v>320</v>
          </cell>
        </row>
        <row r="871">
          <cell r="A871" t="str">
            <v>MACAÉ</v>
          </cell>
          <cell r="C871" t="str">
            <v>MAR DE GALES</v>
          </cell>
          <cell r="D871" t="str">
            <v>5281E8B3-B6C1-E011-8272-001F2909E810</v>
          </cell>
          <cell r="E871">
            <v>384</v>
          </cell>
        </row>
        <row r="872">
          <cell r="A872" t="str">
            <v>RIO DAS OSTRAS</v>
          </cell>
          <cell r="C872" t="str">
            <v>MAR PARADISO RESIDENCE CLUB_PARQUE BALI</v>
          </cell>
          <cell r="D872" t="str">
            <v>10262060-52C1-E211-83E6-80C16E075108</v>
          </cell>
          <cell r="E872">
            <v>464</v>
          </cell>
        </row>
        <row r="873">
          <cell r="A873" t="str">
            <v>RIO DAS OSTRAS</v>
          </cell>
          <cell r="C873" t="str">
            <v>MAR PARADISO RESIDENCE CLUB_PARQUE MONTE ALTO</v>
          </cell>
          <cell r="D873" t="str">
            <v>719F920A-920C-E211-9E30-001F2909E810</v>
          </cell>
          <cell r="E873">
            <v>620</v>
          </cell>
        </row>
        <row r="874">
          <cell r="A874" t="str">
            <v>RIO DAS OSTRAS</v>
          </cell>
          <cell r="C874" t="str">
            <v>MAR PARADISO RESIDENCE CLUB_PARQUE SANTA CRUZ</v>
          </cell>
          <cell r="D874" t="str">
            <v>7537A093-A297-E211-83E6-80C16E075108</v>
          </cell>
          <cell r="E874">
            <v>432</v>
          </cell>
        </row>
        <row r="875">
          <cell r="A875" t="str">
            <v>RIO DAS OSTRAS</v>
          </cell>
          <cell r="C875" t="str">
            <v>MAR PARADISO RESIDENCE CLUB_PARQUE SANTIAGO</v>
          </cell>
          <cell r="D875" t="str">
            <v>192AE21F-52C1-E211-83E6-80C16E075108</v>
          </cell>
          <cell r="E875">
            <v>432</v>
          </cell>
        </row>
        <row r="876">
          <cell r="A876" t="str">
            <v>BELO HORIZONTE</v>
          </cell>
          <cell r="C876" t="str">
            <v>MAR TIRRENO</v>
          </cell>
          <cell r="D876" t="str">
            <v>B061A1BC-B39C-DE11-8D16-001F2909E810</v>
          </cell>
          <cell r="E876">
            <v>0</v>
          </cell>
        </row>
        <row r="877">
          <cell r="A877" t="str">
            <v>RIO DAS OSTRAS</v>
          </cell>
          <cell r="C877" t="str">
            <v>MARE AZULLI</v>
          </cell>
          <cell r="D877" t="str">
            <v>D7FA7B90-2B4C-DD11-BC22-001B78B9D994</v>
          </cell>
          <cell r="E877">
            <v>192</v>
          </cell>
        </row>
        <row r="878">
          <cell r="A878" t="str">
            <v>RIO DAS OSTRAS</v>
          </cell>
          <cell r="C878" t="str">
            <v>MARE D'ORO</v>
          </cell>
          <cell r="D878" t="str">
            <v>02F934E4-857C-E011-BDCF-001F2909E810</v>
          </cell>
          <cell r="E878">
            <v>350</v>
          </cell>
        </row>
        <row r="879">
          <cell r="A879" t="str">
            <v>RIO DAS OSTRAS</v>
          </cell>
          <cell r="C879" t="str">
            <v>MARE VERDI</v>
          </cell>
          <cell r="D879" t="str">
            <v>91BE26D6-ABEB-DD11-998E-001B78B9D994</v>
          </cell>
          <cell r="E879">
            <v>240</v>
          </cell>
        </row>
        <row r="880">
          <cell r="A880" t="str">
            <v>UBERABA</v>
          </cell>
          <cell r="C880" t="str">
            <v>MARISA</v>
          </cell>
          <cell r="D880" t="str">
            <v>4CAE5BC4-F1DA-DF11-B242-001F2909E810</v>
          </cell>
          <cell r="E880">
            <v>5</v>
          </cell>
        </row>
        <row r="881">
          <cell r="A881" t="str">
            <v>MARÍLIA</v>
          </cell>
          <cell r="C881" t="str">
            <v>MARROCOS RESIDENCIAIS_CASABLANCA</v>
          </cell>
          <cell r="D881" t="str">
            <v>642DACFB-6CF3-E111-9E30-001F2909E810</v>
          </cell>
          <cell r="E881">
            <v>512</v>
          </cell>
        </row>
        <row r="882">
          <cell r="A882" t="str">
            <v>MARÍLIA</v>
          </cell>
          <cell r="C882" t="str">
            <v>MARROCOS RESIDENCIAIS_MARRAKESH</v>
          </cell>
          <cell r="D882" t="str">
            <v>9298C350-70F3-E111-9E30-001F2909E810</v>
          </cell>
          <cell r="E882">
            <v>128</v>
          </cell>
        </row>
        <row r="883">
          <cell r="A883" t="str">
            <v>MARÍLIA</v>
          </cell>
          <cell r="C883" t="str">
            <v>MARROCOS RESIDENCIAIS_SALÉ</v>
          </cell>
          <cell r="D883" t="str">
            <v>32A24E3F-6EF3-E111-9E30-001F2909E810</v>
          </cell>
          <cell r="E883">
            <v>516</v>
          </cell>
        </row>
        <row r="884">
          <cell r="A884" t="str">
            <v>MARÍLIA</v>
          </cell>
          <cell r="C884" t="str">
            <v>MARROCOS RESIDENCIAIS_TÂNGER</v>
          </cell>
          <cell r="D884" t="str">
            <v>BFC02C08-6FF3-E111-9E30-001F2909E810</v>
          </cell>
          <cell r="E884">
            <v>416</v>
          </cell>
        </row>
        <row r="885">
          <cell r="A885" t="str">
            <v>MACEIÓ</v>
          </cell>
          <cell r="C885" t="str">
            <v>MATA DAS ANDORINHAS</v>
          </cell>
          <cell r="D885" t="str">
            <v>6B82C2D4-1408-E711-AC8B-80C16E075108</v>
          </cell>
          <cell r="E885">
            <v>240</v>
          </cell>
        </row>
        <row r="886">
          <cell r="A886" t="str">
            <v>CONTAGEM</v>
          </cell>
          <cell r="C886" t="str">
            <v>MATA DAS AZALÉIAS</v>
          </cell>
          <cell r="D886" t="str">
            <v>049A9934-ACCC-E811-A4F5-80C16E075108</v>
          </cell>
          <cell r="E886">
            <v>268</v>
          </cell>
        </row>
        <row r="887">
          <cell r="A887" t="str">
            <v>CONTAGEM</v>
          </cell>
          <cell r="C887" t="str">
            <v>MATA DAS ORQUÍDEAS</v>
          </cell>
          <cell r="D887" t="str">
            <v>230CBB52-ABCC-E811-A4F5-80C16E075108</v>
          </cell>
          <cell r="E887">
            <v>288</v>
          </cell>
        </row>
        <row r="888">
          <cell r="A888" t="str">
            <v>MACEIÓ</v>
          </cell>
          <cell r="C888" t="str">
            <v>MATA DOS CANÁRIOS</v>
          </cell>
          <cell r="D888" t="str">
            <v>D0C9FA26-1508-E711-AC8B-80C16E075108</v>
          </cell>
          <cell r="E888">
            <v>240</v>
          </cell>
        </row>
        <row r="889">
          <cell r="A889" t="str">
            <v>CONTAGEM</v>
          </cell>
          <cell r="C889" t="str">
            <v>MATA DOS GIRASSÓIS</v>
          </cell>
          <cell r="D889" t="str">
            <v>AAE2DC80-ACCC-E811-A4F5-80C16E075108</v>
          </cell>
          <cell r="E889">
            <v>220</v>
          </cell>
        </row>
        <row r="890">
          <cell r="A890" t="str">
            <v>CONTAGEM</v>
          </cell>
          <cell r="C890" t="str">
            <v>MATA DOS HIBISCOS</v>
          </cell>
          <cell r="D890" t="str">
            <v>64B659FA-ACCC-E811-A4F5-80C16E075108</v>
          </cell>
          <cell r="E890">
            <v>204</v>
          </cell>
        </row>
        <row r="891">
          <cell r="A891" t="str">
            <v>CONTAGEM</v>
          </cell>
          <cell r="C891" t="str">
            <v>MATA DOS IPÊS</v>
          </cell>
          <cell r="D891" t="str">
            <v>6E4B26E1-ADCC-E811-A4F5-80C16E075108</v>
          </cell>
          <cell r="E891">
            <v>188</v>
          </cell>
        </row>
        <row r="892">
          <cell r="A892" t="str">
            <v>CONTAGEM</v>
          </cell>
          <cell r="C892" t="str">
            <v>MATA DOS LÍRIOS</v>
          </cell>
          <cell r="D892" t="str">
            <v>BC2B1AD8-ABCC-E811-A4F5-80C16E075108</v>
          </cell>
          <cell r="E892">
            <v>316</v>
          </cell>
        </row>
        <row r="893">
          <cell r="A893" t="str">
            <v>CONTAGEM</v>
          </cell>
          <cell r="C893" t="str">
            <v>MATA DOS PINHEIROS</v>
          </cell>
          <cell r="D893" t="str">
            <v>2E281BA9-ADCC-E811-A4F5-80C16E075108</v>
          </cell>
          <cell r="E893">
            <v>402</v>
          </cell>
        </row>
        <row r="894">
          <cell r="A894" t="str">
            <v>MACEIÓ</v>
          </cell>
          <cell r="C894" t="str">
            <v>MATA DOS ROUXINÓIS</v>
          </cell>
          <cell r="D894" t="str">
            <v>F106FB33-72EC-EE11-9E4D-009C02B0CB58</v>
          </cell>
          <cell r="E894">
            <v>0</v>
          </cell>
        </row>
        <row r="895">
          <cell r="A895" t="str">
            <v>RIO DE JANEIRO</v>
          </cell>
          <cell r="C895" t="str">
            <v>MATURANA EMP 01</v>
          </cell>
          <cell r="D895" t="str">
            <v>B2FAC3CD-3648-EE11-9510-005056856875</v>
          </cell>
          <cell r="E895">
            <v>0</v>
          </cell>
        </row>
        <row r="896">
          <cell r="A896" t="str">
            <v>MIRASSOL</v>
          </cell>
          <cell r="C896" t="str">
            <v>MELINA RESIDENCIAL</v>
          </cell>
          <cell r="D896" t="str">
            <v>7B710D45-54E6-E711-B989-80C16E075108</v>
          </cell>
          <cell r="E896">
            <v>192</v>
          </cell>
        </row>
        <row r="897">
          <cell r="A897" t="str">
            <v>LONDRINA</v>
          </cell>
          <cell r="C897" t="str">
            <v>MENOS É MAIS EMP 01</v>
          </cell>
          <cell r="D897" t="str">
            <v>63DF3768-1F2C-F011-AB5A-80C16E075108</v>
          </cell>
          <cell r="E897">
            <v>0</v>
          </cell>
        </row>
        <row r="898">
          <cell r="A898" t="str">
            <v>MARÍLIA</v>
          </cell>
          <cell r="C898" t="str">
            <v>MILANO RESIDENCIAL</v>
          </cell>
          <cell r="D898" t="str">
            <v>67826F17-939E-EE11-8ACD-80C16E075108</v>
          </cell>
          <cell r="E898">
            <v>0</v>
          </cell>
        </row>
        <row r="899">
          <cell r="A899" t="str">
            <v>BELO HORIZONTE</v>
          </cell>
          <cell r="C899" t="str">
            <v>MILAO</v>
          </cell>
          <cell r="D899" t="str">
            <v>A33BAA16-42DC-DF11-B242-001F2909E810</v>
          </cell>
          <cell r="E899">
            <v>2</v>
          </cell>
        </row>
        <row r="900">
          <cell r="A900" t="str">
            <v>MACAÉ</v>
          </cell>
          <cell r="C900" t="str">
            <v>MILLENIUM RESIDENCE</v>
          </cell>
          <cell r="D900" t="str">
            <v>82006D72-E8FA-E711-B989-80C16E075108</v>
          </cell>
          <cell r="E900">
            <v>0</v>
          </cell>
        </row>
        <row r="901">
          <cell r="A901" t="str">
            <v>MOGI DAS CRUZES</v>
          </cell>
          <cell r="C901" t="str">
            <v>MIRAFLORES</v>
          </cell>
          <cell r="D901" t="str">
            <v>15C750C1-AE5C-DD11-B13B-001B78B9D994</v>
          </cell>
          <cell r="E901">
            <v>734</v>
          </cell>
        </row>
        <row r="902">
          <cell r="A902" t="str">
            <v>CONTAGEM</v>
          </cell>
          <cell r="C902" t="str">
            <v>MIRANTE DA SERRA</v>
          </cell>
          <cell r="D902" t="str">
            <v>03372C7D-4227-DD11-A6D4-001B7845B4A6</v>
          </cell>
          <cell r="E902">
            <v>432</v>
          </cell>
        </row>
        <row r="903">
          <cell r="A903" t="str">
            <v>CUIABÁ</v>
          </cell>
          <cell r="C903" t="str">
            <v>MIRANTE DAS GARÇAS</v>
          </cell>
          <cell r="D903" t="str">
            <v>F9937EA1-8A5F-ED11-879A-80C16E075108</v>
          </cell>
          <cell r="E903">
            <v>0</v>
          </cell>
        </row>
        <row r="904">
          <cell r="A904" t="str">
            <v>ITAQUAQUECETUBA</v>
          </cell>
          <cell r="C904" t="str">
            <v>MIRANTE DAS PALMEIRAS</v>
          </cell>
          <cell r="D904" t="str">
            <v>0B4ED461-F4F1-EE11-94F2-005056856875</v>
          </cell>
          <cell r="E904">
            <v>0</v>
          </cell>
        </row>
        <row r="905">
          <cell r="A905" t="str">
            <v>ITAQUAQUECETUBA</v>
          </cell>
          <cell r="C905" t="str">
            <v>MIRANTE DE ITAQUÁ</v>
          </cell>
          <cell r="D905" t="str">
            <v>EE77DA85-5266-E611-B1E9-009C02B0CB58</v>
          </cell>
          <cell r="E905">
            <v>280</v>
          </cell>
        </row>
        <row r="906">
          <cell r="A906" t="str">
            <v>CUIABÁ</v>
          </cell>
          <cell r="C906" t="str">
            <v>MIRANTE DI NAPOLI</v>
          </cell>
          <cell r="D906" t="str">
            <v>32BA466D-C18B-EF11-A9C6-80C16E075108</v>
          </cell>
          <cell r="E906">
            <v>0</v>
          </cell>
        </row>
        <row r="907">
          <cell r="A907" t="str">
            <v>SÃO PAULO</v>
          </cell>
          <cell r="C907" t="str">
            <v>MIRANTE DO FAROL</v>
          </cell>
          <cell r="D907" t="str">
            <v>2D002E71-0C7B-ED11-9E0C-00505685534B</v>
          </cell>
          <cell r="E907">
            <v>0</v>
          </cell>
        </row>
        <row r="908">
          <cell r="A908" t="str">
            <v>SALVADOR</v>
          </cell>
          <cell r="C908" t="str">
            <v>MIRANTE DO IGUATEMI</v>
          </cell>
          <cell r="D908" t="str">
            <v>B3EA3F15-BEE7-E511-9CC2-009C02B0CB58</v>
          </cell>
          <cell r="E908">
            <v>480</v>
          </cell>
        </row>
        <row r="909">
          <cell r="A909" t="str">
            <v>MACEIÓ</v>
          </cell>
          <cell r="C909" t="str">
            <v>MIRANTE DO MAR</v>
          </cell>
          <cell r="D909" t="str">
            <v>9EC935EF-2913-E411-8EFB-009C02B0CB58</v>
          </cell>
          <cell r="E909">
            <v>216</v>
          </cell>
        </row>
        <row r="910">
          <cell r="A910" t="str">
            <v>MANAUS</v>
          </cell>
          <cell r="C910" t="str">
            <v>MIRANTE DO PORTO</v>
          </cell>
          <cell r="D910" t="str">
            <v>3107F339-5E47-EA11-801D-005056856875</v>
          </cell>
          <cell r="E910">
            <v>0</v>
          </cell>
        </row>
        <row r="911">
          <cell r="A911" t="str">
            <v>MANAUS</v>
          </cell>
          <cell r="C911" t="str">
            <v>MIRANTE DOS BEM TI VIS</v>
          </cell>
          <cell r="D911" t="str">
            <v>237D4BB6-5B47-EA11-801D-005056856875</v>
          </cell>
          <cell r="E911">
            <v>0</v>
          </cell>
        </row>
        <row r="912">
          <cell r="A912" t="str">
            <v>ITAQUAQUECETUBA</v>
          </cell>
          <cell r="C912" t="str">
            <v>MIRANTE DOS PINHEIROS</v>
          </cell>
          <cell r="D912" t="str">
            <v>12CB9508-B60B-EF11-9143-80C16E075108</v>
          </cell>
          <cell r="E912">
            <v>0</v>
          </cell>
        </row>
        <row r="913">
          <cell r="A913" t="str">
            <v>MANAUS</v>
          </cell>
          <cell r="C913" t="str">
            <v>MIRANTE PRAIA DOURADA</v>
          </cell>
          <cell r="D913" t="str">
            <v>3847EBBB-5F47-EA11-801D-005056856875</v>
          </cell>
          <cell r="E913">
            <v>0</v>
          </cell>
        </row>
        <row r="914">
          <cell r="A914" t="str">
            <v>MANAUS</v>
          </cell>
          <cell r="C914" t="str">
            <v>MIRANTE RIO BELO</v>
          </cell>
          <cell r="D914" t="str">
            <v>2C1E0732-5F47-EA11-801D-005056856875</v>
          </cell>
          <cell r="E914">
            <v>0</v>
          </cell>
        </row>
        <row r="915">
          <cell r="A915" t="str">
            <v>MANAUS</v>
          </cell>
          <cell r="C915" t="str">
            <v>MIRANTE RIO NEGRO</v>
          </cell>
          <cell r="D915" t="str">
            <v>6FE1D42A-5A47-EA11-801D-005056856875</v>
          </cell>
          <cell r="E915">
            <v>0</v>
          </cell>
        </row>
        <row r="916">
          <cell r="A916" t="str">
            <v>RIBEIRÃO PRETO</v>
          </cell>
          <cell r="C916" t="str">
            <v>MIRANTE SUL RESORT CONDOMÍNIO</v>
          </cell>
          <cell r="D916" t="str">
            <v>C90C8248-7500-DF11-89FA-001F2909E810</v>
          </cell>
          <cell r="E916">
            <v>640</v>
          </cell>
        </row>
        <row r="917">
          <cell r="A917" t="str">
            <v>MANAUS</v>
          </cell>
          <cell r="C917" t="str">
            <v>MIRANTE TROPICAL</v>
          </cell>
          <cell r="D917" t="str">
            <v>20CA93C6-5E47-EA11-801D-005056856875</v>
          </cell>
          <cell r="E917">
            <v>0</v>
          </cell>
        </row>
        <row r="918">
          <cell r="A918" t="str">
            <v>MANAUS</v>
          </cell>
          <cell r="C918" t="str">
            <v>MIRANTE VITÓRIA RÉGIA</v>
          </cell>
          <cell r="D918" t="str">
            <v>4D8B572C-5947-EA11-801D-005056856875</v>
          </cell>
          <cell r="E918">
            <v>0</v>
          </cell>
        </row>
        <row r="919">
          <cell r="A919" t="str">
            <v>FLORIANÓPOLIS</v>
          </cell>
          <cell r="C919" t="str">
            <v>MOÇAMBA EMP 01</v>
          </cell>
          <cell r="D919" t="str">
            <v>D0863181-5166-F011-A9C1-009C02B0CB58</v>
          </cell>
          <cell r="E919">
            <v>0</v>
          </cell>
        </row>
        <row r="920">
          <cell r="A920" t="str">
            <v>MARINGÁ</v>
          </cell>
          <cell r="C920" t="str">
            <v>MODENA</v>
          </cell>
          <cell r="D920" t="str">
            <v>3CE3FBE8-F385-DE11-9553-001F2909E83C</v>
          </cell>
          <cell r="E920">
            <v>70</v>
          </cell>
        </row>
        <row r="921">
          <cell r="A921" t="str">
            <v>BELO HORIZONTE</v>
          </cell>
          <cell r="C921" t="str">
            <v>MONT BLANC</v>
          </cell>
          <cell r="D921" t="str">
            <v>7D14CD7E-1EDA-DC11-ABCF-001B7845B4A6</v>
          </cell>
          <cell r="E921">
            <v>100</v>
          </cell>
        </row>
        <row r="922">
          <cell r="A922" t="str">
            <v>SÃO CARLOS</v>
          </cell>
          <cell r="C922" t="str">
            <v>MONT PARK</v>
          </cell>
          <cell r="D922" t="str">
            <v>E423A95A-B8A7-DE11-8D16-001F2909E810</v>
          </cell>
          <cell r="E922">
            <v>400</v>
          </cell>
        </row>
        <row r="923">
          <cell r="A923" t="str">
            <v>SÃO CARLOS</v>
          </cell>
          <cell r="C923" t="str">
            <v>MONTE AMAZONAS</v>
          </cell>
          <cell r="D923" t="str">
            <v>7E0A2247-2FA6-E811-944B-009C02B0CB58</v>
          </cell>
          <cell r="E923">
            <v>116</v>
          </cell>
        </row>
        <row r="924">
          <cell r="A924" t="str">
            <v>SÃO CARLOS</v>
          </cell>
          <cell r="C924" t="str">
            <v>MONTE CASTELO</v>
          </cell>
          <cell r="D924" t="str">
            <v>6B4DED67-2E69-DD11-AD97-001B78B9D994</v>
          </cell>
          <cell r="E924">
            <v>28</v>
          </cell>
        </row>
        <row r="925">
          <cell r="A925" t="str">
            <v>SÃO CARLOS</v>
          </cell>
          <cell r="C925" t="str">
            <v>MONTE DOS ANDES</v>
          </cell>
          <cell r="D925" t="str">
            <v>A6FB863E-4742-E811-A00D-009C02B0CB58</v>
          </cell>
          <cell r="E925">
            <v>192</v>
          </cell>
        </row>
        <row r="926">
          <cell r="A926" t="str">
            <v>BELO HORIZONTE</v>
          </cell>
          <cell r="C926" t="str">
            <v>MONTEVIDÉO</v>
          </cell>
          <cell r="D926" t="str">
            <v>5E9058FA-E6F2-DD11-9EFB-001B78B9D994</v>
          </cell>
          <cell r="E926">
            <v>0</v>
          </cell>
        </row>
        <row r="927">
          <cell r="A927" t="str">
            <v>BELO HORIZONTE</v>
          </cell>
          <cell r="C927" t="str">
            <v>MONTREAL</v>
          </cell>
          <cell r="D927" t="str">
            <v>F65DE7CE-B7C2-DD11-9447-001B78B9D994</v>
          </cell>
          <cell r="E927">
            <v>0</v>
          </cell>
        </row>
        <row r="928">
          <cell r="A928" t="str">
            <v>MOGI DAS CRUZES</v>
          </cell>
          <cell r="C928" t="str">
            <v>MORADA CARIOCA</v>
          </cell>
          <cell r="D928" t="str">
            <v>9C635C1F-6FF8-E611-AC8B-80C16E075108</v>
          </cell>
          <cell r="E928">
            <v>400</v>
          </cell>
        </row>
        <row r="929">
          <cell r="A929" t="str">
            <v>MOGI MIRIM</v>
          </cell>
          <cell r="C929" t="str">
            <v>MORADA DAS MACADÂMIAS</v>
          </cell>
          <cell r="D929" t="str">
            <v>193E6CA1-D40F-E711-B3B7-009C02B0CB58</v>
          </cell>
          <cell r="E929">
            <v>192</v>
          </cell>
        </row>
        <row r="930">
          <cell r="A930" t="str">
            <v>MOGI MIRIM</v>
          </cell>
          <cell r="C930" t="str">
            <v>MORADA DAS MAGNÓLIAS</v>
          </cell>
          <cell r="D930" t="str">
            <v>B185214B-6B3A-E711-8CD7-009C02B0CB58</v>
          </cell>
          <cell r="E930">
            <v>288</v>
          </cell>
        </row>
        <row r="931">
          <cell r="A931" t="str">
            <v>MAUÁ</v>
          </cell>
          <cell r="C931" t="str">
            <v>MORADA DAS TORRES</v>
          </cell>
          <cell r="D931" t="str">
            <v>FBBDFAFF-983D-E811-A00D-009C02B0CB58</v>
          </cell>
          <cell r="E931">
            <v>480</v>
          </cell>
        </row>
        <row r="932">
          <cell r="A932" t="str">
            <v>MOGI DAS CRUZES</v>
          </cell>
          <cell r="C932" t="str">
            <v>MORADA DOS VENTOS</v>
          </cell>
          <cell r="D932" t="str">
            <v>6E768B6A-A717-EF11-9143-80C16E075108</v>
          </cell>
          <cell r="E932">
            <v>0</v>
          </cell>
        </row>
        <row r="933">
          <cell r="A933" t="str">
            <v>MOGI DAS CRUZES</v>
          </cell>
          <cell r="C933" t="str">
            <v>MORADA MINEIRA</v>
          </cell>
          <cell r="D933" t="str">
            <v>6B24D019-70F8-E611-AC8B-80C16E075108</v>
          </cell>
          <cell r="E933">
            <v>400</v>
          </cell>
        </row>
        <row r="934">
          <cell r="A934" t="str">
            <v>MOGI DAS CRUZES</v>
          </cell>
          <cell r="C934" t="str">
            <v>MORADA PAULISTA</v>
          </cell>
          <cell r="D934" t="str">
            <v>480FE3C4-9208-E611-A5BB-009C02B0CB58</v>
          </cell>
          <cell r="E934">
            <v>400</v>
          </cell>
        </row>
        <row r="935">
          <cell r="A935" t="str">
            <v>SETE LAGOAS</v>
          </cell>
          <cell r="C935" t="str">
            <v>MORADAS DA LAGOA</v>
          </cell>
          <cell r="D935" t="str">
            <v>42A8F3E1-7596-E811-B96E-009C02B0CB58</v>
          </cell>
          <cell r="E935">
            <v>180</v>
          </cell>
        </row>
        <row r="936">
          <cell r="A936" t="str">
            <v>FORTALEZA</v>
          </cell>
          <cell r="C936" t="str">
            <v>MORATTA CONDOMÍNIO CLUBE</v>
          </cell>
          <cell r="D936" t="str">
            <v>6DAF11A3-F42D-E011-B242-001F2909E810</v>
          </cell>
          <cell r="E936">
            <v>280</v>
          </cell>
        </row>
        <row r="937">
          <cell r="A937" t="str">
            <v>MIRASSOL</v>
          </cell>
          <cell r="C937" t="str">
            <v>MORITZI RESIDENCIAL</v>
          </cell>
          <cell r="D937" t="str">
            <v>973E2823-61E6-E711-B989-80C16E075108</v>
          </cell>
          <cell r="E937">
            <v>192</v>
          </cell>
        </row>
        <row r="938">
          <cell r="A938" t="str">
            <v>CONTAGEM</v>
          </cell>
          <cell r="C938" t="str">
            <v>MRV LOG1</v>
          </cell>
          <cell r="D938" t="str">
            <v>3B2AA97F-C754-DD11-BC22-001B78B9D994</v>
          </cell>
          <cell r="E938">
            <v>0</v>
          </cell>
        </row>
        <row r="939">
          <cell r="A939" t="str">
            <v>MACEIÓ</v>
          </cell>
          <cell r="C939" t="str">
            <v>MUNDAÚ CONDOMÍNIO CLUBE</v>
          </cell>
          <cell r="D939" t="str">
            <v>48405F69-5ACC-E111-849C-001F2909E810</v>
          </cell>
          <cell r="E939">
            <v>240</v>
          </cell>
        </row>
        <row r="940">
          <cell r="A940" t="str">
            <v>BELO HORIZONTE</v>
          </cell>
          <cell r="C940" t="str">
            <v>MUNDI COND RESORT</v>
          </cell>
          <cell r="D940" t="str">
            <v>5C32C02A-F7E9-DC11-ABD0-001B7845B4A6</v>
          </cell>
          <cell r="E940">
            <v>1220</v>
          </cell>
        </row>
        <row r="941">
          <cell r="A941" t="str">
            <v>MARÍLIA</v>
          </cell>
          <cell r="C941" t="str">
            <v>MUNIQUE RESIDENCIAL</v>
          </cell>
          <cell r="D941" t="str">
            <v>13413648-929E-EE11-8ACD-80C16E075108</v>
          </cell>
          <cell r="E941">
            <v>0</v>
          </cell>
        </row>
        <row r="942">
          <cell r="A942" t="str">
            <v>BELO HORIZONTE</v>
          </cell>
          <cell r="C942" t="str">
            <v>MUNIZ EMP 01</v>
          </cell>
          <cell r="D942" t="str">
            <v>9F435EEB-E290-ED11-9E0C-00505685534B</v>
          </cell>
          <cell r="E942">
            <v>0</v>
          </cell>
        </row>
        <row r="943">
          <cell r="A943" t="str">
            <v>BELO HORIZONTE</v>
          </cell>
          <cell r="C943" t="str">
            <v>MUNIZ EMP 02</v>
          </cell>
          <cell r="D943" t="str">
            <v>C1F07E05-22AE-ED11-879A-80C16E075108</v>
          </cell>
          <cell r="E943">
            <v>0</v>
          </cell>
        </row>
        <row r="944">
          <cell r="A944" t="str">
            <v>BELO HORIZONTE</v>
          </cell>
          <cell r="C944" t="str">
            <v>MUNIZ EMP 03</v>
          </cell>
          <cell r="D944" t="str">
            <v>D794B934-23AE-ED11-98D9-009C02B0CB58</v>
          </cell>
          <cell r="E944">
            <v>0</v>
          </cell>
        </row>
        <row r="945">
          <cell r="A945" t="str">
            <v>RECIFE</v>
          </cell>
          <cell r="C945" t="str">
            <v>MURO DE PEDRA EMP 01</v>
          </cell>
          <cell r="D945" t="str">
            <v>E159E370-B4F3-EF11-B65C-009C02B0CB58</v>
          </cell>
          <cell r="E945">
            <v>0</v>
          </cell>
        </row>
        <row r="946">
          <cell r="A946" t="str">
            <v>BELO HORIZONTE</v>
          </cell>
          <cell r="C946" t="str">
            <v>MUSIC PARK - JAZZ PARK</v>
          </cell>
          <cell r="D946" t="str">
            <v>57A9CB25-29A2-DE11-8D16-001F2909E810</v>
          </cell>
          <cell r="E946">
            <v>76</v>
          </cell>
        </row>
        <row r="947">
          <cell r="A947" t="str">
            <v>BELO HORIZONTE</v>
          </cell>
          <cell r="C947" t="str">
            <v>MUSIC PARK - ÓPERA PARK</v>
          </cell>
          <cell r="D947" t="str">
            <v>E9006F05-139C-DF11-B20E-001F2909E810</v>
          </cell>
          <cell r="E947">
            <v>110</v>
          </cell>
        </row>
        <row r="948">
          <cell r="A948" t="str">
            <v>BELO HORIZONTE</v>
          </cell>
          <cell r="C948" t="str">
            <v>NANTES</v>
          </cell>
          <cell r="D948" t="str">
            <v>05D56C27-82D9-DC11-ABCF-001B7845B4A6</v>
          </cell>
          <cell r="E948">
            <v>40</v>
          </cell>
        </row>
        <row r="949">
          <cell r="A949" t="str">
            <v>SÃO PAULO</v>
          </cell>
          <cell r="C949" t="str">
            <v>NASCENTE DAS ARARAS</v>
          </cell>
          <cell r="D949" t="str">
            <v>6D40AABE-5562-EB11-AA45-005056856875</v>
          </cell>
          <cell r="E949">
            <v>320</v>
          </cell>
        </row>
        <row r="950">
          <cell r="A950" t="str">
            <v>SÃO PAULO</v>
          </cell>
          <cell r="C950" t="str">
            <v>NASCENTE DAS PRIMAVERAS</v>
          </cell>
          <cell r="D950" t="str">
            <v>164AF08A-4862-EB11-AA45-005056856875</v>
          </cell>
          <cell r="E950">
            <v>160</v>
          </cell>
        </row>
        <row r="951">
          <cell r="A951" t="str">
            <v>SÃO PAULO</v>
          </cell>
          <cell r="C951" t="str">
            <v>NASCENTE DO TARUMÃ</v>
          </cell>
          <cell r="D951" t="str">
            <v>55A965EA-6162-EB11-AA45-005056856875</v>
          </cell>
          <cell r="E951">
            <v>120</v>
          </cell>
        </row>
        <row r="952">
          <cell r="A952" t="str">
            <v>SÃO PAULO</v>
          </cell>
          <cell r="C952" t="str">
            <v>NASCENTE DOS GUARÁS</v>
          </cell>
          <cell r="D952" t="str">
            <v>8B4ED9C1-5762-EB11-AA45-005056856875</v>
          </cell>
          <cell r="E952">
            <v>240</v>
          </cell>
        </row>
        <row r="953">
          <cell r="A953" t="str">
            <v>SÃO PAULO</v>
          </cell>
          <cell r="C953" t="str">
            <v>NASCENTE DOS TAMANDUÁS</v>
          </cell>
          <cell r="D953" t="str">
            <v>B6ACD69D-6562-EB11-AA45-005056856875</v>
          </cell>
          <cell r="E953">
            <v>260</v>
          </cell>
        </row>
        <row r="954">
          <cell r="A954" t="str">
            <v>CAMPINAS</v>
          </cell>
          <cell r="C954" t="str">
            <v>NATURE GARDEN</v>
          </cell>
          <cell r="D954" t="str">
            <v>A7AB784B-FFE3-E611-ABB6-80C16E075108</v>
          </cell>
          <cell r="E954">
            <v>352</v>
          </cell>
        </row>
        <row r="955">
          <cell r="A955" t="str">
            <v>CAMPO GRANDE</v>
          </cell>
          <cell r="C955" t="str">
            <v>NAVALHA EMP 01</v>
          </cell>
          <cell r="D955" t="str">
            <v>0B059AD0-8B14-F011-AAAE-005056856875</v>
          </cell>
          <cell r="E955">
            <v>0</v>
          </cell>
        </row>
        <row r="956">
          <cell r="A956" t="str">
            <v>CAMPO GRANDE</v>
          </cell>
          <cell r="C956" t="str">
            <v>NAVALHA EMP 02</v>
          </cell>
          <cell r="D956" t="str">
            <v>72264163-A529-F011-AAAE-005056856875</v>
          </cell>
          <cell r="E956">
            <v>0</v>
          </cell>
        </row>
        <row r="957">
          <cell r="A957" t="str">
            <v>CAMPO GRANDE</v>
          </cell>
          <cell r="C957" t="str">
            <v>NAVALHA EMP 03</v>
          </cell>
          <cell r="D957" t="str">
            <v>6BEB573E-A629-F011-AAAE-005056856875</v>
          </cell>
          <cell r="E957">
            <v>0</v>
          </cell>
        </row>
        <row r="958">
          <cell r="A958" t="str">
            <v>CAMPO GRANDE</v>
          </cell>
          <cell r="C958" t="str">
            <v>NAVALHA EMP 04</v>
          </cell>
          <cell r="D958" t="str">
            <v>5228F0CD-A629-F011-AAAE-005056856875</v>
          </cell>
          <cell r="E958">
            <v>0</v>
          </cell>
        </row>
        <row r="959">
          <cell r="A959" t="str">
            <v>FORTALEZA</v>
          </cell>
          <cell r="C959" t="str">
            <v>NAVEGANTES</v>
          </cell>
          <cell r="D959" t="str">
            <v>FA424B33-3234-ED11-B1AD-005056856875</v>
          </cell>
          <cell r="E959">
            <v>0</v>
          </cell>
        </row>
        <row r="960">
          <cell r="A960" t="str">
            <v>ITABORAÍ</v>
          </cell>
          <cell r="C960" t="str">
            <v>NEW HAPPY EMP01</v>
          </cell>
          <cell r="D960" t="str">
            <v>142D77FD-2F01-EC11-A30E-0050568A2E98</v>
          </cell>
          <cell r="E960">
            <v>0</v>
          </cell>
        </row>
        <row r="961">
          <cell r="A961" t="str">
            <v>ITABORAÍ</v>
          </cell>
          <cell r="C961" t="str">
            <v>NEW HAPPY EMP02</v>
          </cell>
          <cell r="D961" t="str">
            <v>4BD0E7A6-A66C-EC11-B501-005056856B6C</v>
          </cell>
          <cell r="E961">
            <v>0</v>
          </cell>
        </row>
        <row r="962">
          <cell r="A962" t="str">
            <v>ITABORAÍ</v>
          </cell>
          <cell r="C962" t="str">
            <v>NEW HAPPY EMP03</v>
          </cell>
          <cell r="D962" t="str">
            <v>3ED23543-A76C-EC11-B501-005056856B6C</v>
          </cell>
          <cell r="E962">
            <v>0</v>
          </cell>
        </row>
        <row r="963">
          <cell r="A963" t="str">
            <v>NITERÓI</v>
          </cell>
          <cell r="C963" t="str">
            <v>NITERÓI GARDEN</v>
          </cell>
          <cell r="D963" t="str">
            <v>73312A33-264C-DD11-BC22-001B78B9D994</v>
          </cell>
          <cell r="E963">
            <v>660</v>
          </cell>
        </row>
        <row r="964">
          <cell r="A964" t="str">
            <v>SÃO JOSÉ DO RIO PRETO</v>
          </cell>
          <cell r="C964" t="str">
            <v>NOBREVILLE CASA 01</v>
          </cell>
          <cell r="D964" t="str">
            <v>978B2041-2F79-EC11-B501-005056856B6C</v>
          </cell>
          <cell r="E964">
            <v>125</v>
          </cell>
        </row>
        <row r="965">
          <cell r="A965" t="str">
            <v>NATAL</v>
          </cell>
          <cell r="C965" t="str">
            <v>NOVA AMSTERDÃ</v>
          </cell>
          <cell r="D965" t="str">
            <v>64153ACB-F017-E911-8C00-80C16E075108</v>
          </cell>
          <cell r="E965">
            <v>196</v>
          </cell>
        </row>
        <row r="966">
          <cell r="A966" t="str">
            <v>BAURU</v>
          </cell>
          <cell r="C966" t="str">
            <v>NOVITÁ CLUB &amp; RESIDENCE</v>
          </cell>
          <cell r="D966" t="str">
            <v>439EE5AF-F5EA-DC11-A2F9-001B7845B4A6</v>
          </cell>
          <cell r="E966">
            <v>168</v>
          </cell>
        </row>
        <row r="967">
          <cell r="A967" t="str">
            <v>RIO DE JANEIRO</v>
          </cell>
          <cell r="C967" t="str">
            <v>NOVO GRUMARI EMP 01</v>
          </cell>
          <cell r="D967" t="str">
            <v>31B44BD2-2099-EE11-8ACD-80C16E075108</v>
          </cell>
          <cell r="E967">
            <v>0</v>
          </cell>
        </row>
        <row r="968">
          <cell r="A968" t="str">
            <v>CANOAS</v>
          </cell>
          <cell r="C968" t="str">
            <v>NOVO PARQUE PORTO QUARTZO</v>
          </cell>
          <cell r="D968" t="str">
            <v>30F3D50F-AD26-EF11-9143-80C16E075108</v>
          </cell>
          <cell r="E968">
            <v>0</v>
          </cell>
        </row>
        <row r="969">
          <cell r="A969" t="str">
            <v>CANOAS</v>
          </cell>
          <cell r="C969" t="str">
            <v>NOVO PORTO ESMERALDA</v>
          </cell>
          <cell r="D969" t="str">
            <v>00162E94-AB26-EF11-9143-80C16E075108</v>
          </cell>
          <cell r="E969">
            <v>0</v>
          </cell>
        </row>
        <row r="970">
          <cell r="A970" t="str">
            <v>SÃO PAULO</v>
          </cell>
          <cell r="C970" t="str">
            <v>NOVO RESIDENCIAL HARMONIA</v>
          </cell>
          <cell r="D970" t="str">
            <v>FDFD2EAE-5F09-EF11-9143-80C16E075108</v>
          </cell>
          <cell r="E970">
            <v>0</v>
          </cell>
        </row>
        <row r="971">
          <cell r="A971" t="str">
            <v>SÃO PAULO</v>
          </cell>
          <cell r="C971" t="str">
            <v>NOVO RESIDENCIAL PAZ</v>
          </cell>
          <cell r="D971" t="str">
            <v>F4F00B3E-6009-EF11-9143-80C16E075108</v>
          </cell>
          <cell r="E971">
            <v>0</v>
          </cell>
        </row>
        <row r="972">
          <cell r="A972" t="str">
            <v>SÃO PAULO</v>
          </cell>
          <cell r="C972" t="str">
            <v>NOVO RESIDENCIAL SIMPATIA</v>
          </cell>
          <cell r="D972" t="str">
            <v>C7722D8D-6009-EF11-9143-80C16E075108</v>
          </cell>
          <cell r="E972">
            <v>0</v>
          </cell>
        </row>
        <row r="973">
          <cell r="A973" t="str">
            <v>UBERABA</v>
          </cell>
          <cell r="C973" t="str">
            <v>NOVO_RESIDENCIAL LAGO DOS CRISTAIS</v>
          </cell>
          <cell r="D973" t="str">
            <v>8A53B075-AAF5-ED11-98D9-009C02B0CB58</v>
          </cell>
          <cell r="E973">
            <v>0</v>
          </cell>
        </row>
        <row r="974">
          <cell r="A974" t="str">
            <v>CAMPINA GRANDE</v>
          </cell>
          <cell r="C974" t="str">
            <v>OÁSIS DA SERRA_OUTONO</v>
          </cell>
          <cell r="D974" t="str">
            <v>0385B39E-F74C-E611-A5BB-009C02B0CB58</v>
          </cell>
          <cell r="E974">
            <v>128</v>
          </cell>
        </row>
        <row r="975">
          <cell r="A975" t="str">
            <v>CAMPINA GRANDE</v>
          </cell>
          <cell r="C975" t="str">
            <v>OÁSIS DA SERRA_VERÃO</v>
          </cell>
          <cell r="D975" t="str">
            <v>A059F357-F74C-E611-A5BB-009C02B0CB58</v>
          </cell>
          <cell r="E975">
            <v>144</v>
          </cell>
        </row>
        <row r="976">
          <cell r="A976" t="str">
            <v>BELO HORIZONTE</v>
          </cell>
          <cell r="C976" t="str">
            <v>OHIO</v>
          </cell>
          <cell r="D976" t="str">
            <v>282AB6BB-44DC-DF11-B242-001F2909E810</v>
          </cell>
          <cell r="E976">
            <v>4</v>
          </cell>
        </row>
        <row r="977">
          <cell r="A977" t="str">
            <v>SÃO JOSÉ DOS PINHAIS</v>
          </cell>
          <cell r="C977" t="str">
            <v>OLIMPIADAS EMP 1</v>
          </cell>
          <cell r="D977" t="str">
            <v>8EECB579-8014-F011-AAAE-005056856875</v>
          </cell>
          <cell r="E977">
            <v>0</v>
          </cell>
        </row>
        <row r="978">
          <cell r="A978" t="str">
            <v>CAMPO GRANDE</v>
          </cell>
          <cell r="C978" t="str">
            <v>ÓRION</v>
          </cell>
          <cell r="D978" t="str">
            <v>AB190E99-6A47-EE11-9510-005056856875</v>
          </cell>
          <cell r="E978">
            <v>272</v>
          </cell>
        </row>
        <row r="979">
          <cell r="A979" t="str">
            <v>BELO HORIZONTE</v>
          </cell>
          <cell r="C979" t="str">
            <v>OURO PRETO</v>
          </cell>
          <cell r="D979" t="str">
            <v>204A79B8-658A-DD11-8A4F-001B78B9D994</v>
          </cell>
          <cell r="E979">
            <v>20</v>
          </cell>
        </row>
        <row r="980">
          <cell r="A980" t="str">
            <v>FEIRA DE SANTANA</v>
          </cell>
          <cell r="C980" t="str">
            <v>PALACE FRAGA MAIA</v>
          </cell>
          <cell r="D980" t="str">
            <v>01D9C148-3D5B-E711-BB04-DB6828735DB2</v>
          </cell>
          <cell r="E980">
            <v>256</v>
          </cell>
        </row>
        <row r="981">
          <cell r="A981" t="str">
            <v>RIBEIRÃO PRETO</v>
          </cell>
          <cell r="C981" t="str">
            <v>PALÁCIO DE VERSALHES</v>
          </cell>
          <cell r="D981" t="str">
            <v>0A7517BE-C155-E311-8EFB-009C02B0CB58</v>
          </cell>
          <cell r="E981">
            <v>320</v>
          </cell>
        </row>
        <row r="982">
          <cell r="A982" t="str">
            <v>RIBEIRÃO PRETO</v>
          </cell>
          <cell r="C982" t="str">
            <v>PALÁCIO DE WINDSOR</v>
          </cell>
          <cell r="D982" t="str">
            <v>B875DF07-C255-E311-8EFB-009C02B0CB58</v>
          </cell>
          <cell r="E982">
            <v>288</v>
          </cell>
        </row>
        <row r="983">
          <cell r="A983" t="str">
            <v>MACEIÓ</v>
          </cell>
          <cell r="C983" t="str">
            <v>PALÁCIO DOS DUQUES</v>
          </cell>
          <cell r="D983" t="str">
            <v>A7FDB64F-20D3-ED11-98D9-009C02B0CB58</v>
          </cell>
          <cell r="E983">
            <v>272</v>
          </cell>
        </row>
        <row r="984">
          <cell r="A984" t="str">
            <v>MACEIÓ</v>
          </cell>
          <cell r="C984" t="str">
            <v>PALÁCIO DOS PRÍNCIPES</v>
          </cell>
          <cell r="D984" t="str">
            <v>069011BD-20D3-ED11-98D9-009C02B0CB58</v>
          </cell>
          <cell r="E984">
            <v>304</v>
          </cell>
        </row>
        <row r="985">
          <cell r="A985" t="str">
            <v>MACEIÓ</v>
          </cell>
          <cell r="C985" t="str">
            <v>PALÁCIO IMPERATRIZ</v>
          </cell>
          <cell r="D985" t="str">
            <v>43084713-21D3-ED11-98D9-009C02B0CB58</v>
          </cell>
          <cell r="E985">
            <v>0</v>
          </cell>
        </row>
        <row r="986">
          <cell r="A986" t="str">
            <v>PIRACICABA</v>
          </cell>
          <cell r="C986" t="str">
            <v>PALADIUM</v>
          </cell>
          <cell r="D986" t="str">
            <v>CDE36615-810D-DD11-8284-001B7845B4A6</v>
          </cell>
          <cell r="E986">
            <v>352</v>
          </cell>
        </row>
        <row r="987">
          <cell r="A987" t="str">
            <v>PALMAS</v>
          </cell>
          <cell r="C987" t="str">
            <v>PALMEIRA DOURADA</v>
          </cell>
          <cell r="D987" t="str">
            <v>F56EF827-D64B-E911-810A-80C16E075108</v>
          </cell>
          <cell r="E987">
            <v>224</v>
          </cell>
        </row>
        <row r="988">
          <cell r="A988" t="str">
            <v>PALMAS</v>
          </cell>
          <cell r="C988" t="str">
            <v>PALMEIRA IMPERIAL</v>
          </cell>
          <cell r="D988" t="str">
            <v>DF737A72-7EB1-E611-ABB6-80C16E075108</v>
          </cell>
          <cell r="E988">
            <v>484</v>
          </cell>
        </row>
        <row r="989">
          <cell r="A989" t="str">
            <v>PALMAS</v>
          </cell>
          <cell r="C989" t="str">
            <v>PALMEIRA MONARCA</v>
          </cell>
          <cell r="D989" t="str">
            <v>EF507292-9F7D-E911-ACBF-009C02B0CB58</v>
          </cell>
          <cell r="E989">
            <v>192</v>
          </cell>
        </row>
        <row r="990">
          <cell r="A990" t="str">
            <v>PALMAS</v>
          </cell>
          <cell r="C990" t="str">
            <v>PALMEIRA REAL</v>
          </cell>
          <cell r="D990" t="str">
            <v>5E96CC4B-BD73-E711-BF37-005056856B6C</v>
          </cell>
          <cell r="E990">
            <v>240</v>
          </cell>
        </row>
        <row r="991">
          <cell r="A991" t="str">
            <v>BELO HORIZONTE</v>
          </cell>
          <cell r="C991" t="str">
            <v>PALMEIRAS</v>
          </cell>
          <cell r="D991" t="str">
            <v>BD0F27F1-44DC-DF11-B242-001F2909E810</v>
          </cell>
          <cell r="E991">
            <v>0</v>
          </cell>
        </row>
        <row r="992">
          <cell r="A992" t="str">
            <v>SÃO JOSÉ DOS CAMPOS</v>
          </cell>
          <cell r="C992" t="str">
            <v>PALOMA</v>
          </cell>
          <cell r="D992" t="str">
            <v>FB0FF571-C4CC-DF11-B242-001F2909E810</v>
          </cell>
          <cell r="E992">
            <v>8</v>
          </cell>
        </row>
        <row r="993">
          <cell r="A993" t="str">
            <v>PIRACICABA</v>
          </cell>
          <cell r="C993" t="str">
            <v>PANORAMIC</v>
          </cell>
          <cell r="D993" t="str">
            <v>4D4DAB38-B8CA-DC11-8D7D-001B7845B4A6</v>
          </cell>
          <cell r="E993">
            <v>208</v>
          </cell>
        </row>
        <row r="994">
          <cell r="A994" t="str">
            <v>FLORIANÓPOLIS</v>
          </cell>
          <cell r="C994" t="str">
            <v>PAPAQUARA EMP 01</v>
          </cell>
          <cell r="D994" t="str">
            <v>3C5FF6AD-69B6-EF11-B65C-009C02B0CB58</v>
          </cell>
          <cell r="E994">
            <v>0</v>
          </cell>
        </row>
        <row r="995">
          <cell r="A995" t="str">
            <v>SERRA</v>
          </cell>
          <cell r="C995" t="str">
            <v>RESIDENCIAL VIVA VERANO</v>
          </cell>
          <cell r="D995" t="str">
            <v>3E33EDDC-EB81-EF11-B65C-009C02B0CB58</v>
          </cell>
          <cell r="E995">
            <v>0</v>
          </cell>
        </row>
        <row r="996">
          <cell r="A996" t="str">
            <v>SERRA</v>
          </cell>
          <cell r="C996" t="str">
            <v>PARAÍSO DA LAGOA EMP 02</v>
          </cell>
          <cell r="D996" t="str">
            <v>00B84BBF-B597-EF11-B65C-009C02B0CB58</v>
          </cell>
          <cell r="E996">
            <v>0</v>
          </cell>
        </row>
        <row r="997">
          <cell r="A997" t="str">
            <v>CAMPINAS</v>
          </cell>
          <cell r="C997" t="str">
            <v>PARK CONTEMPORANIUM</v>
          </cell>
          <cell r="D997" t="str">
            <v>6D3615C4-7EF0-DC11-A2F9-001B7845B4A6</v>
          </cell>
          <cell r="E997">
            <v>240</v>
          </cell>
        </row>
        <row r="998">
          <cell r="A998" t="str">
            <v>RIO DE JANEIRO</v>
          </cell>
          <cell r="C998" t="str">
            <v>PARK REAL RESORT</v>
          </cell>
          <cell r="D998" t="str">
            <v>D1FD0DC5-97E3-E411-9DC0-80C16E075108</v>
          </cell>
          <cell r="E998">
            <v>499</v>
          </cell>
        </row>
        <row r="999">
          <cell r="A999" t="str">
            <v>RIO DE JANEIRO</v>
          </cell>
          <cell r="C999" t="str">
            <v>PARK REALITY</v>
          </cell>
          <cell r="D999" t="str">
            <v>001D94BE-3349-DD11-BC22-001B78B9D994</v>
          </cell>
          <cell r="E999">
            <v>351</v>
          </cell>
        </row>
        <row r="1000">
          <cell r="A1000" t="str">
            <v>RIO DE JANEIRO</v>
          </cell>
          <cell r="C1000" t="str">
            <v>PARK RENOVARE</v>
          </cell>
          <cell r="D1000" t="str">
            <v>B72237CE-3349-DD11-BC22-001B78B9D994</v>
          </cell>
          <cell r="E1000">
            <v>312</v>
          </cell>
        </row>
        <row r="1001">
          <cell r="A1001" t="str">
            <v>RIO DE JANEIRO</v>
          </cell>
          <cell r="C1001" t="str">
            <v>PARK RITZ</v>
          </cell>
          <cell r="D1001" t="str">
            <v>A4EAF1D1-264C-DD11-BC22-001B78B9D994</v>
          </cell>
          <cell r="E1001">
            <v>192</v>
          </cell>
        </row>
        <row r="1002">
          <cell r="A1002" t="str">
            <v>RIO DE JANEIRO</v>
          </cell>
          <cell r="C1002" t="str">
            <v>PARK RIVIERA DO CAMPO</v>
          </cell>
          <cell r="D1002" t="str">
            <v>C0CA3BAD-CCB7-DD11-A0C7-001B78B9D994</v>
          </cell>
          <cell r="E1002">
            <v>498</v>
          </cell>
        </row>
        <row r="1003">
          <cell r="A1003" t="str">
            <v>RIO DE JANEIRO</v>
          </cell>
          <cell r="C1003" t="str">
            <v>PARK ROSSETTE</v>
          </cell>
          <cell r="D1003" t="str">
            <v>F86771FA-CA49-DD11-BC22-001B78B9D994</v>
          </cell>
          <cell r="E1003">
            <v>192</v>
          </cell>
        </row>
        <row r="1004">
          <cell r="A1004" t="str">
            <v>LAURO DE FREITAS</v>
          </cell>
          <cell r="C1004" t="str">
            <v>PARK SUN COAST</v>
          </cell>
          <cell r="D1004" t="str">
            <v>CA7B2F45-254C-DD11-BC22-001B78B9D994</v>
          </cell>
          <cell r="E1004">
            <v>150</v>
          </cell>
        </row>
        <row r="1005">
          <cell r="A1005" t="str">
            <v>ARARAQUARA</v>
          </cell>
          <cell r="C1005" t="str">
            <v>PARQUE ACANTO</v>
          </cell>
          <cell r="D1005" t="str">
            <v>EE21B4C1-4C40-E511-A6CC-009C02B0CB58</v>
          </cell>
          <cell r="E1005">
            <v>356</v>
          </cell>
        </row>
        <row r="1006">
          <cell r="A1006" t="str">
            <v>ARAÇATUBA</v>
          </cell>
          <cell r="C1006" t="str">
            <v>PARQUE ADORATE</v>
          </cell>
          <cell r="D1006" t="str">
            <v>07232ED4-0A4F-E011-BDCF-001F2909E810</v>
          </cell>
          <cell r="E1006">
            <v>352</v>
          </cell>
        </row>
        <row r="1007">
          <cell r="A1007" t="str">
            <v>AMERICANA</v>
          </cell>
          <cell r="C1007" t="str">
            <v>PARQUE ALABAMA</v>
          </cell>
          <cell r="D1007" t="str">
            <v>1C54E0D8-E4E8-DE11-89FA-001F2909E810</v>
          </cell>
          <cell r="E1007">
            <v>768</v>
          </cell>
        </row>
        <row r="1008">
          <cell r="A1008" t="str">
            <v>CONTAGEM</v>
          </cell>
          <cell r="C1008" t="str">
            <v>PARQUE ALAGOAS</v>
          </cell>
          <cell r="D1008" t="str">
            <v>5D39D4A2-1801-DF11-89FA-001F2909E810</v>
          </cell>
          <cell r="E1008">
            <v>160</v>
          </cell>
        </row>
        <row r="1009">
          <cell r="A1009" t="str">
            <v>ARACAJU</v>
          </cell>
          <cell r="C1009" t="str">
            <v>PARQUE ALAMEDA DOS PÁSSAROS</v>
          </cell>
          <cell r="D1009" t="str">
            <v>0590CD62-3ADB-E111-A5A4-001F2909E810</v>
          </cell>
          <cell r="E1009">
            <v>336</v>
          </cell>
        </row>
        <row r="1010">
          <cell r="A1010" t="str">
            <v>ARACAJU</v>
          </cell>
          <cell r="C1010" t="str">
            <v>PARQUE ALAMEDA REAL</v>
          </cell>
          <cell r="D1010" t="str">
            <v>2AA5B851-5604-E311-BAEB-009C02B0CB58</v>
          </cell>
          <cell r="E1010">
            <v>816</v>
          </cell>
        </row>
        <row r="1011">
          <cell r="A1011" t="str">
            <v>ARARAQUARA</v>
          </cell>
          <cell r="C1011" t="str">
            <v>PARQUE ÁLAMO</v>
          </cell>
          <cell r="D1011" t="str">
            <v>9B5B160D-D891-E011-BDCF-001F2909E810</v>
          </cell>
          <cell r="E1011">
            <v>480</v>
          </cell>
        </row>
        <row r="1012">
          <cell r="A1012" t="str">
            <v>ARAÇATUBA</v>
          </cell>
          <cell r="C1012" t="str">
            <v>PARQUE ALECRIM</v>
          </cell>
          <cell r="D1012" t="str">
            <v>B1AFBE66-BCB6-DF11-B20E-001F2909E810</v>
          </cell>
          <cell r="E1012">
            <v>184</v>
          </cell>
        </row>
        <row r="1013">
          <cell r="A1013" t="str">
            <v>ARARAQUARA</v>
          </cell>
          <cell r="C1013" t="str">
            <v>PARQUE ALENTEJO</v>
          </cell>
          <cell r="D1013" t="str">
            <v>658BB7E7-CA17-DF11-83FF-001F2909E810</v>
          </cell>
          <cell r="E1013">
            <v>240</v>
          </cell>
        </row>
        <row r="1014">
          <cell r="A1014" t="str">
            <v>ARARAQUARA</v>
          </cell>
          <cell r="C1014" t="str">
            <v>PARQUE ALETEIA</v>
          </cell>
          <cell r="D1014" t="str">
            <v>B336C053-6398-E011-BDCF-001F2909E810</v>
          </cell>
          <cell r="E1014">
            <v>128</v>
          </cell>
        </row>
        <row r="1015">
          <cell r="A1015" t="str">
            <v>ARAÇATUBA</v>
          </cell>
          <cell r="C1015" t="str">
            <v>PARQUE ALIANZA</v>
          </cell>
          <cell r="D1015" t="str">
            <v>DBEA2F89-0525-EF11-9143-80C16E075108</v>
          </cell>
          <cell r="E1015">
            <v>0</v>
          </cell>
        </row>
        <row r="1016">
          <cell r="A1016" t="str">
            <v>AMERICANA</v>
          </cell>
          <cell r="C1016" t="str">
            <v>PARQUE ALLIANCE</v>
          </cell>
          <cell r="D1016" t="str">
            <v>670AA833-DD34-E311-9AA3-009C02B0CB58</v>
          </cell>
          <cell r="E1016">
            <v>1088</v>
          </cell>
        </row>
        <row r="1017">
          <cell r="A1017" t="str">
            <v>ARAÇATUBA</v>
          </cell>
          <cell r="C1017" t="str">
            <v>PARQUE ALMARE</v>
          </cell>
          <cell r="D1017" t="str">
            <v>F76C2CBF-9748-E411-8EFB-009C02B0CB58</v>
          </cell>
          <cell r="E1017">
            <v>416</v>
          </cell>
        </row>
        <row r="1018">
          <cell r="A1018" t="str">
            <v>ARAÇATUBA</v>
          </cell>
          <cell r="C1018" t="str">
            <v>PARQUE ALOHA</v>
          </cell>
          <cell r="D1018" t="str">
            <v>E6B62C51-D503-E011-B242-001F2909E810</v>
          </cell>
          <cell r="E1018">
            <v>416</v>
          </cell>
        </row>
        <row r="1019">
          <cell r="A1019" t="str">
            <v>ARARAS</v>
          </cell>
          <cell r="C1019" t="str">
            <v>PARQUE ALVORADA</v>
          </cell>
          <cell r="D1019" t="str">
            <v>3B345342-586B-E411-B5D2-009C02B0CB58</v>
          </cell>
          <cell r="E1019">
            <v>848</v>
          </cell>
        </row>
        <row r="1020">
          <cell r="A1020" t="str">
            <v>ARARAQUARA</v>
          </cell>
          <cell r="C1020" t="str">
            <v>PARQUE AMABILE</v>
          </cell>
          <cell r="D1020" t="str">
            <v>97348706-A6A7-E411-B5D2-009C02B0CB58</v>
          </cell>
          <cell r="E1020">
            <v>564</v>
          </cell>
        </row>
        <row r="1021">
          <cell r="A1021" t="str">
            <v>ARARAQUARA</v>
          </cell>
          <cell r="C1021" t="str">
            <v>PARQUE AMARIGE</v>
          </cell>
          <cell r="D1021" t="str">
            <v>A9BD65B8-E0B1-DF11-B20E-001F2909E810</v>
          </cell>
          <cell r="E1021">
            <v>176</v>
          </cell>
        </row>
        <row r="1022">
          <cell r="A1022" t="str">
            <v>SANTA BÁRBARA D'OESTE</v>
          </cell>
          <cell r="C1022" t="str">
            <v>PARQUE AMARILIS</v>
          </cell>
          <cell r="D1022" t="str">
            <v>09E3AAFC-0D1C-E411-B03C-80C16E075108</v>
          </cell>
          <cell r="E1022">
            <v>240</v>
          </cell>
        </row>
        <row r="1023">
          <cell r="A1023" t="str">
            <v>ARARAQUARA</v>
          </cell>
          <cell r="C1023" t="str">
            <v>PARQUE AMIS</v>
          </cell>
          <cell r="D1023" t="str">
            <v>736C0678-2866-E511-A9EE-009C02B0CB58</v>
          </cell>
          <cell r="E1023">
            <v>176</v>
          </cell>
        </row>
        <row r="1024">
          <cell r="A1024" t="str">
            <v>UBERABA</v>
          </cell>
          <cell r="C1024" t="str">
            <v>PARQUE ANDES</v>
          </cell>
          <cell r="D1024" t="str">
            <v>618A76CD-9C86-E711-9B04-005056856B6C</v>
          </cell>
          <cell r="E1024">
            <v>356</v>
          </cell>
        </row>
        <row r="1025">
          <cell r="A1025" t="str">
            <v>ARAÇATUBA</v>
          </cell>
          <cell r="C1025" t="str">
            <v>PARQUE ANGELUS</v>
          </cell>
          <cell r="D1025" t="str">
            <v>6486CDEA-39BB-DF11-B20E-001F2909E810</v>
          </cell>
          <cell r="E1025">
            <v>120</v>
          </cell>
        </row>
        <row r="1026">
          <cell r="A1026" t="str">
            <v>ARARAS</v>
          </cell>
          <cell r="C1026" t="str">
            <v>PARQUE ANGRA DOS REIS</v>
          </cell>
          <cell r="D1026" t="str">
            <v>313DB711-EC1F-E511-A6CC-009C02B0CB58</v>
          </cell>
          <cell r="E1026">
            <v>560</v>
          </cell>
        </row>
        <row r="1027">
          <cell r="A1027" t="str">
            <v>ARARAQUARA</v>
          </cell>
          <cell r="C1027" t="str">
            <v>PARQUE ANTILLES</v>
          </cell>
          <cell r="D1027" t="str">
            <v>AD72227E-25DA-E511-9CC2-009C02B0CB58</v>
          </cell>
          <cell r="E1027">
            <v>112</v>
          </cell>
        </row>
        <row r="1028">
          <cell r="A1028" t="str">
            <v>BETIM</v>
          </cell>
          <cell r="C1028" t="str">
            <v>PARQUE APACHES</v>
          </cell>
          <cell r="D1028" t="str">
            <v>7D68CE45-941D-E011-B242-001F2909E810</v>
          </cell>
          <cell r="E1028">
            <v>208</v>
          </cell>
        </row>
        <row r="1029">
          <cell r="A1029" t="str">
            <v>ARARAQUARA</v>
          </cell>
          <cell r="C1029" t="str">
            <v>PARQUE APOEMA</v>
          </cell>
          <cell r="D1029" t="str">
            <v>A34D45CE-1162-E011-BDCF-001F2909E810</v>
          </cell>
          <cell r="E1029">
            <v>144</v>
          </cell>
        </row>
        <row r="1030">
          <cell r="A1030" t="str">
            <v>ARARAQUARA</v>
          </cell>
          <cell r="C1030" t="str">
            <v>PARQUE APOLO</v>
          </cell>
          <cell r="D1030" t="str">
            <v>DEB47152-5D28-DF11-B3AB-001F2909E810</v>
          </cell>
          <cell r="E1030">
            <v>224</v>
          </cell>
        </row>
        <row r="1031">
          <cell r="A1031" t="str">
            <v>ARAÇATUBA</v>
          </cell>
          <cell r="C1031" t="str">
            <v>PARQUE AQUARELLE</v>
          </cell>
          <cell r="D1031" t="str">
            <v>C391A429-D9A7-E411-B5D2-009C02B0CB58</v>
          </cell>
          <cell r="E1031">
            <v>320</v>
          </cell>
        </row>
        <row r="1032">
          <cell r="A1032" t="str">
            <v>ARARAQUARA</v>
          </cell>
          <cell r="C1032" t="str">
            <v>PARQUE AQUILES</v>
          </cell>
          <cell r="D1032" t="str">
            <v>814ADDE1-9104-E011-B242-001F2909E810</v>
          </cell>
          <cell r="E1032">
            <v>176</v>
          </cell>
        </row>
        <row r="1033">
          <cell r="A1033" t="str">
            <v>ARARAQUARA</v>
          </cell>
          <cell r="C1033" t="str">
            <v>PARQUE ARCOS DA LAPA</v>
          </cell>
          <cell r="D1033" t="str">
            <v>358B3D85-942E-E211-9E30-001F2909E810</v>
          </cell>
          <cell r="E1033">
            <v>160</v>
          </cell>
        </row>
        <row r="1034">
          <cell r="A1034" t="str">
            <v>ARAPONGAS</v>
          </cell>
          <cell r="C1034" t="str">
            <v>PARQUE ARENDEL</v>
          </cell>
          <cell r="D1034" t="str">
            <v>4F31D650-FBB8-E411-B5D2-009C02B0CB58</v>
          </cell>
          <cell r="E1034">
            <v>160</v>
          </cell>
        </row>
        <row r="1035">
          <cell r="A1035" t="str">
            <v>ARAÇATUBA</v>
          </cell>
          <cell r="C1035" t="str">
            <v>PARQUE ARIZONA</v>
          </cell>
          <cell r="D1035" t="str">
            <v>01798DB9-5BDB-E311-8EFB-009C02B0CB58</v>
          </cell>
          <cell r="E1035">
            <v>512</v>
          </cell>
        </row>
        <row r="1036">
          <cell r="A1036" t="str">
            <v>AMERICANA</v>
          </cell>
          <cell r="C1036" t="str">
            <v>PARQUE ARKANSAS</v>
          </cell>
          <cell r="D1036" t="str">
            <v>0DEEB830-3267-DF11-9F9A-001F2909E810</v>
          </cell>
          <cell r="E1036">
            <v>384</v>
          </cell>
        </row>
        <row r="1037">
          <cell r="A1037" t="str">
            <v>ARARAQUARA</v>
          </cell>
          <cell r="C1037" t="str">
            <v>PARQUE ARPOADOR</v>
          </cell>
          <cell r="D1037" t="str">
            <v>789BD033-942E-E211-9E30-001F2909E810</v>
          </cell>
          <cell r="E1037">
            <v>288</v>
          </cell>
        </row>
        <row r="1038">
          <cell r="A1038" t="str">
            <v>ARAÇATUBA</v>
          </cell>
          <cell r="C1038" t="str">
            <v>PARQUE ART VILLE</v>
          </cell>
          <cell r="D1038" t="str">
            <v>685E0D3C-EC39-E511-A6CC-009C02B0CB58</v>
          </cell>
          <cell r="E1038">
            <v>384</v>
          </cell>
        </row>
        <row r="1039">
          <cell r="A1039" t="str">
            <v>ARARAQUARA</v>
          </cell>
          <cell r="C1039" t="str">
            <v>PARQUE ARTHORIA</v>
          </cell>
          <cell r="D1039" t="str">
            <v>FD78F41F-41B3-E611-B1E9-009C02B0CB58</v>
          </cell>
          <cell r="E1039">
            <v>160</v>
          </cell>
        </row>
        <row r="1040">
          <cell r="A1040" t="str">
            <v>ARARAS</v>
          </cell>
          <cell r="C1040" t="str">
            <v>PARQUE ARVOREDO</v>
          </cell>
          <cell r="D1040" t="str">
            <v>BDBD9C36-ABB9-E311-B03C-80C16E075108</v>
          </cell>
          <cell r="E1040">
            <v>160</v>
          </cell>
        </row>
        <row r="1041">
          <cell r="A1041" t="str">
            <v>AMERICANA</v>
          </cell>
          <cell r="C1041" t="str">
            <v>PARQUE ASPEN</v>
          </cell>
          <cell r="D1041" t="str">
            <v>5EA54A31-7F3C-E511-A6CC-009C02B0CB58</v>
          </cell>
          <cell r="E1041">
            <v>952</v>
          </cell>
        </row>
        <row r="1042">
          <cell r="A1042" t="str">
            <v>SANTA BÁRBARA D'OESTE</v>
          </cell>
          <cell r="C1042" t="str">
            <v>PARQUE ASSUNÇÃO</v>
          </cell>
          <cell r="D1042" t="str">
            <v>A0037AE9-AF1C-E411-8EFB-009C02B0CB58</v>
          </cell>
          <cell r="E1042">
            <v>240</v>
          </cell>
        </row>
        <row r="1043">
          <cell r="A1043" t="str">
            <v>AMERICANA</v>
          </cell>
          <cell r="C1043" t="str">
            <v>PARQUE ASTECA</v>
          </cell>
          <cell r="D1043" t="str">
            <v>6B693C62-DDEB-DE11-89FA-001F2909E810</v>
          </cell>
          <cell r="E1043">
            <v>896</v>
          </cell>
        </row>
        <row r="1044">
          <cell r="A1044" t="str">
            <v>ARARAQUARA</v>
          </cell>
          <cell r="C1044" t="str">
            <v>PARQUE ASTRAL</v>
          </cell>
          <cell r="D1044" t="str">
            <v>47C5C8B0-8F95-DF11-B20E-001F2909E810</v>
          </cell>
          <cell r="E1044">
            <v>128</v>
          </cell>
        </row>
        <row r="1045">
          <cell r="A1045" t="str">
            <v>ARARAQUARA</v>
          </cell>
          <cell r="C1045" t="str">
            <v>PARQUE ATACAMA</v>
          </cell>
          <cell r="D1045" t="str">
            <v>CF931B16-00B5-DF11-B20E-001F2909E810</v>
          </cell>
          <cell r="E1045">
            <v>320</v>
          </cell>
        </row>
        <row r="1046">
          <cell r="A1046" t="str">
            <v>ARAÇATUBA</v>
          </cell>
          <cell r="C1046" t="str">
            <v>PARQUE ATLANTIC</v>
          </cell>
          <cell r="D1046" t="str">
            <v>0FA05297-A485-DE11-9553-001F2909E83C</v>
          </cell>
          <cell r="E1046">
            <v>216</v>
          </cell>
        </row>
        <row r="1047">
          <cell r="A1047" t="str">
            <v>UBERABA</v>
          </cell>
          <cell r="C1047" t="str">
            <v>PARQUE ATLÂNTICO SUL</v>
          </cell>
          <cell r="D1047" t="str">
            <v>0D5F6A7E-79AF-E311-8EFB-009C02B0CB58</v>
          </cell>
          <cell r="E1047">
            <v>416</v>
          </cell>
        </row>
        <row r="1048">
          <cell r="A1048" t="str">
            <v>ARARAQUARA</v>
          </cell>
          <cell r="C1048" t="str">
            <v>PARQUE ATLAS</v>
          </cell>
          <cell r="D1048" t="str">
            <v>40D99054-B977-DF11-9F9A-001F2909E810</v>
          </cell>
          <cell r="E1048">
            <v>96</v>
          </cell>
        </row>
        <row r="1049">
          <cell r="A1049" t="str">
            <v>ARARAS</v>
          </cell>
          <cell r="C1049" t="str">
            <v>PARQUE ATUALLE</v>
          </cell>
          <cell r="D1049" t="str">
            <v>CA8B6956-F0A7-E011-BDCF-001F2909E810</v>
          </cell>
          <cell r="E1049">
            <v>288</v>
          </cell>
        </row>
        <row r="1050">
          <cell r="A1050" t="str">
            <v>ARAPONGAS</v>
          </cell>
          <cell r="C1050" t="str">
            <v>PARQUE AUSTIN</v>
          </cell>
          <cell r="D1050" t="str">
            <v>FD87D616-0D7C-E611-ABB6-80C16E075108</v>
          </cell>
          <cell r="E1050">
            <v>260</v>
          </cell>
        </row>
        <row r="1051">
          <cell r="A1051" t="str">
            <v>UBERABA</v>
          </cell>
          <cell r="C1051" t="str">
            <v>PARQUE AUSTRAL</v>
          </cell>
          <cell r="D1051" t="str">
            <v>A9377C27-77AF-E311-8EFB-009C02B0CB58</v>
          </cell>
          <cell r="E1051">
            <v>416</v>
          </cell>
        </row>
        <row r="1052">
          <cell r="A1052" t="str">
            <v>AMERICANA</v>
          </cell>
          <cell r="C1052" t="str">
            <v>PARQUE ÁUSTRIA</v>
          </cell>
          <cell r="D1052" t="str">
            <v>B06D6985-CD6B-E311-8EFB-009C02B0CB58</v>
          </cell>
          <cell r="E1052">
            <v>960</v>
          </cell>
        </row>
        <row r="1053">
          <cell r="A1053" t="str">
            <v>ARARAQUARA</v>
          </cell>
          <cell r="C1053" t="str">
            <v>PARQUE AUTHENTIC</v>
          </cell>
          <cell r="D1053" t="str">
            <v>3FBE98CC-B465-DE11-BFF4-001F2909E83C</v>
          </cell>
          <cell r="E1053">
            <v>32</v>
          </cell>
        </row>
        <row r="1054">
          <cell r="A1054" t="str">
            <v>ARARAQUARA</v>
          </cell>
          <cell r="C1054" t="str">
            <v>PARQUE AVALON</v>
          </cell>
          <cell r="D1054" t="str">
            <v>8876E85D-DB98-E011-BDCF-001F2909E810</v>
          </cell>
          <cell r="E1054">
            <v>112</v>
          </cell>
        </row>
        <row r="1055">
          <cell r="A1055" t="str">
            <v>BOTUCATU</v>
          </cell>
          <cell r="C1055" t="str">
            <v>PARQUE BALTIMORE</v>
          </cell>
          <cell r="D1055" t="str">
            <v>DF3596C5-A11C-E011-B242-001F2909E810</v>
          </cell>
          <cell r="E1055">
            <v>224</v>
          </cell>
        </row>
        <row r="1056">
          <cell r="A1056" t="str">
            <v>BAURU</v>
          </cell>
          <cell r="C1056" t="str">
            <v>PARQUE BARI</v>
          </cell>
          <cell r="D1056" t="str">
            <v>CFA10DA9-BC8C-E611-B1E9-009C02B0CB58</v>
          </cell>
          <cell r="E1056">
            <v>80</v>
          </cell>
        </row>
        <row r="1057">
          <cell r="A1057" t="str">
            <v>BARRETOS</v>
          </cell>
          <cell r="C1057" t="str">
            <v>PARQUE BARRA DA TIJUCA</v>
          </cell>
          <cell r="D1057" t="str">
            <v>67690322-ACB3-E011-8272-001F2909E810</v>
          </cell>
          <cell r="E1057">
            <v>384</v>
          </cell>
        </row>
        <row r="1058">
          <cell r="A1058" t="str">
            <v>BAURU</v>
          </cell>
          <cell r="C1058" t="str">
            <v>PARQUE BAURU VILLE</v>
          </cell>
          <cell r="D1058" t="str">
            <v>AAE49506-D0B8-DE11-8D16-001F2909E810</v>
          </cell>
          <cell r="E1058">
            <v>160</v>
          </cell>
        </row>
        <row r="1059">
          <cell r="A1059" t="str">
            <v>BOTUCATU</v>
          </cell>
          <cell r="C1059" t="str">
            <v>PARQUE BAVÁRIA</v>
          </cell>
          <cell r="D1059" t="str">
            <v>A2E35EE9-8A76-E011-8AF4-001B78B9D994</v>
          </cell>
          <cell r="E1059">
            <v>296</v>
          </cell>
        </row>
        <row r="1060">
          <cell r="A1060" t="str">
            <v>BAURU</v>
          </cell>
          <cell r="C1060" t="str">
            <v>PARQUE BELA ESPANHA</v>
          </cell>
          <cell r="D1060" t="str">
            <v>F7FF2609-B9A7-E411-B5D2-009C02B0CB58</v>
          </cell>
          <cell r="E1060">
            <v>280</v>
          </cell>
        </row>
        <row r="1061">
          <cell r="A1061" t="str">
            <v>BAURU</v>
          </cell>
          <cell r="C1061" t="str">
            <v>PARQUE BELA EUROPA</v>
          </cell>
          <cell r="D1061" t="str">
            <v>AB52E873-CE3A-E011-8C0C-001B78B9D994</v>
          </cell>
          <cell r="E1061">
            <v>440</v>
          </cell>
        </row>
        <row r="1062">
          <cell r="A1062" t="str">
            <v>BAURU</v>
          </cell>
          <cell r="C1062" t="str">
            <v>PARQUE BELAS ARTES</v>
          </cell>
          <cell r="D1062" t="str">
            <v>CEAEFDF4-CD85-DF11-B20E-001F2909E810</v>
          </cell>
          <cell r="E1062">
            <v>160</v>
          </cell>
        </row>
        <row r="1063">
          <cell r="A1063" t="str">
            <v>GOIÂNIA</v>
          </cell>
          <cell r="C1063" t="str">
            <v>PARQUE BÉLGICA</v>
          </cell>
          <cell r="D1063" t="str">
            <v>FA9B031E-57F0-E511-A5BB-009C02B0CB58</v>
          </cell>
          <cell r="E1063">
            <v>288</v>
          </cell>
        </row>
        <row r="1064">
          <cell r="A1064" t="str">
            <v>BOTUCATU</v>
          </cell>
          <cell r="C1064" t="str">
            <v>PARQUE BELGRADO</v>
          </cell>
          <cell r="D1064" t="str">
            <v>1091BC92-94AD-E011-8272-001F2909E810</v>
          </cell>
          <cell r="E1064">
            <v>176</v>
          </cell>
        </row>
        <row r="1065">
          <cell r="A1065" t="str">
            <v>BAURU</v>
          </cell>
          <cell r="C1065" t="str">
            <v>PARQUE BELLAGIO</v>
          </cell>
          <cell r="D1065" t="str">
            <v>3A0287A0-CE78-E111-A73F-001F2909E810</v>
          </cell>
          <cell r="E1065">
            <v>390</v>
          </cell>
        </row>
        <row r="1066">
          <cell r="A1066" t="str">
            <v>VALPARAÍSO DE GOIÁS</v>
          </cell>
          <cell r="C1066" t="str">
            <v>PARQUE BELLE ACQUA</v>
          </cell>
          <cell r="D1066" t="str">
            <v>4CC45EBB-274C-DD11-BC22-001B78B9D994</v>
          </cell>
          <cell r="E1066">
            <v>264</v>
          </cell>
        </row>
        <row r="1067">
          <cell r="A1067" t="str">
            <v>VALPARAÍSO DE GOIÁS</v>
          </cell>
          <cell r="C1067" t="str">
            <v>PARQUE BELLE LUNA</v>
          </cell>
          <cell r="D1067" t="str">
            <v>E946BFDD-935D-DD11-B13B-001B78B9D994</v>
          </cell>
          <cell r="E1067">
            <v>400</v>
          </cell>
        </row>
        <row r="1068">
          <cell r="A1068" t="str">
            <v>VALPARAÍSO DE GOIÁS</v>
          </cell>
          <cell r="C1068" t="str">
            <v>PARQUE BELLO MARE</v>
          </cell>
          <cell r="D1068" t="str">
            <v>9D57B6D7-935D-DD11-B13B-001B78B9D994</v>
          </cell>
          <cell r="E1068">
            <v>400</v>
          </cell>
        </row>
        <row r="1069">
          <cell r="A1069" t="str">
            <v>VALPARAÍSO DE GOIÁS</v>
          </cell>
          <cell r="C1069" t="str">
            <v>PARQUE BELLO VALLE</v>
          </cell>
          <cell r="D1069" t="str">
            <v>45013EFD-274C-DD11-BC22-001B78B9D994</v>
          </cell>
          <cell r="E1069">
            <v>400</v>
          </cell>
        </row>
        <row r="1070">
          <cell r="A1070" t="str">
            <v>CONTAGEM</v>
          </cell>
          <cell r="C1070" t="str">
            <v>PARQUE BERGAMO</v>
          </cell>
          <cell r="D1070" t="str">
            <v>4A8BF2C1-4B50-DE11-B0E8-001F2909E83C</v>
          </cell>
          <cell r="E1070">
            <v>176</v>
          </cell>
        </row>
        <row r="1071">
          <cell r="A1071" t="str">
            <v>BAURU</v>
          </cell>
          <cell r="C1071" t="str">
            <v>PARQUE BIAGGI</v>
          </cell>
          <cell r="D1071" t="str">
            <v>A5935EE5-526C-E111-A73F-001F2909E810</v>
          </cell>
          <cell r="E1071">
            <v>180</v>
          </cell>
        </row>
        <row r="1072">
          <cell r="A1072" t="str">
            <v>SERRA</v>
          </cell>
          <cell r="C1072" t="str">
            <v>PARQUE BOA ESPERANÇA</v>
          </cell>
          <cell r="D1072" t="str">
            <v>F1899895-A1DD-DE11-8C8B-001F2909E810</v>
          </cell>
          <cell r="E1072">
            <v>304</v>
          </cell>
        </row>
        <row r="1073">
          <cell r="A1073" t="str">
            <v>BAURU</v>
          </cell>
          <cell r="C1073" t="str">
            <v>PARQUE BOGOTÁ</v>
          </cell>
          <cell r="D1073" t="str">
            <v>3FCB1CE5-E469-E011-8AF4-001B78B9D994</v>
          </cell>
          <cell r="E1073">
            <v>510</v>
          </cell>
        </row>
        <row r="1074">
          <cell r="A1074" t="str">
            <v>BAURU</v>
          </cell>
          <cell r="C1074" t="str">
            <v>PARQUE BONARDI</v>
          </cell>
          <cell r="D1074" t="str">
            <v>4796D8C2-E769-E011-8AF4-001B78B9D994</v>
          </cell>
          <cell r="E1074">
            <v>670</v>
          </cell>
        </row>
        <row r="1075">
          <cell r="A1075" t="str">
            <v>BIRIGÜI</v>
          </cell>
          <cell r="C1075" t="str">
            <v>PARQUE BOSQUE DOS GIRASSOIS</v>
          </cell>
          <cell r="D1075" t="str">
            <v>979B66F6-08B0-E111-BA1C-001B78B9D994</v>
          </cell>
          <cell r="E1075">
            <v>496</v>
          </cell>
        </row>
        <row r="1076">
          <cell r="A1076" t="str">
            <v>BOTUCATU</v>
          </cell>
          <cell r="C1076" t="str">
            <v>PARQUE BRAGA</v>
          </cell>
          <cell r="D1076" t="str">
            <v>B79CAFDF-BF23-E011-B242-001F2909E810</v>
          </cell>
          <cell r="E1076">
            <v>640</v>
          </cell>
        </row>
        <row r="1077">
          <cell r="A1077" t="str">
            <v>CAMPINAS</v>
          </cell>
          <cell r="C1077" t="str">
            <v>PARQUE CACHOEIRA DAS PEDRAS</v>
          </cell>
          <cell r="D1077" t="str">
            <v>FE5E6757-FB9A-DD11-86FB-001B78B9D994</v>
          </cell>
          <cell r="E1077">
            <v>400</v>
          </cell>
        </row>
        <row r="1078">
          <cell r="A1078" t="str">
            <v>CAMPINAS</v>
          </cell>
          <cell r="C1078" t="str">
            <v>PARQUE CACHOEIRA DO SOL</v>
          </cell>
          <cell r="D1078" t="str">
            <v>CA04B687-FB9A-DD11-86FB-001B78B9D994</v>
          </cell>
          <cell r="E1078">
            <v>320</v>
          </cell>
        </row>
        <row r="1079">
          <cell r="A1079" t="str">
            <v>CAMPINAS</v>
          </cell>
          <cell r="C1079" t="str">
            <v>PARQUE CACHOEIRA DOS VENTOS</v>
          </cell>
          <cell r="D1079" t="str">
            <v>FAA401BE-FB9A-DD11-86FB-001B78B9D994</v>
          </cell>
          <cell r="E1079">
            <v>192</v>
          </cell>
        </row>
        <row r="1080">
          <cell r="A1080" t="str">
            <v>BETIM</v>
          </cell>
          <cell r="C1080" t="str">
            <v>PARQUE CAETÉS</v>
          </cell>
          <cell r="D1080" t="str">
            <v>3B4ED1DB-01F8-DF11-B242-001F2909E810</v>
          </cell>
          <cell r="E1080">
            <v>16</v>
          </cell>
        </row>
        <row r="1081">
          <cell r="A1081" t="str">
            <v>BETIM</v>
          </cell>
          <cell r="C1081" t="str">
            <v>PARQUE CAIAPÓS</v>
          </cell>
          <cell r="D1081" t="str">
            <v>6872E92F-FA60-DE11-B0E8-001F2909E83C</v>
          </cell>
          <cell r="E1081">
            <v>576</v>
          </cell>
        </row>
        <row r="1082">
          <cell r="A1082" t="str">
            <v>CURITIBA</v>
          </cell>
          <cell r="C1082" t="str">
            <v>PARQUE CAMBIRELLA</v>
          </cell>
          <cell r="D1082" t="str">
            <v>68576970-063D-E411-B03C-80C16E075108</v>
          </cell>
          <cell r="E1082">
            <v>448</v>
          </cell>
        </row>
        <row r="1083">
          <cell r="A1083" t="str">
            <v>CARUARU</v>
          </cell>
          <cell r="C1083" t="str">
            <v>PARQUE CAMINHO DAS AROEIRAS</v>
          </cell>
          <cell r="D1083" t="str">
            <v>E0D0C05F-3529-E711-AC8C-80C16E075108</v>
          </cell>
          <cell r="E1083">
            <v>496</v>
          </cell>
        </row>
        <row r="1084">
          <cell r="A1084" t="str">
            <v>CARUARU</v>
          </cell>
          <cell r="C1084" t="str">
            <v>PARQUE CAMINHO DAS BARAÚNAS</v>
          </cell>
          <cell r="D1084" t="str">
            <v>C3AF8404-3629-E711-AC8C-80C16E075108</v>
          </cell>
          <cell r="E1084">
            <v>208</v>
          </cell>
        </row>
        <row r="1085">
          <cell r="A1085" t="str">
            <v>CARUARU</v>
          </cell>
          <cell r="C1085" t="str">
            <v>PARQUE CAMINHO DAS ORQUÍDEAS</v>
          </cell>
          <cell r="D1085" t="str">
            <v>426E6F8F-3629-E711-AC8C-80C16E075108</v>
          </cell>
          <cell r="E1085">
            <v>208</v>
          </cell>
        </row>
        <row r="1086">
          <cell r="A1086" t="str">
            <v>SÃO JOSÉ DOS CAMPOS</v>
          </cell>
          <cell r="C1086" t="str">
            <v>PARQUE CAMPO DAS ACÁCIAS</v>
          </cell>
          <cell r="D1086" t="str">
            <v>3E145DBC-4E5F-E211-83E6-80C16E075108</v>
          </cell>
          <cell r="E1086">
            <v>160</v>
          </cell>
        </row>
        <row r="1087">
          <cell r="A1087" t="str">
            <v>SÃO JOSÉ DOS CAMPOS</v>
          </cell>
          <cell r="C1087" t="str">
            <v>PARQUE CAMPO DAS HORTÊNCIAS</v>
          </cell>
          <cell r="D1087" t="str">
            <v>01AA8B25-4F5F-E211-83E6-80C16E075108</v>
          </cell>
          <cell r="E1087">
            <v>192</v>
          </cell>
        </row>
        <row r="1088">
          <cell r="A1088" t="str">
            <v>SÃO JOSÉ DOS CAMPOS</v>
          </cell>
          <cell r="C1088" t="str">
            <v>PARQUE CAMPO DAS MARGARIDAS</v>
          </cell>
          <cell r="D1088" t="str">
            <v>A4561920-573A-E311-BEFC-80C16E075108</v>
          </cell>
          <cell r="E1088">
            <v>224</v>
          </cell>
        </row>
        <row r="1089">
          <cell r="A1089" t="str">
            <v>SÃO JOSÉ DOS CAMPOS</v>
          </cell>
          <cell r="C1089" t="str">
            <v>PARQUE CAMPO DI OVIEDO</v>
          </cell>
          <cell r="D1089" t="str">
            <v>B8A2FFA4-1FF6-E211-83E6-80C16E075108</v>
          </cell>
          <cell r="E1089">
            <v>192</v>
          </cell>
        </row>
        <row r="1090">
          <cell r="A1090" t="str">
            <v>SÃO JOSÉ DOS CAMPOS</v>
          </cell>
          <cell r="C1090" t="str">
            <v>PARQUE CAMPO DI SEVILHA</v>
          </cell>
          <cell r="D1090" t="str">
            <v>DCF9FF75-DC13-E711-AC8C-80C16E075108</v>
          </cell>
          <cell r="E1090">
            <v>288</v>
          </cell>
        </row>
        <row r="1091">
          <cell r="A1091" t="str">
            <v>SÃO JOSÉ DOS CAMPOS</v>
          </cell>
          <cell r="C1091" t="str">
            <v>PARQUE CAMPO MARINI</v>
          </cell>
          <cell r="D1091" t="str">
            <v>586E836F-5898-E511-B93A-80C16E075108</v>
          </cell>
          <cell r="E1091">
            <v>240</v>
          </cell>
        </row>
        <row r="1092">
          <cell r="A1092" t="str">
            <v>SÃO JOSÉ DOS CAMPOS</v>
          </cell>
          <cell r="C1092" t="str">
            <v>PARQUE CAMPO PASTORI</v>
          </cell>
          <cell r="D1092" t="str">
            <v>1C6924FB-FC57-E511-834F-80C16E075108</v>
          </cell>
          <cell r="E1092">
            <v>176</v>
          </cell>
        </row>
        <row r="1093">
          <cell r="A1093" t="str">
            <v>SÃO JOSÉ DOS CAMPOS</v>
          </cell>
          <cell r="C1093" t="str">
            <v>PARQUE CAMPOS GERAIS</v>
          </cell>
          <cell r="D1093" t="str">
            <v>1D817B53-5296-DF11-BE61-001B78B9D994</v>
          </cell>
          <cell r="E1093">
            <v>684</v>
          </cell>
        </row>
        <row r="1094">
          <cell r="A1094" t="str">
            <v>BETIM</v>
          </cell>
          <cell r="C1094" t="str">
            <v>PARQUE CANINDÉ</v>
          </cell>
          <cell r="D1094" t="str">
            <v>091E908F-119C-DF11-B20E-001F2909E810</v>
          </cell>
          <cell r="E1094">
            <v>512</v>
          </cell>
        </row>
        <row r="1095">
          <cell r="A1095" t="str">
            <v>CAMPINAS</v>
          </cell>
          <cell r="C1095" t="str">
            <v>PARQUE CANTO DOS BEM TE VIS</v>
          </cell>
          <cell r="D1095" t="str">
            <v>6DFFB245-B140-DE11-B0E7-001F2909E83C</v>
          </cell>
          <cell r="E1095">
            <v>280</v>
          </cell>
        </row>
        <row r="1096">
          <cell r="A1096" t="str">
            <v>CAMPINAS</v>
          </cell>
          <cell r="C1096" t="str">
            <v>PARQUE CANTO DOS CANÁRIOS</v>
          </cell>
          <cell r="D1096" t="str">
            <v>95AC3612-3C5B-DE11-B0E8-001F2909E83C</v>
          </cell>
          <cell r="E1096">
            <v>360</v>
          </cell>
        </row>
        <row r="1097">
          <cell r="A1097" t="str">
            <v>CAMPINAS</v>
          </cell>
          <cell r="C1097" t="str">
            <v>PARQUE CAPITAL</v>
          </cell>
          <cell r="D1097" t="str">
            <v>59413B5D-727F-DD11-8A4F-001B78B9D994</v>
          </cell>
          <cell r="E1097">
            <v>240</v>
          </cell>
        </row>
        <row r="1098">
          <cell r="A1098" t="str">
            <v>CURITIBA</v>
          </cell>
          <cell r="C1098" t="str">
            <v>PARQUE CAPRICCI</v>
          </cell>
          <cell r="D1098" t="str">
            <v>9C500C32-2A74-E511-B93A-80C16E075108</v>
          </cell>
          <cell r="E1098">
            <v>128</v>
          </cell>
        </row>
        <row r="1099">
          <cell r="A1099" t="str">
            <v>CAMPINAS</v>
          </cell>
          <cell r="C1099" t="str">
            <v>PARQUE CAPRICÓRNIO</v>
          </cell>
          <cell r="D1099" t="str">
            <v>D284334D-2B89-DF11-B20E-001F2909E810</v>
          </cell>
          <cell r="E1099">
            <v>200</v>
          </cell>
        </row>
        <row r="1100">
          <cell r="A1100" t="str">
            <v>BETIM</v>
          </cell>
          <cell r="C1100" t="str">
            <v>PARQUE CARAJÁS</v>
          </cell>
          <cell r="D1100" t="str">
            <v>FA691E05-3160-DE11-B0E8-001F2909E83C</v>
          </cell>
          <cell r="E1100">
            <v>320</v>
          </cell>
        </row>
        <row r="1101">
          <cell r="A1101" t="str">
            <v>CAMPINAS</v>
          </cell>
          <cell r="C1101" t="str">
            <v>PARQUE CARIBE</v>
          </cell>
          <cell r="D1101" t="str">
            <v>1FE43CE2-8740-DE11-B0E7-001F2909E83C</v>
          </cell>
          <cell r="E1101">
            <v>0</v>
          </cell>
        </row>
        <row r="1102">
          <cell r="A1102" t="str">
            <v>CATANDUVA</v>
          </cell>
          <cell r="C1102" t="str">
            <v>PARQUE CASA DE BILBAO</v>
          </cell>
          <cell r="D1102" t="str">
            <v>A8586D6E-167C-E011-8AF4-001B78B9D994</v>
          </cell>
          <cell r="E1102">
            <v>160</v>
          </cell>
        </row>
        <row r="1103">
          <cell r="A1103" t="str">
            <v>CATANDUVA</v>
          </cell>
          <cell r="C1103" t="str">
            <v>PARQUE CASA DE CERVANTES</v>
          </cell>
          <cell r="D1103" t="str">
            <v>BAC7C152-CBBD-E411-B5D2-009C02B0CB58</v>
          </cell>
          <cell r="E1103">
            <v>144</v>
          </cell>
        </row>
        <row r="1104">
          <cell r="A1104" t="str">
            <v>CATANDUVA</v>
          </cell>
          <cell r="C1104" t="str">
            <v>PARQUE CASA NOVA</v>
          </cell>
          <cell r="D1104" t="str">
            <v>ED30EE44-E3EC-DF11-B242-001F2909E810</v>
          </cell>
          <cell r="E1104">
            <v>320</v>
          </cell>
        </row>
        <row r="1105">
          <cell r="A1105" t="str">
            <v>CATANDUVA</v>
          </cell>
          <cell r="C1105" t="str">
            <v>PARQUE CASA PIENZA</v>
          </cell>
          <cell r="D1105" t="str">
            <v>34D5DC8D-BDED-E011-8534-001B78B9D994</v>
          </cell>
          <cell r="E1105">
            <v>112</v>
          </cell>
        </row>
        <row r="1106">
          <cell r="A1106" t="str">
            <v>CATANDUVA</v>
          </cell>
          <cell r="C1106" t="str">
            <v>PARQUE CASA PUEBLO</v>
          </cell>
          <cell r="D1106" t="str">
            <v>8EE9ADEF-DB51-E111-85A8-001B78B9D994</v>
          </cell>
          <cell r="E1106">
            <v>224</v>
          </cell>
        </row>
        <row r="1107">
          <cell r="A1107" t="str">
            <v>CAMPOS DOS GOYTACAZES</v>
          </cell>
          <cell r="C1107" t="str">
            <v>PARQUE CASSIS</v>
          </cell>
          <cell r="D1107" t="str">
            <v>3BE51C71-E227-E111-B49C-001F2909E810</v>
          </cell>
          <cell r="E1107">
            <v>384</v>
          </cell>
        </row>
        <row r="1108">
          <cell r="A1108" t="str">
            <v>CAMPO GRANDE</v>
          </cell>
          <cell r="C1108" t="str">
            <v>PARQUE CASTEL DI VERONA</v>
          </cell>
          <cell r="D1108" t="str">
            <v>0CEDCED9-BC9D-E111-A6FC-001B78B9D994</v>
          </cell>
          <cell r="E1108">
            <v>368</v>
          </cell>
        </row>
        <row r="1109">
          <cell r="A1109" t="str">
            <v>CAMPO GRANDE</v>
          </cell>
          <cell r="C1109" t="str">
            <v>PARQUE CASTELFRANCO</v>
          </cell>
          <cell r="D1109" t="str">
            <v>6E8D74F5-DFA0-E111-8EBD-001F2909E810</v>
          </cell>
          <cell r="E1109">
            <v>416</v>
          </cell>
        </row>
        <row r="1110">
          <cell r="A1110" t="str">
            <v>CURITIBA</v>
          </cell>
          <cell r="C1110" t="str">
            <v>PARQUE CASTELLAMMARE</v>
          </cell>
          <cell r="D1110" t="str">
            <v>719CEDC3-083D-E411-B03C-80C16E075108</v>
          </cell>
          <cell r="E1110">
            <v>400</v>
          </cell>
        </row>
        <row r="1111">
          <cell r="A1111" t="str">
            <v>CAMPO GRANDE</v>
          </cell>
          <cell r="C1111" t="str">
            <v>PARQUE CASTELLO DEL MONTE</v>
          </cell>
          <cell r="D1111" t="str">
            <v>3BB130B8-2840-E411-8EFB-009C02B0CB58</v>
          </cell>
          <cell r="E1111">
            <v>196</v>
          </cell>
        </row>
        <row r="1112">
          <cell r="A1112" t="str">
            <v>CAMPO GRANDE</v>
          </cell>
          <cell r="C1112" t="str">
            <v>PARQUE CASTELLO DI BORGUESE</v>
          </cell>
          <cell r="D1112" t="str">
            <v>3C7C05AF-892C-E411-8EFB-009C02B0CB58</v>
          </cell>
          <cell r="E1112">
            <v>200</v>
          </cell>
        </row>
        <row r="1113">
          <cell r="A1113" t="str">
            <v>CAMPO GRANDE</v>
          </cell>
          <cell r="C1113" t="str">
            <v>PARQUE CASTELLO DI NAPOLI</v>
          </cell>
          <cell r="D1113" t="str">
            <v>EED18761-2EA2-E411-B5D2-009C02B0CB58</v>
          </cell>
          <cell r="E1113">
            <v>784</v>
          </cell>
        </row>
        <row r="1114">
          <cell r="A1114" t="str">
            <v>CAMPO GRANDE</v>
          </cell>
          <cell r="C1114" t="str">
            <v>PARQUE CASTELLO DI PALMA</v>
          </cell>
          <cell r="D1114" t="str">
            <v>75B4C612-2A40-E411-8EFB-009C02B0CB58</v>
          </cell>
          <cell r="E1114">
            <v>160</v>
          </cell>
        </row>
        <row r="1115">
          <cell r="A1115" t="str">
            <v>CAMPO GRANDE</v>
          </cell>
          <cell r="C1115" t="str">
            <v>PARQUE CASTELLO DI TORINO</v>
          </cell>
          <cell r="D1115" t="str">
            <v>78EA75D4-4A2C-E411-8EFB-009C02B0CB58</v>
          </cell>
          <cell r="E1115">
            <v>176</v>
          </cell>
        </row>
        <row r="1116">
          <cell r="A1116" t="str">
            <v>CAMPO GRANDE</v>
          </cell>
          <cell r="C1116" t="str">
            <v>PARQUE CASTELO DE MONACO</v>
          </cell>
          <cell r="D1116" t="str">
            <v>C9FE5ED5-C910-DF11-83FF-001F2909E810</v>
          </cell>
          <cell r="E1116">
            <v>528</v>
          </cell>
        </row>
        <row r="1117">
          <cell r="A1117" t="str">
            <v>CAMPINAS</v>
          </cell>
          <cell r="C1117" t="str">
            <v>PARQUE CATARATAS DO IGUAÇU</v>
          </cell>
          <cell r="D1117" t="str">
            <v>BDE4ED59-B6C9-DC11-8D7D-001B7845B4A6</v>
          </cell>
          <cell r="E1117">
            <v>304</v>
          </cell>
        </row>
        <row r="1118">
          <cell r="A1118" t="str">
            <v>CAMPINAS</v>
          </cell>
          <cell r="C1118" t="str">
            <v>PARQUE CATARATAS DO NIÁGARA</v>
          </cell>
          <cell r="D1118" t="str">
            <v>C56E1428-3A8C-DE11-B196-001F2909E83C</v>
          </cell>
          <cell r="E1118">
            <v>304</v>
          </cell>
        </row>
        <row r="1119">
          <cell r="A1119" t="str">
            <v>CAMPINAS</v>
          </cell>
          <cell r="C1119" t="str">
            <v>PARQUE CENTAURO</v>
          </cell>
          <cell r="D1119" t="str">
            <v>9416D6BF-5189-E111-A73F-001F2909E810</v>
          </cell>
          <cell r="E1119">
            <v>40</v>
          </cell>
        </row>
        <row r="1120">
          <cell r="A1120" t="str">
            <v>CAMPINAS</v>
          </cell>
          <cell r="C1120" t="str">
            <v>PARQUE CETUS</v>
          </cell>
          <cell r="D1120" t="str">
            <v>BEF2FD01-F11C-E011-B242-001F2909E810</v>
          </cell>
          <cell r="E1120">
            <v>280</v>
          </cell>
        </row>
        <row r="1121">
          <cell r="A1121" t="str">
            <v>CURITIBA</v>
          </cell>
          <cell r="C1121" t="str">
            <v>PARQUE CHALET</v>
          </cell>
          <cell r="D1121" t="str">
            <v>1494FA2E-14C9-E011-85C2-001F2909E810</v>
          </cell>
          <cell r="E1121">
            <v>160</v>
          </cell>
        </row>
        <row r="1122">
          <cell r="A1122" t="str">
            <v>CUIABÁ</v>
          </cell>
          <cell r="C1122" t="str">
            <v>PARQUE CHAPADA DA COSTA</v>
          </cell>
          <cell r="D1122" t="str">
            <v>7AB74398-D714-E311-BEFC-80C16E075108</v>
          </cell>
          <cell r="E1122">
            <v>356</v>
          </cell>
        </row>
        <row r="1123">
          <cell r="A1123" t="str">
            <v>CUIABÁ</v>
          </cell>
          <cell r="C1123" t="str">
            <v>PARQUE CHAPADA DA SERRA</v>
          </cell>
          <cell r="D1123" t="str">
            <v>D3125F05-F660-E311-B03C-80C16E075108</v>
          </cell>
          <cell r="E1123">
            <v>160</v>
          </cell>
        </row>
        <row r="1124">
          <cell r="A1124" t="str">
            <v>CUIABÁ</v>
          </cell>
          <cell r="C1124" t="str">
            <v>PARQUE CHAPADA DAS OLIVEIRAS</v>
          </cell>
          <cell r="D1124" t="str">
            <v>91B13C2A-480D-E611-A5BB-009C02B0CB58</v>
          </cell>
          <cell r="E1124">
            <v>296</v>
          </cell>
        </row>
        <row r="1125">
          <cell r="A1125" t="str">
            <v>CUIABÁ</v>
          </cell>
          <cell r="C1125" t="str">
            <v>PARQUE CHAPADA DIAMANTINA</v>
          </cell>
          <cell r="D1125" t="str">
            <v>F0EF2F03-AF88-DD11-8A4F-001B78B9D994</v>
          </cell>
          <cell r="E1125">
            <v>608</v>
          </cell>
        </row>
        <row r="1126">
          <cell r="A1126" t="str">
            <v>VÁRZEA GRANDE</v>
          </cell>
          <cell r="C1126" t="str">
            <v>PARQUE CHAPADA DO HORIZONTE</v>
          </cell>
          <cell r="D1126" t="str">
            <v>2109B88C-F864-E011-BDCF-001F2909E810</v>
          </cell>
          <cell r="E1126">
            <v>480</v>
          </cell>
        </row>
        <row r="1127">
          <cell r="A1127" t="str">
            <v>CUIABÁ</v>
          </cell>
          <cell r="C1127" t="str">
            <v>PARQUE CHAPADA DO HORTO</v>
          </cell>
          <cell r="D1127" t="str">
            <v>D250AACA-9030-E011-B242-001F2909E810</v>
          </cell>
          <cell r="E1127">
            <v>128</v>
          </cell>
        </row>
        <row r="1128">
          <cell r="A1128" t="str">
            <v>CUIABÁ</v>
          </cell>
          <cell r="C1128" t="str">
            <v>PARQUE CHAPADA DO MIRANTE</v>
          </cell>
          <cell r="D1128" t="str">
            <v>A40DCFBD-CB54-DD11-BC22-001B78B9D994</v>
          </cell>
          <cell r="E1128">
            <v>576</v>
          </cell>
        </row>
        <row r="1129">
          <cell r="A1129" t="str">
            <v>VÁRZEA GRANDE</v>
          </cell>
          <cell r="C1129" t="str">
            <v>PARQUE CHAPADA DO POENTE</v>
          </cell>
          <cell r="D1129" t="str">
            <v>C267844A-8C30-E011-B242-001F2909E810</v>
          </cell>
          <cell r="E1129">
            <v>488</v>
          </cell>
        </row>
        <row r="1130">
          <cell r="A1130" t="str">
            <v>VÁRZEA GRANDE</v>
          </cell>
          <cell r="C1130" t="str">
            <v>PARQUE CHAPADA DO SOL</v>
          </cell>
          <cell r="D1130" t="str">
            <v>5CF12703-8D75-DF11-9F9A-001F2909E810</v>
          </cell>
          <cell r="E1130">
            <v>160</v>
          </cell>
        </row>
        <row r="1131">
          <cell r="A1131" t="str">
            <v>CUIABÁ</v>
          </cell>
          <cell r="C1131" t="str">
            <v>PARQUE CHAPADA DOS BANDEIRANTES</v>
          </cell>
          <cell r="D1131" t="str">
            <v>DA6622A6-87F1-DF11-B242-001F2909E810</v>
          </cell>
          <cell r="E1131">
            <v>368</v>
          </cell>
        </row>
        <row r="1132">
          <cell r="A1132" t="str">
            <v>VÁRZEA GRANDE</v>
          </cell>
          <cell r="C1132" t="str">
            <v>PARQUE CHAPADA DOS BURITIS</v>
          </cell>
          <cell r="D1132" t="str">
            <v>505E9FC5-1730-E311-9AA3-009C02B0CB58</v>
          </cell>
          <cell r="E1132">
            <v>688</v>
          </cell>
        </row>
        <row r="1133">
          <cell r="A1133" t="str">
            <v>VÁRZEA GRANDE</v>
          </cell>
          <cell r="C1133" t="str">
            <v>PARQUE CHAPADA DOS CAMPOS</v>
          </cell>
          <cell r="D1133" t="str">
            <v>C9C66E66-9A73-E611-ABB6-80C16E075108</v>
          </cell>
          <cell r="E1133">
            <v>292</v>
          </cell>
        </row>
        <row r="1134">
          <cell r="A1134" t="str">
            <v>VÁRZEA GRANDE</v>
          </cell>
          <cell r="C1134" t="str">
            <v>PARQUE CHAPADA DOS CRISTAIS</v>
          </cell>
          <cell r="D1134" t="str">
            <v>027C7C2F-0749-E211-8F8C-009C02B0CB58</v>
          </cell>
          <cell r="E1134">
            <v>176</v>
          </cell>
        </row>
        <row r="1135">
          <cell r="A1135" t="str">
            <v>CUIABÁ</v>
          </cell>
          <cell r="C1135" t="str">
            <v>PARQUE CHAPADA DOS MONTES</v>
          </cell>
          <cell r="D1135" t="str">
            <v>31FE612C-9130-E011-B242-001F2909E810</v>
          </cell>
          <cell r="E1135">
            <v>376</v>
          </cell>
        </row>
        <row r="1136">
          <cell r="A1136" t="str">
            <v>CUIABÁ</v>
          </cell>
          <cell r="C1136" t="str">
            <v>PARQUE CHAPADA DOS PAMPAS</v>
          </cell>
          <cell r="D1136" t="str">
            <v>515A751B-5A25-E011-B242-001F2909E810</v>
          </cell>
          <cell r="E1136">
            <v>336</v>
          </cell>
        </row>
        <row r="1137">
          <cell r="A1137" t="str">
            <v>CUIABÁ</v>
          </cell>
          <cell r="C1137" t="str">
            <v>PARQUE CHAPADA IMPERIAL</v>
          </cell>
          <cell r="D1137" t="str">
            <v>027C898D-889B-DD11-86FB-001B78B9D994</v>
          </cell>
          <cell r="E1137">
            <v>320</v>
          </cell>
        </row>
        <row r="1138">
          <cell r="A1138" t="str">
            <v>CUIABÁ</v>
          </cell>
          <cell r="C1138" t="str">
            <v>PARQUE CHAPADA MANTIQUEIRA</v>
          </cell>
          <cell r="D1138" t="str">
            <v>5B714293-5C3C-E111-9FA8-001F2909E810</v>
          </cell>
          <cell r="E1138">
            <v>660</v>
          </cell>
        </row>
        <row r="1139">
          <cell r="A1139" t="str">
            <v>VÁRZEA GRANDE</v>
          </cell>
          <cell r="C1139" t="str">
            <v>PARQUE CHAPADA VERDE</v>
          </cell>
          <cell r="D1139" t="str">
            <v>8F4F8555-BCB4-E111-AB79-001F2909E810</v>
          </cell>
          <cell r="E1139">
            <v>144</v>
          </cell>
        </row>
        <row r="1140">
          <cell r="A1140" t="str">
            <v>SÃO JOSÉ DOS PINHAIS</v>
          </cell>
          <cell r="C1140" t="str">
            <v>PARQUE CHEVERNY</v>
          </cell>
          <cell r="D1140" t="str">
            <v>32988C42-8ACE-E011-85C2-001F2909E810</v>
          </cell>
          <cell r="E1140">
            <v>224</v>
          </cell>
        </row>
        <row r="1141">
          <cell r="A1141" t="str">
            <v>ARAUCÁRIA</v>
          </cell>
          <cell r="C1141" t="str">
            <v>PARQUE CHIARI</v>
          </cell>
          <cell r="D1141" t="str">
            <v>CFD037B3-3796-E611-ABB6-80C16E075108</v>
          </cell>
          <cell r="E1141">
            <v>224</v>
          </cell>
        </row>
        <row r="1142">
          <cell r="A1142" t="str">
            <v>CAMPINAS</v>
          </cell>
          <cell r="C1142" t="str">
            <v>PARQUE CLAIR DE LUNE</v>
          </cell>
          <cell r="D1142" t="str">
            <v>089F53EA-F1C5-DC11-8D7D-001B7845B4A6</v>
          </cell>
          <cell r="E1142">
            <v>64</v>
          </cell>
        </row>
        <row r="1143">
          <cell r="A1143" t="str">
            <v>ARAUCÁRIA</v>
          </cell>
          <cell r="C1143" t="str">
            <v>PARQUE COLIBRI</v>
          </cell>
          <cell r="D1143" t="str">
            <v>69087609-EB3C-E411-B03C-80C16E075108</v>
          </cell>
          <cell r="E1143">
            <v>224</v>
          </cell>
        </row>
        <row r="1144">
          <cell r="A1144" t="str">
            <v>ARAUCÁRIA</v>
          </cell>
          <cell r="C1144" t="str">
            <v>PARQUE CONSTANCE</v>
          </cell>
          <cell r="D1144" t="str">
            <v>CCAF99F8-420C-E011-B242-001F2909E810</v>
          </cell>
          <cell r="E1144">
            <v>568</v>
          </cell>
        </row>
        <row r="1145">
          <cell r="A1145" t="str">
            <v>CURITIBA</v>
          </cell>
          <cell r="C1145" t="str">
            <v>PARQUE CONTINENTAL</v>
          </cell>
          <cell r="D1145" t="str">
            <v>70257D8F-D602-E011-B242-001F2909E810</v>
          </cell>
          <cell r="E1145">
            <v>168</v>
          </cell>
        </row>
        <row r="1146">
          <cell r="A1146" t="str">
            <v>SÃO JOSÉ DOS PINHAIS</v>
          </cell>
          <cell r="C1146" t="str">
            <v>PARQUE CORAL</v>
          </cell>
          <cell r="D1146" t="str">
            <v>5D4685E7-9A03-E011-B242-001F2909E810</v>
          </cell>
          <cell r="E1146">
            <v>520</v>
          </cell>
        </row>
        <row r="1147">
          <cell r="A1147" t="str">
            <v>CURITIBA</v>
          </cell>
          <cell r="C1147" t="str">
            <v>PARQUE CORDILHEIRA DOS ANDES</v>
          </cell>
          <cell r="D1147" t="str">
            <v>EA020CD4-4639-E611-A62F-80C16E075108</v>
          </cell>
          <cell r="E1147">
            <v>192</v>
          </cell>
        </row>
        <row r="1148">
          <cell r="A1148" t="str">
            <v>COLOMBO</v>
          </cell>
          <cell r="C1148" t="str">
            <v>PARQUE CÓRDOBA</v>
          </cell>
          <cell r="D1148" t="str">
            <v>25A8D594-CBE7-E511-B93A-80C16E075108</v>
          </cell>
          <cell r="E1148">
            <v>192</v>
          </cell>
        </row>
        <row r="1149">
          <cell r="A1149" t="str">
            <v>SÃO JOSÉ DOS PINHAIS</v>
          </cell>
          <cell r="C1149" t="str">
            <v>PARQUE COSTA AZUL</v>
          </cell>
          <cell r="D1149" t="str">
            <v>5E669E6A-2CAE-E411-9DC0-80C16E075108</v>
          </cell>
          <cell r="E1149">
            <v>320</v>
          </cell>
        </row>
        <row r="1150">
          <cell r="A1150" t="str">
            <v>FORTALEZA</v>
          </cell>
          <cell r="C1150" t="str">
            <v>PARQUE DA VINCI</v>
          </cell>
          <cell r="D1150" t="str">
            <v>454C4C54-E3AA-E411-B5D2-009C02B0CB58</v>
          </cell>
          <cell r="E1150">
            <v>432</v>
          </cell>
        </row>
        <row r="1151">
          <cell r="A1151" t="str">
            <v>BETIM</v>
          </cell>
          <cell r="C1151" t="str">
            <v>PARQUE DAKOTA</v>
          </cell>
          <cell r="D1151" t="str">
            <v>DF6DA8D7-4AAE-E111-8D9D-001F2909E810</v>
          </cell>
          <cell r="E1151">
            <v>160</v>
          </cell>
        </row>
        <row r="1152">
          <cell r="A1152" t="str">
            <v>BELO HORIZONTE</v>
          </cell>
          <cell r="C1152" t="str">
            <v>PARQUE DAS ACÁCIAS</v>
          </cell>
          <cell r="D1152" t="str">
            <v>8E7EB9C8-AA89-DD11-8A4F-001B78B9D994</v>
          </cell>
          <cell r="E1152">
            <v>43</v>
          </cell>
        </row>
        <row r="1153">
          <cell r="A1153" t="str">
            <v>CAMPINAS</v>
          </cell>
          <cell r="C1153" t="str">
            <v>PARQUE DAS ÁGUAS_RESIDENCIAL ÁGUA BRANCA</v>
          </cell>
          <cell r="D1153" t="str">
            <v>1AA37DC2-91C0-DD11-9447-001B78B9D994</v>
          </cell>
          <cell r="E1153">
            <v>240</v>
          </cell>
        </row>
        <row r="1154">
          <cell r="A1154" t="str">
            <v>CAMPINAS</v>
          </cell>
          <cell r="C1154" t="str">
            <v>PARQUE DAS ÁGUAS_RESIDENCIAL ÁGUA DOCE</v>
          </cell>
          <cell r="D1154" t="str">
            <v>DB7CFDFA-92C0-DD11-9447-001B78B9D994</v>
          </cell>
          <cell r="E1154">
            <v>240</v>
          </cell>
        </row>
        <row r="1155">
          <cell r="A1155" t="str">
            <v>CAMPINAS</v>
          </cell>
          <cell r="C1155" t="str">
            <v>PARQUE DAS ÁGUAS_RESIDENCIAL ÁGUAS BELAS</v>
          </cell>
          <cell r="D1155" t="str">
            <v>57E9E8EA-96C0-DD11-9447-001B78B9D994</v>
          </cell>
          <cell r="E1155">
            <v>240</v>
          </cell>
        </row>
        <row r="1156">
          <cell r="A1156" t="str">
            <v>CAMPINAS</v>
          </cell>
          <cell r="C1156" t="str">
            <v>PARQUE DAS ÁGUAS_RESIDENCIAL ÁGUAS CLARAS</v>
          </cell>
          <cell r="D1156" t="str">
            <v>9940D368-6EF0-DC11-A2F9-001B7845B4A6</v>
          </cell>
          <cell r="E1156">
            <v>240</v>
          </cell>
        </row>
        <row r="1157">
          <cell r="A1157" t="str">
            <v>CAMPINAS</v>
          </cell>
          <cell r="C1157" t="str">
            <v>PARQUE DAS ÁGUAS_RESIDENCIAL ÁGUAS DA SERRA</v>
          </cell>
          <cell r="D1157" t="str">
            <v>824E0DA2-96C0-DD11-9447-001B78B9D994</v>
          </cell>
          <cell r="E1157">
            <v>240</v>
          </cell>
        </row>
        <row r="1158">
          <cell r="A1158" t="str">
            <v>CAMPINAS</v>
          </cell>
          <cell r="C1158" t="str">
            <v>PARQUE DAS ÁGUAS_RESIDENCIAL ÁGUAS DE LIMEIRA</v>
          </cell>
          <cell r="D1158" t="str">
            <v>E32C6A28-97C0-DD11-9447-001B78B9D994</v>
          </cell>
          <cell r="E1158">
            <v>240</v>
          </cell>
        </row>
        <row r="1159">
          <cell r="A1159" t="str">
            <v>CAMPINAS</v>
          </cell>
          <cell r="C1159" t="str">
            <v>PARQUE DAS ÁGUAS_RESIDENCIAL ÁGUAS DE LINDÓIA</v>
          </cell>
          <cell r="D1159" t="str">
            <v>8CA87E79-94C0-DD11-9447-001B78B9D994</v>
          </cell>
          <cell r="E1159">
            <v>230</v>
          </cell>
        </row>
        <row r="1160">
          <cell r="A1160" t="str">
            <v>CAMPINAS</v>
          </cell>
          <cell r="C1160" t="str">
            <v>PARQUE DAS ÁGUAS_RESIDENCIALÁGUAS FORMOSAS</v>
          </cell>
          <cell r="D1160" t="str">
            <v>1DBE1B40-91C0-DD11-9447-001B78B9D994</v>
          </cell>
          <cell r="E1160">
            <v>240</v>
          </cell>
        </row>
        <row r="1161">
          <cell r="A1161" t="str">
            <v>CAMPINAS</v>
          </cell>
          <cell r="C1161" t="str">
            <v>PARQUE DAS CORES_CORES DO HORIZONTE</v>
          </cell>
          <cell r="D1161" t="str">
            <v>73372897-6A67-E511-8826-80C16E075108</v>
          </cell>
          <cell r="E1161">
            <v>200</v>
          </cell>
        </row>
        <row r="1162">
          <cell r="A1162" t="str">
            <v>CAMPINAS</v>
          </cell>
          <cell r="C1162" t="str">
            <v>PARQUE DAS CORES_GARDEN</v>
          </cell>
          <cell r="D1162" t="str">
            <v>1FFCE4ED-87B8-E911-A2E9-0050568AA20F</v>
          </cell>
          <cell r="E1162">
            <v>89</v>
          </cell>
        </row>
        <row r="1163">
          <cell r="A1163" t="str">
            <v>BELO HORIZONTE</v>
          </cell>
          <cell r="C1163" t="str">
            <v>PARQUE DAS FLORES</v>
          </cell>
          <cell r="D1163" t="str">
            <v>96FA8D6D-7006-DD11-8284-001B7845B4A6</v>
          </cell>
          <cell r="E1163">
            <v>40</v>
          </cell>
        </row>
        <row r="1164">
          <cell r="A1164" t="str">
            <v>APARECIDA</v>
          </cell>
          <cell r="C1164" t="str">
            <v>PARQUE DAS GARDÊNIAS</v>
          </cell>
          <cell r="D1164" t="str">
            <v>9B5BD05B-4D2A-E011-B242-001F2909E810</v>
          </cell>
          <cell r="E1164">
            <v>512</v>
          </cell>
        </row>
        <row r="1165">
          <cell r="A1165" t="str">
            <v>MACEIÓ</v>
          </cell>
          <cell r="C1165" t="str">
            <v>PARQUE DAS ORQUÍDEAS</v>
          </cell>
          <cell r="D1165" t="str">
            <v>2D78E998-C23F-EF11-9143-80C16E075108</v>
          </cell>
          <cell r="E1165">
            <v>0</v>
          </cell>
        </row>
        <row r="1166">
          <cell r="A1166" t="str">
            <v>MACEIÓ</v>
          </cell>
          <cell r="C1166" t="str">
            <v>PARQUE DAS ROSAS</v>
          </cell>
          <cell r="D1166" t="str">
            <v>86614060-C23F-EF11-9143-80C16E075108</v>
          </cell>
          <cell r="E1166">
            <v>0</v>
          </cell>
        </row>
        <row r="1167">
          <cell r="A1167" t="str">
            <v>RIBEIRÃO PRETO</v>
          </cell>
          <cell r="C1167" t="str">
            <v>PARQUE DAS ROSEIRAS</v>
          </cell>
          <cell r="D1167" t="str">
            <v>3ADD9754-AEE9-E411-B5D2-009C02B0CB58</v>
          </cell>
          <cell r="E1167">
            <v>304</v>
          </cell>
        </row>
        <row r="1168">
          <cell r="A1168" t="str">
            <v>MACEIÓ</v>
          </cell>
          <cell r="C1168" t="str">
            <v>PARQUE DAS TULIPAS</v>
          </cell>
          <cell r="D1168" t="str">
            <v>892245FA-C23F-EF11-9143-80C16E075108</v>
          </cell>
          <cell r="E1168">
            <v>0</v>
          </cell>
        </row>
        <row r="1169">
          <cell r="A1169" t="str">
            <v>MACEIÓ</v>
          </cell>
          <cell r="C1169" t="str">
            <v>PARQUE DAS VIOLETAS</v>
          </cell>
          <cell r="D1169" t="str">
            <v>A6D446D2-C23F-EF11-9143-80C16E075108</v>
          </cell>
          <cell r="E1169">
            <v>0</v>
          </cell>
        </row>
        <row r="1170">
          <cell r="A1170" t="str">
            <v>BELO HORIZONTE</v>
          </cell>
          <cell r="C1170" t="str">
            <v>PARQUE DELL ARTE</v>
          </cell>
          <cell r="D1170" t="str">
            <v>F54FB0E6-F8E9-DC11-ABD0-001B7845B4A6</v>
          </cell>
          <cell r="E1170">
            <v>112</v>
          </cell>
        </row>
        <row r="1171">
          <cell r="A1171" t="str">
            <v>SALVADOR</v>
          </cell>
          <cell r="C1171" t="str">
            <v>PARQUE DO CASTELO</v>
          </cell>
          <cell r="D1171" t="str">
            <v>77F416A3-690C-E611-A5BB-009C02B0CB58</v>
          </cell>
          <cell r="E1171">
            <v>260</v>
          </cell>
        </row>
        <row r="1172">
          <cell r="A1172" t="str">
            <v>BELO HORIZONTE</v>
          </cell>
          <cell r="C1172" t="str">
            <v>PARQUE DOS BOUGANVILLES</v>
          </cell>
          <cell r="D1172" t="str">
            <v>3C94E792-8F54-DF11-9F9A-001F2909E810</v>
          </cell>
          <cell r="E1172">
            <v>29</v>
          </cell>
        </row>
        <row r="1173">
          <cell r="A1173" t="str">
            <v>BELO HORIZONTE</v>
          </cell>
          <cell r="C1173" t="str">
            <v>PARQUE DOS BURITIS</v>
          </cell>
          <cell r="D1173" t="str">
            <v>08A3F417-91D9-DC11-ABCF-001B7845B4A6</v>
          </cell>
          <cell r="E1173">
            <v>36</v>
          </cell>
        </row>
        <row r="1174">
          <cell r="A1174" t="str">
            <v>BELO HORIZONTE</v>
          </cell>
          <cell r="C1174" t="str">
            <v>PARQUE DOS LÍRIOS</v>
          </cell>
          <cell r="D1174" t="str">
            <v>6B78E305-819C-DE11-8D16-001F2909E810</v>
          </cell>
          <cell r="E1174">
            <v>0</v>
          </cell>
        </row>
        <row r="1175">
          <cell r="A1175" t="str">
            <v>BELO HORIZONTE</v>
          </cell>
          <cell r="C1175" t="str">
            <v>PARQUE DUBAI</v>
          </cell>
          <cell r="D1175" t="str">
            <v>16FD159E-4BFE-DF11-B242-001F2909E810</v>
          </cell>
          <cell r="E1175">
            <v>424</v>
          </cell>
        </row>
        <row r="1176">
          <cell r="A1176" t="str">
            <v>SÃO LUÍS</v>
          </cell>
          <cell r="C1176" t="str">
            <v>PARQUE DUNAS DA ALVORADA</v>
          </cell>
          <cell r="D1176" t="str">
            <v>C4C3B2B4-188F-E611-B1E9-009C02B0CB58</v>
          </cell>
          <cell r="E1176">
            <v>352</v>
          </cell>
        </row>
        <row r="1177">
          <cell r="A1177" t="str">
            <v>SÃO LUÍS</v>
          </cell>
          <cell r="C1177" t="str">
            <v>PARQUE DUNAS DO LITORAL</v>
          </cell>
          <cell r="D1177" t="str">
            <v>11663BFD-A918-E411-8EFB-009C02B0CB58</v>
          </cell>
          <cell r="E1177">
            <v>292</v>
          </cell>
        </row>
        <row r="1178">
          <cell r="A1178" t="str">
            <v>SÃO LUÍS</v>
          </cell>
          <cell r="C1178" t="str">
            <v>PARQUE DUNAS DO LUAR</v>
          </cell>
          <cell r="D1178" t="str">
            <v>5AB14A50-2DC0-E511-B93A-80C16E075108</v>
          </cell>
          <cell r="E1178">
            <v>468</v>
          </cell>
        </row>
        <row r="1179">
          <cell r="A1179" t="str">
            <v>SÃO JOSÉ DE RIBAMAR</v>
          </cell>
          <cell r="C1179" t="str">
            <v>PARQUE DUNAS DO SOL</v>
          </cell>
          <cell r="D1179" t="str">
            <v>D2AA2F17-DE61-E011-BDCF-001F2909E810</v>
          </cell>
          <cell r="E1179">
            <v>224</v>
          </cell>
        </row>
        <row r="1180">
          <cell r="A1180" t="str">
            <v>DUQUE DE CAXIAS</v>
          </cell>
          <cell r="C1180" t="str">
            <v>PARQUE DUQUE DO ROSÁRIO</v>
          </cell>
          <cell r="D1180" t="str">
            <v>0268558D-1C03-E211-9E30-001F2909E810</v>
          </cell>
          <cell r="E1180">
            <v>210</v>
          </cell>
        </row>
        <row r="1181">
          <cell r="A1181" t="str">
            <v>BELO HORIZONTE</v>
          </cell>
          <cell r="C1181" t="str">
            <v>PARQUE ESTRELA DO ORIENTE</v>
          </cell>
          <cell r="D1181" t="str">
            <v>0D8B4AEE-AC5C-DD11-B13B-001B78B9D994</v>
          </cell>
          <cell r="E1181">
            <v>160</v>
          </cell>
        </row>
        <row r="1182">
          <cell r="A1182" t="str">
            <v>BELO HORIZONTE</v>
          </cell>
          <cell r="C1182" t="str">
            <v>PARQUE FACILE</v>
          </cell>
          <cell r="D1182" t="str">
            <v>63960318-1CDB-DC11-ABCF-001B7845B4A6</v>
          </cell>
          <cell r="E1182">
            <v>134</v>
          </cell>
        </row>
        <row r="1183">
          <cell r="A1183" t="str">
            <v>FORTALEZA</v>
          </cell>
          <cell r="C1183" t="str">
            <v>PARQUE FAROL DA COSTA</v>
          </cell>
          <cell r="D1183" t="str">
            <v>B1D84EE5-BF41-E111-9FA8-001F2909E810</v>
          </cell>
          <cell r="E1183">
            <v>270</v>
          </cell>
        </row>
        <row r="1184">
          <cell r="A1184" t="str">
            <v>FRANCA</v>
          </cell>
          <cell r="C1184" t="str">
            <v>PARQUE FILADÉLFIA</v>
          </cell>
          <cell r="D1184" t="str">
            <v>5245F049-2604-E711-B3B7-009C02B0CB58</v>
          </cell>
          <cell r="E1184">
            <v>160</v>
          </cell>
        </row>
        <row r="1185">
          <cell r="A1185" t="str">
            <v>FEIRA DE SANTANA</v>
          </cell>
          <cell r="C1185" t="str">
            <v>PARQUE FILIPINAS</v>
          </cell>
          <cell r="D1185" t="str">
            <v>38F3A819-48DD-E011-85C2-001F2909E810</v>
          </cell>
          <cell r="E1185">
            <v>336</v>
          </cell>
        </row>
        <row r="1186">
          <cell r="A1186" t="str">
            <v>FORTALEZA</v>
          </cell>
          <cell r="C1186" t="str">
            <v>PARQUE FIORI</v>
          </cell>
          <cell r="D1186" t="str">
            <v>FA3711DB-9D0E-E511-A3A7-80C16E075108</v>
          </cell>
          <cell r="E1186">
            <v>160</v>
          </cell>
        </row>
        <row r="1187">
          <cell r="A1187" t="str">
            <v>FEIRA DE SANTANA</v>
          </cell>
          <cell r="C1187" t="str">
            <v>PARQUE FLORA</v>
          </cell>
          <cell r="D1187" t="str">
            <v>E5E6A06C-1FC6-E311-8EFB-009C02B0CB58</v>
          </cell>
          <cell r="E1187">
            <v>800</v>
          </cell>
        </row>
        <row r="1188">
          <cell r="A1188" t="str">
            <v>FORTALEZA</v>
          </cell>
          <cell r="C1188" t="str">
            <v>PARQUE FLORA DOS OITIS</v>
          </cell>
          <cell r="D1188" t="str">
            <v>BF714D4C-6CCA-E511-9CC2-009C02B0CB58</v>
          </cell>
          <cell r="E1188">
            <v>140</v>
          </cell>
        </row>
        <row r="1189">
          <cell r="A1189" t="str">
            <v>FEIRA DE SANTANA</v>
          </cell>
          <cell r="C1189" t="str">
            <v>PARQUE FLORENÇA</v>
          </cell>
          <cell r="D1189" t="str">
            <v>CA7D72AE-5D77-E211-83E6-80C16E075108</v>
          </cell>
          <cell r="E1189">
            <v>728</v>
          </cell>
        </row>
        <row r="1190">
          <cell r="A1190" t="str">
            <v>SÃO JOSÉ</v>
          </cell>
          <cell r="C1190" t="str">
            <v>PARQUE FLORES DA COSTA</v>
          </cell>
          <cell r="D1190" t="str">
            <v>BEC1DE74-C7D1-E511-B93A-80C16E075108</v>
          </cell>
          <cell r="E1190">
            <v>336</v>
          </cell>
        </row>
        <row r="1191">
          <cell r="A1191" t="str">
            <v>SÃO JOSÉ</v>
          </cell>
          <cell r="C1191" t="str">
            <v>PARQUE FLORES DA ESTAÇÃO</v>
          </cell>
          <cell r="D1191" t="str">
            <v>2B6F897F-D21F-E311-BEFC-80C16E075108</v>
          </cell>
          <cell r="E1191">
            <v>736</v>
          </cell>
        </row>
        <row r="1192">
          <cell r="A1192" t="str">
            <v>SÃO JOSÉ</v>
          </cell>
          <cell r="C1192" t="str">
            <v>PARQUE FLORES DO BOSQUE</v>
          </cell>
          <cell r="D1192" t="str">
            <v>BD34EFB7-B60B-DD11-8284-001B7845B4A6</v>
          </cell>
          <cell r="E1192">
            <v>256</v>
          </cell>
        </row>
        <row r="1193">
          <cell r="A1193" t="str">
            <v>SÃO JOSÉ</v>
          </cell>
          <cell r="C1193" t="str">
            <v>PARQUE FLORES DO CAMPO</v>
          </cell>
          <cell r="D1193" t="str">
            <v>1595CBB2-2EEA-DC11-ABD0-001B7845B4A6</v>
          </cell>
          <cell r="E1193">
            <v>112</v>
          </cell>
        </row>
        <row r="1194">
          <cell r="A1194" t="str">
            <v>SÃO JOSÉ</v>
          </cell>
          <cell r="C1194" t="str">
            <v>PARQUE FLORES DO MAR</v>
          </cell>
          <cell r="D1194" t="str">
            <v>934DA380-E6E9-E511-B93A-80C16E075108</v>
          </cell>
          <cell r="E1194">
            <v>144</v>
          </cell>
        </row>
        <row r="1195">
          <cell r="A1195" t="str">
            <v>PALHOÇA</v>
          </cell>
          <cell r="C1195" t="str">
            <v>PARQUE FLORES DO ORIENTE</v>
          </cell>
          <cell r="D1195" t="str">
            <v>1EBE028A-EC09-E511-A3A7-80C16E075108</v>
          </cell>
          <cell r="E1195">
            <v>192</v>
          </cell>
        </row>
        <row r="1196">
          <cell r="A1196" t="str">
            <v>FORTALEZA</v>
          </cell>
          <cell r="C1196" t="str">
            <v>PARQUE FLUENCE</v>
          </cell>
          <cell r="D1196" t="str">
            <v>62D7A582-536B-E411-B5D2-009C02B0CB58</v>
          </cell>
          <cell r="E1196">
            <v>220</v>
          </cell>
        </row>
        <row r="1197">
          <cell r="A1197" t="str">
            <v>CONTAGEM</v>
          </cell>
          <cell r="C1197" t="str">
            <v>PARQUE FONTANA D ITÁLIA</v>
          </cell>
          <cell r="D1197" t="str">
            <v>0E57A4F8-B7E8-DD11-BD2B-001B78B9D994</v>
          </cell>
          <cell r="E1197">
            <v>128</v>
          </cell>
        </row>
        <row r="1198">
          <cell r="A1198" t="str">
            <v>CONTAGEM</v>
          </cell>
          <cell r="C1198" t="str">
            <v>PARQUE FONTANA MERIDE</v>
          </cell>
          <cell r="D1198" t="str">
            <v>43A9A8F3-26DB-DC11-ABCF-001B7845B4A6</v>
          </cell>
          <cell r="E1198">
            <v>224</v>
          </cell>
        </row>
        <row r="1199">
          <cell r="A1199" t="str">
            <v>CONTAGEM</v>
          </cell>
          <cell r="C1199" t="str">
            <v>PARQUE FONTANE DI ROMA</v>
          </cell>
          <cell r="D1199" t="str">
            <v>05A009CC-50E9-DC11-ABD0-001B7845B4A6</v>
          </cell>
          <cell r="E1199">
            <v>96</v>
          </cell>
        </row>
        <row r="1200">
          <cell r="A1200" t="str">
            <v>FEIRA DE SANTANA</v>
          </cell>
          <cell r="C1200" t="str">
            <v>PARQUE FONTE DOS PÁSSAROS</v>
          </cell>
          <cell r="D1200" t="str">
            <v>BF7D2426-35C5-E111-B8E0-001F2909E810</v>
          </cell>
          <cell r="E1200">
            <v>328</v>
          </cell>
        </row>
        <row r="1201">
          <cell r="A1201" t="str">
            <v>GOIÂNIA</v>
          </cell>
          <cell r="C1201" t="str">
            <v>PARQUE FRANÇA</v>
          </cell>
          <cell r="D1201" t="str">
            <v>06552D9E-57F0-E511-A5BB-009C02B0CB58</v>
          </cell>
          <cell r="E1201">
            <v>208</v>
          </cell>
        </row>
        <row r="1202">
          <cell r="A1202" t="str">
            <v>FRANCA</v>
          </cell>
          <cell r="C1202" t="str">
            <v>PARQUE FREMONT</v>
          </cell>
          <cell r="D1202" t="str">
            <v>D312CAB0-2278-E111-A73F-001F2909E810</v>
          </cell>
          <cell r="E1202">
            <v>592</v>
          </cell>
        </row>
        <row r="1203">
          <cell r="A1203" t="str">
            <v>CAMPOS DOS GOYTACAZES</v>
          </cell>
          <cell r="C1203" t="str">
            <v>PARQUE GAIA</v>
          </cell>
          <cell r="D1203" t="str">
            <v>6BBAE16A-05F1-E111-9E30-001F2909E810</v>
          </cell>
          <cell r="E1203">
            <v>448</v>
          </cell>
        </row>
        <row r="1204">
          <cell r="A1204" t="str">
            <v>CAMPOS DOS GOYTACAZES</v>
          </cell>
          <cell r="C1204" t="str">
            <v>PARQUE GAUDÍ</v>
          </cell>
          <cell r="D1204" t="str">
            <v>DD4AE6FC-1DAF-E111-8D9D-001F2909E810</v>
          </cell>
          <cell r="E1204">
            <v>480</v>
          </cell>
        </row>
        <row r="1205">
          <cell r="A1205" t="str">
            <v>SÃO JOSÉ DO RIO PRETO</v>
          </cell>
          <cell r="C1205" t="str">
            <v>PARQUE GENOVA</v>
          </cell>
          <cell r="D1205" t="str">
            <v>BE6B2B30-62B1-E011-A2D4-001B78B9D994</v>
          </cell>
          <cell r="E1205">
            <v>448</v>
          </cell>
        </row>
        <row r="1206">
          <cell r="A1206" t="str">
            <v>BELO HORIZONTE</v>
          </cell>
          <cell r="C1206" t="str">
            <v>PARQUE GRAMADO</v>
          </cell>
          <cell r="D1206" t="str">
            <v>257657B0-F6E9-DC11-ABD0-001B7845B4A6</v>
          </cell>
          <cell r="E1206">
            <v>240</v>
          </cell>
        </row>
        <row r="1207">
          <cell r="A1207" t="str">
            <v>APARECIDA DE GOIÂNIA</v>
          </cell>
          <cell r="C1207" t="str">
            <v>PARQUE GRAN AMÉRICA</v>
          </cell>
          <cell r="D1207" t="str">
            <v>C1DD912D-B63A-E511-A3A7-80C16E075108</v>
          </cell>
          <cell r="E1207">
            <v>776</v>
          </cell>
        </row>
        <row r="1208">
          <cell r="A1208" t="str">
            <v>APARECIDA DE GOIÂNIA</v>
          </cell>
          <cell r="C1208" t="str">
            <v>PARQUE GRAN IMPÉRIO</v>
          </cell>
          <cell r="D1208" t="str">
            <v>CB94B494-0566-E511-8826-80C16E075108</v>
          </cell>
          <cell r="E1208">
            <v>196</v>
          </cell>
        </row>
        <row r="1209">
          <cell r="A1209" t="str">
            <v>GOIÂNIA</v>
          </cell>
          <cell r="C1209" t="str">
            <v>PARQUE GRAN MILANO</v>
          </cell>
          <cell r="D1209" t="str">
            <v>74091A4D-E50B-E611-A5BB-009C02B0CB58</v>
          </cell>
          <cell r="E1209">
            <v>212</v>
          </cell>
        </row>
        <row r="1210">
          <cell r="A1210" t="str">
            <v>GOIÂNIA</v>
          </cell>
          <cell r="C1210" t="str">
            <v>PARQUE GRAN NAVONA</v>
          </cell>
          <cell r="D1210" t="str">
            <v>D00DCB1C-8722-E611-A5BB-009C02B0CB58</v>
          </cell>
          <cell r="E1210">
            <v>228</v>
          </cell>
        </row>
        <row r="1211">
          <cell r="A1211" t="str">
            <v>APARECIDA DE GOIÂNIA</v>
          </cell>
          <cell r="C1211" t="str">
            <v>PARQUE GRAN PLACE</v>
          </cell>
          <cell r="D1211" t="str">
            <v>AF11A06F-244C-DD11-BC22-001B78B9D994</v>
          </cell>
          <cell r="E1211">
            <v>208</v>
          </cell>
        </row>
        <row r="1212">
          <cell r="A1212" t="str">
            <v>GOIÂNIA</v>
          </cell>
          <cell r="C1212" t="str">
            <v>PARQUE GRAN ROYALLE</v>
          </cell>
          <cell r="D1212" t="str">
            <v>C968092D-C4C5-E511-9CC2-009C02B0CB58</v>
          </cell>
          <cell r="E1212">
            <v>228</v>
          </cell>
        </row>
        <row r="1213">
          <cell r="A1213" t="str">
            <v>GOIÂNIA</v>
          </cell>
          <cell r="C1213" t="str">
            <v>PARQUE GRAN VIENA</v>
          </cell>
          <cell r="D1213" t="str">
            <v>FFD34B13-92A8-E011-BDCF-001F2909E810</v>
          </cell>
          <cell r="E1213">
            <v>656</v>
          </cell>
        </row>
        <row r="1214">
          <cell r="A1214" t="str">
            <v>CONTAGEM</v>
          </cell>
          <cell r="C1214" t="str">
            <v>PARQUE GRAZZI</v>
          </cell>
          <cell r="D1214" t="str">
            <v>A80B5480-E03F-DE11-B0E7-001F2909E83C</v>
          </cell>
          <cell r="E1214">
            <v>48</v>
          </cell>
        </row>
        <row r="1215">
          <cell r="A1215" t="str">
            <v>BELO HORIZONTE</v>
          </cell>
          <cell r="C1215" t="str">
            <v>PARQUE GUADALAJARA CONDOMINIO 01</v>
          </cell>
          <cell r="D1215" t="str">
            <v>1BE7783D-9879-EA11-B686-005056856875</v>
          </cell>
          <cell r="E1215">
            <v>288</v>
          </cell>
        </row>
        <row r="1216">
          <cell r="A1216" t="str">
            <v>BELO HORIZONTE</v>
          </cell>
          <cell r="C1216" t="str">
            <v>PARQUE GUADALAJARA CONDOMÍNIO 02</v>
          </cell>
          <cell r="D1216" t="str">
            <v>A8E69ADA-5A51-E011-BDCF-001F2909E810</v>
          </cell>
          <cell r="E1216">
            <v>288</v>
          </cell>
        </row>
        <row r="1217">
          <cell r="A1217" t="str">
            <v>BETIM</v>
          </cell>
          <cell r="C1217" t="str">
            <v>PARQUE GUAJAJARAS</v>
          </cell>
          <cell r="D1217" t="str">
            <v>7F5035E4-00F8-DF11-B242-001F2909E810</v>
          </cell>
          <cell r="E1217">
            <v>64</v>
          </cell>
        </row>
        <row r="1218">
          <cell r="A1218" t="str">
            <v>CAMPOS DOS GOYTACAZES</v>
          </cell>
          <cell r="C1218" t="str">
            <v>PARQUE GUARANI</v>
          </cell>
          <cell r="D1218" t="str">
            <v>94592FF8-170F-DF11-89FA-001F2909E810</v>
          </cell>
          <cell r="E1218">
            <v>448</v>
          </cell>
        </row>
        <row r="1219">
          <cell r="A1219" t="str">
            <v>HORTOLÂNDIA</v>
          </cell>
          <cell r="C1219" t="str">
            <v>PARQUE HARVARD</v>
          </cell>
          <cell r="D1219" t="str">
            <v>59056004-BE3E-E011-B242-001F2909E810</v>
          </cell>
          <cell r="E1219">
            <v>224</v>
          </cell>
        </row>
        <row r="1220">
          <cell r="A1220" t="str">
            <v>BELO HORIZONTE</v>
          </cell>
          <cell r="C1220" t="str">
            <v>PARQUE HORIZONTE BELO</v>
          </cell>
          <cell r="D1220" t="str">
            <v>9F6C966D-C3DB-DC11-ABCF-001B7845B4A6</v>
          </cell>
          <cell r="E1220">
            <v>80</v>
          </cell>
        </row>
        <row r="1221">
          <cell r="A1221" t="str">
            <v>UBERLÂNDIA</v>
          </cell>
          <cell r="C1221" t="str">
            <v>PARQUE HUMANITÁ</v>
          </cell>
          <cell r="D1221" t="str">
            <v>242B5052-C598-DF11-B20E-001F2909E810</v>
          </cell>
          <cell r="E1221">
            <v>96</v>
          </cell>
        </row>
        <row r="1222">
          <cell r="A1222" t="str">
            <v>UBERLÂNDIA</v>
          </cell>
          <cell r="C1222" t="str">
            <v>PARQUE HUNGRIA</v>
          </cell>
          <cell r="D1222" t="str">
            <v>F39128E1-1186-DF11-B20E-001F2909E810</v>
          </cell>
          <cell r="E1222">
            <v>224</v>
          </cell>
        </row>
        <row r="1223">
          <cell r="A1223" t="str">
            <v>BELO HORIZONTE</v>
          </cell>
          <cell r="C1223" t="str">
            <v>PARQUE IDEALE</v>
          </cell>
          <cell r="D1223" t="str">
            <v>C3D0844F-C9E7-DC11-ABD0-001B7845B4A6</v>
          </cell>
          <cell r="E1223">
            <v>150</v>
          </cell>
        </row>
        <row r="1224">
          <cell r="A1224" t="str">
            <v>ITÚ</v>
          </cell>
          <cell r="C1224" t="str">
            <v>PARQUE ILHA DE MURANO</v>
          </cell>
          <cell r="D1224" t="str">
            <v>8BF85259-E5BE-E011-8272-001F2909E810</v>
          </cell>
          <cell r="E1224">
            <v>256</v>
          </cell>
        </row>
        <row r="1225">
          <cell r="A1225" t="str">
            <v>ITÚ</v>
          </cell>
          <cell r="C1225" t="str">
            <v>PARQUE ILHA DI PASCOA</v>
          </cell>
          <cell r="D1225" t="str">
            <v>3F33BE2F-A692-E011-BDCF-001F2909E810</v>
          </cell>
          <cell r="E1225">
            <v>288</v>
          </cell>
        </row>
        <row r="1226">
          <cell r="A1226" t="str">
            <v>ITÚ</v>
          </cell>
          <cell r="C1226" t="str">
            <v>PARQUE ILHA DO SOL</v>
          </cell>
          <cell r="D1226" t="str">
            <v>A6E9271B-1DCF-E011-85C2-001F2909E810</v>
          </cell>
          <cell r="E1226">
            <v>720</v>
          </cell>
        </row>
        <row r="1227">
          <cell r="A1227" t="str">
            <v>ITÚ</v>
          </cell>
          <cell r="C1227" t="str">
            <v>PARQUE ILHA DOS CORAIS</v>
          </cell>
          <cell r="D1227" t="str">
            <v>E02F9B1B-C6BA-E511-9CC2-009C02B0CB58</v>
          </cell>
          <cell r="E1227">
            <v>320</v>
          </cell>
        </row>
        <row r="1228">
          <cell r="A1228" t="str">
            <v>INDAIATUBA</v>
          </cell>
          <cell r="C1228" t="str">
            <v>PARQUE IMPERATTORE</v>
          </cell>
          <cell r="D1228" t="str">
            <v>8C365149-BB0F-E711-B3B7-009C02B0CB58</v>
          </cell>
          <cell r="E1228">
            <v>224</v>
          </cell>
        </row>
        <row r="1229">
          <cell r="A1229" t="str">
            <v>ITÚ</v>
          </cell>
          <cell r="C1229" t="str">
            <v>PARQUE INCA</v>
          </cell>
          <cell r="D1229" t="str">
            <v>2D4713F6-AE35-DF11-B3AB-001F2909E810</v>
          </cell>
          <cell r="E1229">
            <v>240</v>
          </cell>
        </row>
        <row r="1230">
          <cell r="A1230" t="str">
            <v>SALVADOR</v>
          </cell>
          <cell r="C1230" t="str">
            <v>PARQUE INDEPENDÊNCIA</v>
          </cell>
          <cell r="D1230" t="str">
            <v>3C2662DA-2D7E-E911-AAF3-009C02B0CB58</v>
          </cell>
          <cell r="E1230">
            <v>500</v>
          </cell>
        </row>
        <row r="1231">
          <cell r="A1231" t="str">
            <v>BETIM</v>
          </cell>
          <cell r="C1231" t="str">
            <v>PARQUE INDIANA</v>
          </cell>
          <cell r="D1231" t="str">
            <v>D6551CA4-B230-E511-A3A7-80C16E075108</v>
          </cell>
          <cell r="E1231">
            <v>192</v>
          </cell>
        </row>
        <row r="1232">
          <cell r="A1232" t="str">
            <v>BETIM</v>
          </cell>
          <cell r="C1232" t="str">
            <v>PARQUE IRAJÁ</v>
          </cell>
          <cell r="D1232" t="str">
            <v>1E6DBEB8-AEF8-DF11-B242-001F2909E810</v>
          </cell>
          <cell r="E1232">
            <v>208</v>
          </cell>
        </row>
        <row r="1233">
          <cell r="A1233" t="str">
            <v>JACAREÍ</v>
          </cell>
          <cell r="C1233" t="str">
            <v>PARQUE JACARANDÁ</v>
          </cell>
          <cell r="D1233" t="str">
            <v>C0A21284-FD3C-E511-A3A7-80C16E075108</v>
          </cell>
          <cell r="E1233">
            <v>352</v>
          </cell>
        </row>
        <row r="1234">
          <cell r="A1234" t="str">
            <v>JOÃO PESSOA</v>
          </cell>
          <cell r="C1234" t="str">
            <v>PARQUE JACUMÃ</v>
          </cell>
          <cell r="D1234" t="str">
            <v>9D1432FC-E839-E011-B242-001F2909E810</v>
          </cell>
          <cell r="E1234">
            <v>232</v>
          </cell>
        </row>
        <row r="1235">
          <cell r="A1235" t="str">
            <v>JUIZ DE FORA</v>
          </cell>
          <cell r="C1235" t="str">
            <v>PARQUE JAGUAR</v>
          </cell>
          <cell r="D1235" t="str">
            <v>7777DB43-4E8F-DF11-B20E-001F2909E810</v>
          </cell>
          <cell r="E1235">
            <v>280</v>
          </cell>
        </row>
        <row r="1236">
          <cell r="A1236" t="str">
            <v>JACAREÍ</v>
          </cell>
          <cell r="C1236" t="str">
            <v>PARQUE JAGUARIPE</v>
          </cell>
          <cell r="D1236" t="str">
            <v>7AC36AE5-507D-E311-8EFB-009C02B0CB58</v>
          </cell>
          <cell r="E1236">
            <v>200</v>
          </cell>
        </row>
        <row r="1237">
          <cell r="A1237" t="str">
            <v>JUNDIAÍ</v>
          </cell>
          <cell r="C1237" t="str">
            <v>PARQUE JAMILE</v>
          </cell>
          <cell r="D1237" t="str">
            <v>C6D0BA26-7421-DF11-83FF-001F2909E810</v>
          </cell>
          <cell r="E1237">
            <v>176</v>
          </cell>
        </row>
        <row r="1238">
          <cell r="A1238" t="str">
            <v>JOÃO PESSOA</v>
          </cell>
          <cell r="C1238" t="str">
            <v>PARQUE JARDIM ALTIPLANO</v>
          </cell>
          <cell r="D1238" t="str">
            <v>74DD37F8-DF39-E511-A3A7-80C16E075108</v>
          </cell>
          <cell r="E1238">
            <v>320</v>
          </cell>
        </row>
        <row r="1239">
          <cell r="A1239" t="str">
            <v>JUIZ DE FORA</v>
          </cell>
          <cell r="C1239" t="str">
            <v>PARQUE JARDIM ATLÂNTICO</v>
          </cell>
          <cell r="D1239" t="str">
            <v>3ABEA317-C785-E211-83E6-80C16E075108</v>
          </cell>
          <cell r="E1239">
            <v>440</v>
          </cell>
        </row>
        <row r="1240">
          <cell r="A1240" t="str">
            <v>JOÃO PESSOA</v>
          </cell>
          <cell r="C1240" t="str">
            <v>PARQUE JARDIM DA COSTA</v>
          </cell>
          <cell r="D1240" t="str">
            <v>79EF56EA-1AD2-E311-8EFB-009C02B0CB58</v>
          </cell>
          <cell r="E1240">
            <v>672</v>
          </cell>
        </row>
        <row r="1241">
          <cell r="A1241" t="str">
            <v>CAMPOS DOS GOYTACAZES</v>
          </cell>
          <cell r="C1241" t="str">
            <v>PARQUE JARDIM DAS FIGUEIRAS</v>
          </cell>
          <cell r="D1241" t="str">
            <v>1F41F55F-8AAC-E411-B5D2-009C02B0CB58</v>
          </cell>
          <cell r="E1241">
            <v>276</v>
          </cell>
        </row>
        <row r="1242">
          <cell r="A1242" t="str">
            <v>JUNDIAÍ</v>
          </cell>
          <cell r="C1242" t="str">
            <v>PARQUE JARDIM DAS TULIPAS</v>
          </cell>
          <cell r="D1242" t="str">
            <v>84CEDDCA-3D7D-E311-8EFB-009C02B0CB58</v>
          </cell>
          <cell r="E1242">
            <v>320</v>
          </cell>
        </row>
        <row r="1243">
          <cell r="A1243" t="str">
            <v>JOINVILLE</v>
          </cell>
          <cell r="C1243" t="str">
            <v>PARQUE JARDIM DE NÁPOLES</v>
          </cell>
          <cell r="D1243" t="str">
            <v>CB0A9639-BB76-E611-B1E9-009C02B0CB58</v>
          </cell>
          <cell r="E1243">
            <v>80</v>
          </cell>
        </row>
        <row r="1244">
          <cell r="A1244" t="str">
            <v>JOINVILLE</v>
          </cell>
          <cell r="C1244" t="str">
            <v>PARQUE JARDIM DI STUTTGART</v>
          </cell>
          <cell r="D1244" t="str">
            <v>1DCCA9C0-82C8-E611-B1E9-009C02B0CB58</v>
          </cell>
          <cell r="E1244">
            <v>300</v>
          </cell>
        </row>
        <row r="1245">
          <cell r="A1245" t="str">
            <v>JOÃO PESSOA</v>
          </cell>
          <cell r="C1245" t="str">
            <v>PARQUE JARDIM DO MAR</v>
          </cell>
          <cell r="D1245" t="str">
            <v>E50908DD-F24F-E011-BDCF-001F2909E810</v>
          </cell>
          <cell r="E1245">
            <v>486</v>
          </cell>
        </row>
        <row r="1246">
          <cell r="A1246" t="str">
            <v>JOINVILLE</v>
          </cell>
          <cell r="C1246" t="str">
            <v>PARQUE JARDIM DO ROUXINOL</v>
          </cell>
          <cell r="D1246" t="str">
            <v>7D9BA3EF-0C8A-E411-9DC0-80C16E075108</v>
          </cell>
          <cell r="E1246">
            <v>100</v>
          </cell>
        </row>
        <row r="1247">
          <cell r="A1247" t="str">
            <v>JOINVILLE</v>
          </cell>
          <cell r="C1247" t="str">
            <v>PARQUE JARDIM DOS AÇORES</v>
          </cell>
          <cell r="D1247" t="str">
            <v>183EE403-772F-E411-8EFB-009C02B0CB58</v>
          </cell>
          <cell r="E1247">
            <v>112</v>
          </cell>
        </row>
        <row r="1248">
          <cell r="A1248" t="str">
            <v>JUIZ DE FORA</v>
          </cell>
          <cell r="C1248" t="str">
            <v>PARQUE JARDIM DOS BANDEIRANTES</v>
          </cell>
          <cell r="D1248" t="str">
            <v>68E74DFD-4C80-E211-83E6-80C16E075108</v>
          </cell>
          <cell r="E1248">
            <v>460</v>
          </cell>
        </row>
        <row r="1249">
          <cell r="A1249" t="str">
            <v>JUIZ DE FORA</v>
          </cell>
          <cell r="C1249" t="str">
            <v>PARQUE JARDIM LIBERDADE</v>
          </cell>
          <cell r="D1249" t="str">
            <v>A3D7E3C2-BD63-E511-8826-80C16E075108</v>
          </cell>
          <cell r="E1249">
            <v>460</v>
          </cell>
        </row>
        <row r="1250">
          <cell r="A1250" t="str">
            <v>JOINVILLE</v>
          </cell>
          <cell r="C1250" t="str">
            <v>PARQUE JARDIM LUXEMBURGO</v>
          </cell>
          <cell r="D1250" t="str">
            <v>6D7D17CF-7E0B-E511-A3A7-80C16E075108</v>
          </cell>
          <cell r="E1250">
            <v>140</v>
          </cell>
        </row>
        <row r="1251">
          <cell r="A1251" t="str">
            <v>JUIZ DE FORA</v>
          </cell>
          <cell r="C1251" t="str">
            <v>PARQUE JARDIM SUPREMO</v>
          </cell>
          <cell r="D1251" t="str">
            <v>FFB0A1FB-B18E-E911-A3A8-0050568AA20F</v>
          </cell>
          <cell r="E1251">
            <v>240</v>
          </cell>
        </row>
        <row r="1252">
          <cell r="A1252" t="str">
            <v>JUIZ DE FORA</v>
          </cell>
          <cell r="C1252" t="str">
            <v>PARQUE JARDIM TIRADENTES</v>
          </cell>
          <cell r="D1252" t="str">
            <v>CAAEBA43-39F0-E511-A5BB-009C02B0CB58</v>
          </cell>
          <cell r="E1252">
            <v>320</v>
          </cell>
        </row>
        <row r="1253">
          <cell r="A1253" t="str">
            <v>JACAREÍ</v>
          </cell>
          <cell r="C1253" t="str">
            <v>PARQUE JERICOACOARA</v>
          </cell>
          <cell r="D1253" t="str">
            <v>7D009A13-09BC-E311-B03C-80C16E075108</v>
          </cell>
          <cell r="E1253">
            <v>228</v>
          </cell>
        </row>
        <row r="1254">
          <cell r="A1254" t="str">
            <v>JACAREÍ</v>
          </cell>
          <cell r="C1254" t="str">
            <v>PARQUE JOATINGA</v>
          </cell>
          <cell r="D1254" t="str">
            <v>77539EE4-257A-E411-B5D2-009C02B0CB58</v>
          </cell>
          <cell r="E1254">
            <v>208</v>
          </cell>
        </row>
        <row r="1255">
          <cell r="A1255" t="str">
            <v>JACAREÍ</v>
          </cell>
          <cell r="C1255" t="str">
            <v>PARQUE JOINVILLE</v>
          </cell>
          <cell r="D1255" t="str">
            <v>34E70C77-F48D-E011-BDCF-001F2909E810</v>
          </cell>
          <cell r="E1255">
            <v>656</v>
          </cell>
        </row>
        <row r="1256">
          <cell r="A1256" t="str">
            <v>BELO HORIZONTE</v>
          </cell>
          <cell r="C1256" t="str">
            <v>PARQUE JUBILEU</v>
          </cell>
          <cell r="D1256" t="str">
            <v>36642C15-AD5C-DD11-B13B-001B78B9D994</v>
          </cell>
          <cell r="E1256">
            <v>120</v>
          </cell>
        </row>
        <row r="1257">
          <cell r="A1257" t="str">
            <v>LONDRINA</v>
          </cell>
          <cell r="C1257" t="str">
            <v>PARQUE LA BELLE</v>
          </cell>
          <cell r="D1257" t="str">
            <v>C24E1318-8B64-E611-ABB6-80C16E075108</v>
          </cell>
          <cell r="E1257">
            <v>112</v>
          </cell>
        </row>
        <row r="1258">
          <cell r="A1258" t="str">
            <v>BELO HORIZONTE</v>
          </cell>
          <cell r="C1258" t="str">
            <v>PARQUE LA TERRE</v>
          </cell>
          <cell r="D1258" t="str">
            <v>502F5FAC-86D9-DC11-ABCF-001B7845B4A6</v>
          </cell>
          <cell r="E1258">
            <v>130</v>
          </cell>
        </row>
        <row r="1259">
          <cell r="A1259" t="str">
            <v>LAGOA SANTA</v>
          </cell>
          <cell r="C1259" t="str">
            <v>PARQUE LAGOA BELA</v>
          </cell>
          <cell r="D1259" t="str">
            <v>3F721E6C-B8E0-E111-A5A4-001F2909E810</v>
          </cell>
          <cell r="E1259">
            <v>384</v>
          </cell>
        </row>
        <row r="1260">
          <cell r="A1260" t="str">
            <v>LAGOA SANTA</v>
          </cell>
          <cell r="C1260" t="str">
            <v>PARQUE LAGOA DO OURO</v>
          </cell>
          <cell r="D1260" t="str">
            <v>D52683C8-DF65-E511-8826-80C16E075108</v>
          </cell>
          <cell r="E1260">
            <v>500</v>
          </cell>
        </row>
        <row r="1261">
          <cell r="A1261" t="str">
            <v>LAGOA SANTA</v>
          </cell>
          <cell r="C1261" t="str">
            <v>PARQUE LAGOA DOS CRISTAIS</v>
          </cell>
          <cell r="D1261" t="str">
            <v>62DBAB62-A672-E511-A9EE-009C02B0CB58</v>
          </cell>
          <cell r="E1261">
            <v>384</v>
          </cell>
        </row>
        <row r="1262">
          <cell r="A1262" t="str">
            <v>LAGOA SANTA</v>
          </cell>
          <cell r="C1262" t="str">
            <v>PARQUE LAGOA DOS PRÍNCIPES</v>
          </cell>
          <cell r="D1262" t="str">
            <v>0A6741F5-B44F-E411-B03C-80C16E075108</v>
          </cell>
          <cell r="E1262">
            <v>192</v>
          </cell>
        </row>
        <row r="1263">
          <cell r="A1263" t="str">
            <v>LAGOA SANTA</v>
          </cell>
          <cell r="C1263" t="str">
            <v>PARQUE LAGOA NOVA</v>
          </cell>
          <cell r="D1263" t="str">
            <v>D99C89E2-A187-E411-B5D2-009C02B0CB58</v>
          </cell>
          <cell r="E1263">
            <v>64</v>
          </cell>
        </row>
        <row r="1264">
          <cell r="A1264" t="str">
            <v>LIMEIRA</v>
          </cell>
          <cell r="C1264" t="str">
            <v>PARQUE LIBERTY</v>
          </cell>
          <cell r="D1264" t="str">
            <v>6F6BA83E-B93C-DF11-9F9A-001F2909E810</v>
          </cell>
          <cell r="E1264">
            <v>416</v>
          </cell>
        </row>
        <row r="1265">
          <cell r="A1265" t="str">
            <v>LONDRINA</v>
          </cell>
          <cell r="C1265" t="str">
            <v>PARQUE LIMA</v>
          </cell>
          <cell r="D1265" t="str">
            <v>9E57E7F7-91E7-E511-9CC2-009C02B0CB58</v>
          </cell>
          <cell r="E1265">
            <v>96</v>
          </cell>
        </row>
        <row r="1266">
          <cell r="A1266" t="str">
            <v>CAMBÉ</v>
          </cell>
          <cell r="C1266" t="str">
            <v>PARQUE LÍNEA</v>
          </cell>
          <cell r="D1266" t="str">
            <v>53787F6E-2696-E611-ABB6-80C16E075108</v>
          </cell>
          <cell r="E1266">
            <v>224</v>
          </cell>
        </row>
        <row r="1267">
          <cell r="A1267" t="str">
            <v>LONDRINA</v>
          </cell>
          <cell r="C1267" t="str">
            <v>PARQUE LISBOA</v>
          </cell>
          <cell r="D1267" t="str">
            <v>A22AFFAA-91E7-E511-9CC2-009C02B0CB58</v>
          </cell>
          <cell r="E1267">
            <v>128</v>
          </cell>
        </row>
        <row r="1268">
          <cell r="A1268" t="str">
            <v>LIMEIRA</v>
          </cell>
          <cell r="C1268" t="str">
            <v>PARQUE LIVORNO</v>
          </cell>
          <cell r="D1268" t="str">
            <v>F9668911-069A-E611-ABB6-80C16E075108</v>
          </cell>
          <cell r="E1268">
            <v>100</v>
          </cell>
        </row>
        <row r="1269">
          <cell r="A1269" t="str">
            <v>CAMBÉ</v>
          </cell>
          <cell r="C1269" t="str">
            <v>PARQUE LIZ</v>
          </cell>
          <cell r="D1269" t="str">
            <v>57899286-0031-E711-B3B8-009C02B0CB58</v>
          </cell>
          <cell r="E1269">
            <v>96</v>
          </cell>
        </row>
        <row r="1270">
          <cell r="A1270" t="str">
            <v>LIMEIRA</v>
          </cell>
          <cell r="C1270" t="str">
            <v>PARQUE LONDON</v>
          </cell>
          <cell r="D1270" t="str">
            <v>08DC4CCD-D33C-DF11-9F9A-001F2909E810</v>
          </cell>
          <cell r="E1270">
            <v>208</v>
          </cell>
        </row>
        <row r="1271">
          <cell r="A1271" t="str">
            <v>LIMEIRA</v>
          </cell>
          <cell r="C1271" t="str">
            <v>PARQUE LOS ALPES</v>
          </cell>
          <cell r="D1271" t="str">
            <v>5DBC4C95-0FDA-E011-85C2-001F2909E810</v>
          </cell>
          <cell r="E1271">
            <v>368</v>
          </cell>
        </row>
        <row r="1272">
          <cell r="A1272" t="str">
            <v>LIMEIRA</v>
          </cell>
          <cell r="C1272" t="str">
            <v>PARQUE LUA NOVA</v>
          </cell>
          <cell r="D1272" t="str">
            <v>94B701C9-B158-E511-8DE6-009C02B0CB58</v>
          </cell>
          <cell r="E1272">
            <v>368</v>
          </cell>
        </row>
        <row r="1273">
          <cell r="A1273" t="str">
            <v>CAMBÉ</v>
          </cell>
          <cell r="C1273" t="str">
            <v>PARQUE LYRA</v>
          </cell>
          <cell r="D1273" t="str">
            <v>5961C5BE-B046-E111-9FA8-001F2909E810</v>
          </cell>
          <cell r="E1273">
            <v>192</v>
          </cell>
        </row>
        <row r="1274">
          <cell r="A1274" t="str">
            <v>MARÍLIA</v>
          </cell>
          <cell r="C1274" t="str">
            <v>PARQUE MADRI</v>
          </cell>
          <cell r="D1274" t="str">
            <v>3B862835-52C4-E511-B93A-80C16E075108</v>
          </cell>
          <cell r="E1274">
            <v>400</v>
          </cell>
        </row>
        <row r="1275">
          <cell r="A1275" t="str">
            <v>MARÍLIA</v>
          </cell>
          <cell r="C1275" t="str">
            <v>PARQUE MALÁSIA</v>
          </cell>
          <cell r="D1275" t="str">
            <v>5442AC05-B777-E711-BE5B-0050568A2E98</v>
          </cell>
          <cell r="E1275">
            <v>432</v>
          </cell>
        </row>
        <row r="1276">
          <cell r="A1276" t="str">
            <v>MACAÉ</v>
          </cell>
          <cell r="C1276" t="str">
            <v>PARQUE MALTA</v>
          </cell>
          <cell r="D1276" t="str">
            <v>D3A57EA1-A962-E811-A558-009C02B0CB58</v>
          </cell>
          <cell r="E1276">
            <v>400</v>
          </cell>
        </row>
        <row r="1277">
          <cell r="A1277" t="str">
            <v>MIRASSOL</v>
          </cell>
          <cell r="C1277" t="str">
            <v>PARQUE MANHATTAN</v>
          </cell>
          <cell r="D1277" t="str">
            <v>7ABC0572-48C8-E011-9E71-001B78B9D994</v>
          </cell>
          <cell r="E1277">
            <v>320</v>
          </cell>
        </row>
        <row r="1278">
          <cell r="A1278" t="str">
            <v>MACAÉ</v>
          </cell>
          <cell r="C1278" t="str">
            <v>PARQUE MAR BÁLTICO</v>
          </cell>
          <cell r="D1278" t="str">
            <v>4D80B01E-2E85-DF11-B20E-001F2909E810</v>
          </cell>
          <cell r="E1278">
            <v>560</v>
          </cell>
        </row>
        <row r="1279">
          <cell r="A1279" t="str">
            <v>MACEIÓ</v>
          </cell>
          <cell r="C1279" t="str">
            <v>PARQUE MAR DE PORTUGAL</v>
          </cell>
          <cell r="D1279" t="str">
            <v>3F23E76B-9CA2-E511-B93A-80C16E075108</v>
          </cell>
          <cell r="E1279">
            <v>180</v>
          </cell>
        </row>
        <row r="1280">
          <cell r="A1280" t="str">
            <v>MACAÉ</v>
          </cell>
          <cell r="C1280" t="str">
            <v>PARQUE MAR DEL PLATA</v>
          </cell>
          <cell r="D1280" t="str">
            <v>4981EEC8-B221-E211-9E30-001F2909E810</v>
          </cell>
          <cell r="E1280">
            <v>400</v>
          </cell>
        </row>
        <row r="1281">
          <cell r="A1281" t="str">
            <v>MACAÉ</v>
          </cell>
          <cell r="C1281" t="str">
            <v>PARQUE MAR DO CARIBE</v>
          </cell>
          <cell r="D1281" t="str">
            <v>D49F87F4-F87D-DF11-B20E-001F2909E810</v>
          </cell>
          <cell r="E1281">
            <v>480</v>
          </cell>
        </row>
        <row r="1282">
          <cell r="A1282" t="str">
            <v>MACAÉ</v>
          </cell>
          <cell r="C1282" t="str">
            <v>PARQUE MAR MEDITERRÂNEO</v>
          </cell>
          <cell r="D1282" t="str">
            <v>436F7E70-65A2-E411-B5D2-009C02B0CB58</v>
          </cell>
          <cell r="E1282">
            <v>368</v>
          </cell>
        </row>
        <row r="1283">
          <cell r="A1283" t="str">
            <v>MACAÉ</v>
          </cell>
          <cell r="C1283" t="str">
            <v>PARQUE MARACAIBO</v>
          </cell>
          <cell r="D1283" t="str">
            <v>C411D336-C470-E011-BDCF-001F2909E810</v>
          </cell>
          <cell r="E1283">
            <v>320</v>
          </cell>
        </row>
        <row r="1284">
          <cell r="A1284" t="str">
            <v>MOGI DAS CRUZES</v>
          </cell>
          <cell r="C1284" t="str">
            <v>PARQUE MARAVILHA</v>
          </cell>
          <cell r="D1284" t="str">
            <v>5463BAD6-01BD-E411-B5D2-009C02B0CB58</v>
          </cell>
          <cell r="E1284">
            <v>480</v>
          </cell>
        </row>
        <row r="1285">
          <cell r="A1285" t="str">
            <v>MARÍLIA</v>
          </cell>
          <cell r="C1285" t="str">
            <v>PARQUE MARFIM</v>
          </cell>
          <cell r="D1285" t="str">
            <v>809EBE73-AB58-E611-B1E9-009C02B0CB58</v>
          </cell>
          <cell r="E1285">
            <v>196</v>
          </cell>
        </row>
        <row r="1286">
          <cell r="A1286" t="str">
            <v>MOGI DAS CRUZES</v>
          </cell>
          <cell r="C1286" t="str">
            <v>PARQUE MARYLAND</v>
          </cell>
          <cell r="D1286" t="str">
            <v>8C732389-0902-E011-B242-001F2909E810</v>
          </cell>
          <cell r="E1286">
            <v>360</v>
          </cell>
        </row>
        <row r="1287">
          <cell r="A1287" t="str">
            <v>CONTAGEM</v>
          </cell>
          <cell r="C1287" t="str">
            <v>PARQUE MATA ATLÂNTICA</v>
          </cell>
          <cell r="D1287" t="str">
            <v>10BABEC5-54E9-DC11-ABD0-001B7845B4A6</v>
          </cell>
          <cell r="E1287">
            <v>520</v>
          </cell>
        </row>
        <row r="1288">
          <cell r="A1288" t="str">
            <v>MOGI DAS CRUZES</v>
          </cell>
          <cell r="C1288" t="str">
            <v>PARQUE MEMPHIS</v>
          </cell>
          <cell r="D1288" t="str">
            <v>5EB07DF8-0902-E011-B242-001F2909E810</v>
          </cell>
          <cell r="E1288">
            <v>360</v>
          </cell>
        </row>
        <row r="1289">
          <cell r="A1289" t="str">
            <v>MARÍLIA</v>
          </cell>
          <cell r="C1289" t="str">
            <v>PARQUE MERIDIEN</v>
          </cell>
          <cell r="D1289" t="str">
            <v>073D3FDC-8A4A-E011-8AF4-001B78B9D994</v>
          </cell>
          <cell r="E1289">
            <v>160</v>
          </cell>
        </row>
        <row r="1290">
          <cell r="A1290" t="str">
            <v>CONTAGEM</v>
          </cell>
          <cell r="C1290" t="str">
            <v>PARQUE MESSINA</v>
          </cell>
          <cell r="D1290" t="str">
            <v>3CA288EE-B54E-DE11-B0E8-001F2909E83C</v>
          </cell>
          <cell r="E1290">
            <v>96</v>
          </cell>
        </row>
        <row r="1291">
          <cell r="A1291" t="str">
            <v>FORTALEZA</v>
          </cell>
          <cell r="C1291" t="str">
            <v>PARQUE MICHELANGELO</v>
          </cell>
          <cell r="D1291" t="str">
            <v>6DA56382-E3AA-E411-B5D2-009C02B0CB58</v>
          </cell>
          <cell r="E1291">
            <v>224</v>
          </cell>
        </row>
        <row r="1292">
          <cell r="A1292" t="str">
            <v>MOGI DAS CRUZES</v>
          </cell>
          <cell r="C1292" t="str">
            <v>PARQUE MICHIGAN</v>
          </cell>
          <cell r="D1292" t="str">
            <v>82F17E95-0702-E011-B242-001F2909E810</v>
          </cell>
          <cell r="E1292">
            <v>360</v>
          </cell>
        </row>
        <row r="1293">
          <cell r="A1293" t="str">
            <v>MARÍLIA</v>
          </cell>
          <cell r="C1293" t="str">
            <v>PARQUE MIRABILIS</v>
          </cell>
          <cell r="D1293" t="str">
            <v>CC0E0CD4-08B2-E011-8272-001F2909E810</v>
          </cell>
          <cell r="E1293">
            <v>288</v>
          </cell>
        </row>
        <row r="1294">
          <cell r="A1294" t="str">
            <v>MOGI DAS CRUZES</v>
          </cell>
          <cell r="C1294" t="str">
            <v>PARQUE MISSISSIPI</v>
          </cell>
          <cell r="D1294" t="str">
            <v>DD50C447-0902-E011-B242-001F2909E810</v>
          </cell>
          <cell r="E1294">
            <v>340</v>
          </cell>
        </row>
        <row r="1295">
          <cell r="A1295" t="str">
            <v>MOGI DAS CRUZES</v>
          </cell>
          <cell r="C1295" t="str">
            <v>PARQUE MONTALCINO</v>
          </cell>
          <cell r="D1295" t="str">
            <v>400134C3-09BF-DE11-B17D-001B78B9D994</v>
          </cell>
          <cell r="E1295">
            <v>400</v>
          </cell>
        </row>
        <row r="1296">
          <cell r="A1296" t="str">
            <v>SÃO CARLOS</v>
          </cell>
          <cell r="C1296" t="str">
            <v>PARQUE MONTE ATHOS</v>
          </cell>
          <cell r="D1296" t="str">
            <v>D28E0CD6-BD2D-E611-A5BB-009C02B0CB58</v>
          </cell>
          <cell r="E1296">
            <v>176</v>
          </cell>
        </row>
        <row r="1297">
          <cell r="A1297" t="str">
            <v>MONTES CLAROS</v>
          </cell>
          <cell r="C1297" t="str">
            <v>PARQUE MONTE CERRADO</v>
          </cell>
          <cell r="D1297" t="str">
            <v>778ECB1C-4512-E811-B989-80C16E075108</v>
          </cell>
          <cell r="E1297">
            <v>320</v>
          </cell>
        </row>
        <row r="1298">
          <cell r="A1298" t="str">
            <v>MONTES CLAROS</v>
          </cell>
          <cell r="C1298" t="str">
            <v>PARQUE MONTE CRISTAL</v>
          </cell>
          <cell r="D1298" t="str">
            <v>4CA44F48-BCD7-E011-85C2-001F2909E810</v>
          </cell>
          <cell r="E1298">
            <v>560</v>
          </cell>
        </row>
        <row r="1299">
          <cell r="A1299" t="str">
            <v>SÃO CARLOS</v>
          </cell>
          <cell r="C1299" t="str">
            <v>PARQUE MONTE D'ORO</v>
          </cell>
          <cell r="D1299" t="str">
            <v>328C42BD-1666-E511-A9EE-009C02B0CB58</v>
          </cell>
          <cell r="E1299">
            <v>224</v>
          </cell>
        </row>
        <row r="1300">
          <cell r="A1300" t="str">
            <v>MONTES CLAROS</v>
          </cell>
          <cell r="C1300" t="str">
            <v>PARQUE MONTE ESMERALDA</v>
          </cell>
          <cell r="D1300" t="str">
            <v>577E4445-774F-E211-83E6-80C16E075108</v>
          </cell>
          <cell r="E1300">
            <v>360</v>
          </cell>
        </row>
        <row r="1301">
          <cell r="A1301" t="str">
            <v>SÃO CARLOS</v>
          </cell>
          <cell r="C1301" t="str">
            <v>PARQUE MONTE EUROPA</v>
          </cell>
          <cell r="D1301" t="str">
            <v>148F2A41-F567-DF11-9F9A-001F2909E810</v>
          </cell>
          <cell r="E1301">
            <v>100</v>
          </cell>
        </row>
        <row r="1302">
          <cell r="A1302" t="str">
            <v>SÃO CARLOS</v>
          </cell>
          <cell r="C1302" t="str">
            <v>PARQUE MONTE EVEREST</v>
          </cell>
          <cell r="D1302" t="str">
            <v>8E692368-2182-E011-BDCF-001F2909E810</v>
          </cell>
          <cell r="E1302">
            <v>532</v>
          </cell>
        </row>
        <row r="1303">
          <cell r="A1303" t="str">
            <v>MONTES CLAROS</v>
          </cell>
          <cell r="C1303" t="str">
            <v>PARQUE MONTE FIORE</v>
          </cell>
          <cell r="D1303" t="str">
            <v>E7FB4198-A9D4-E011-85C2-001F2909E810</v>
          </cell>
          <cell r="E1303">
            <v>600</v>
          </cell>
        </row>
        <row r="1304">
          <cell r="A1304" t="str">
            <v>SÃO CARLOS</v>
          </cell>
          <cell r="C1304" t="str">
            <v>PARQUE MONTE LOGAN</v>
          </cell>
          <cell r="D1304" t="str">
            <v>C8D63D78-0311-DF11-83FF-001F2909E810</v>
          </cell>
          <cell r="E1304">
            <v>224</v>
          </cell>
        </row>
        <row r="1305">
          <cell r="A1305" t="str">
            <v>SÃO CARLOS</v>
          </cell>
          <cell r="C1305" t="str">
            <v>PARQUE MONTE NEVADA</v>
          </cell>
          <cell r="D1305" t="str">
            <v>6CCEDB8A-EE59-DF11-9F9A-001F2909E810</v>
          </cell>
          <cell r="E1305">
            <v>160</v>
          </cell>
        </row>
        <row r="1306">
          <cell r="A1306" t="str">
            <v>SÃO CARLOS</v>
          </cell>
          <cell r="C1306" t="str">
            <v>PARQUE MONTE OLIMPO</v>
          </cell>
          <cell r="D1306" t="str">
            <v>18B858E3-E459-DF11-9F9A-001F2909E810</v>
          </cell>
          <cell r="E1306">
            <v>100</v>
          </cell>
        </row>
        <row r="1307">
          <cell r="A1307" t="str">
            <v>MONTES CLAROS</v>
          </cell>
          <cell r="C1307" t="str">
            <v>PARQUE MONTE SAFIRA</v>
          </cell>
          <cell r="D1307" t="str">
            <v>A19FD797-7BC2-E411-B5D2-009C02B0CB58</v>
          </cell>
          <cell r="E1307">
            <v>0</v>
          </cell>
        </row>
        <row r="1308">
          <cell r="A1308" t="str">
            <v>MONTES CLAROS</v>
          </cell>
          <cell r="C1308" t="str">
            <v>PARQUE MONTE SOLARE</v>
          </cell>
          <cell r="D1308" t="str">
            <v>9AF5C6D7-63DF-E211-83E6-80C16E075108</v>
          </cell>
          <cell r="E1308">
            <v>430</v>
          </cell>
        </row>
        <row r="1309">
          <cell r="A1309" t="str">
            <v>SÃO CARLOS</v>
          </cell>
          <cell r="C1309" t="str">
            <v>PARQUE MONTE STELLA</v>
          </cell>
          <cell r="D1309" t="str">
            <v>7DF99527-93DC-E511-9CC2-009C02B0CB58</v>
          </cell>
          <cell r="E1309">
            <v>496</v>
          </cell>
        </row>
        <row r="1310">
          <cell r="A1310" t="str">
            <v>MACAÉ</v>
          </cell>
          <cell r="C1310" t="str">
            <v>PARQUE MONZA</v>
          </cell>
          <cell r="D1310" t="str">
            <v>DFC091F4-EE9F-E811-8D3F-80C16E075108</v>
          </cell>
          <cell r="E1310">
            <v>288</v>
          </cell>
        </row>
        <row r="1311">
          <cell r="A1311" t="str">
            <v>MOGI GUAÇU</v>
          </cell>
          <cell r="C1311" t="str">
            <v>PARQUE MORADA DO CAMPO</v>
          </cell>
          <cell r="D1311" t="str">
            <v>331AC948-8F92-E011-BDCF-001F2909E810</v>
          </cell>
          <cell r="E1311">
            <v>320</v>
          </cell>
        </row>
        <row r="1312">
          <cell r="A1312" t="str">
            <v>SETE LAGOAS</v>
          </cell>
          <cell r="C1312" t="str">
            <v>PARQUE MORADAS DA SERRA</v>
          </cell>
          <cell r="D1312" t="str">
            <v>B2B881BB-28A4-E511-B93A-80C16E075108</v>
          </cell>
          <cell r="E1312">
            <v>216</v>
          </cell>
        </row>
        <row r="1313">
          <cell r="A1313" t="str">
            <v>BELO HORIZONTE</v>
          </cell>
          <cell r="C1313" t="str">
            <v>PARQUE MUSIQUE</v>
          </cell>
          <cell r="D1313" t="str">
            <v>AD75F6DF-3288-DE11-9553-001F2909E83C</v>
          </cell>
          <cell r="E1313">
            <v>192</v>
          </cell>
        </row>
        <row r="1314">
          <cell r="A1314" t="str">
            <v>NATAL</v>
          </cell>
          <cell r="C1314" t="str">
            <v>PARQUE NOVA AURORA</v>
          </cell>
          <cell r="D1314" t="str">
            <v>5989D151-39F4-E011-9F2B-001F2909E810</v>
          </cell>
          <cell r="E1314">
            <v>456</v>
          </cell>
        </row>
        <row r="1315">
          <cell r="A1315" t="str">
            <v>PARNAMIRIM</v>
          </cell>
          <cell r="C1315" t="str">
            <v>PARQUE NOVA COLINA</v>
          </cell>
          <cell r="D1315" t="str">
            <v>E8DCA9A5-4D22-DF11-83FF-001F2909E810</v>
          </cell>
          <cell r="E1315">
            <v>712</v>
          </cell>
        </row>
        <row r="1316">
          <cell r="A1316" t="str">
            <v>NATAL</v>
          </cell>
          <cell r="C1316" t="str">
            <v>PARQUE NOVA EUROPA</v>
          </cell>
          <cell r="D1316" t="str">
            <v>41270A33-FB84-DF11-B20E-001F2909E810</v>
          </cell>
          <cell r="E1316">
            <v>160</v>
          </cell>
        </row>
        <row r="1317">
          <cell r="A1317" t="str">
            <v>BELO HORIZONTE</v>
          </cell>
          <cell r="C1317" t="str">
            <v>PARQUE OPERETTA</v>
          </cell>
          <cell r="D1317" t="str">
            <v>5DA0CD9A-BE5C-DD11-B13B-001B78B9D994</v>
          </cell>
          <cell r="E1317">
            <v>290</v>
          </cell>
        </row>
        <row r="1318">
          <cell r="A1318" t="str">
            <v>BELO HORIZONTE</v>
          </cell>
          <cell r="C1318" t="str">
            <v>PARQUE OURO VERDE</v>
          </cell>
          <cell r="D1318" t="str">
            <v>C31F5ED6-7BEB-DC11-A2F9-001B7845B4A6</v>
          </cell>
          <cell r="E1318">
            <v>100</v>
          </cell>
        </row>
        <row r="1319">
          <cell r="A1319" t="str">
            <v>OURINHOS</v>
          </cell>
          <cell r="C1319" t="str">
            <v>PARQUE OXFORD</v>
          </cell>
          <cell r="D1319" t="str">
            <v>0E41CB63-DFB2-E011-8272-001F2909E810</v>
          </cell>
          <cell r="E1319">
            <v>192</v>
          </cell>
        </row>
        <row r="1320">
          <cell r="A1320" t="str">
            <v>CONTAGEM</v>
          </cell>
          <cell r="C1320" t="str">
            <v>PARQUE PÁDOVA</v>
          </cell>
          <cell r="D1320" t="str">
            <v>766E146B-EFE9-DC11-ABD0-001B7845B4A6</v>
          </cell>
          <cell r="E1320">
            <v>96</v>
          </cell>
        </row>
        <row r="1321">
          <cell r="A1321" t="str">
            <v>PAULÍNIA</v>
          </cell>
          <cell r="C1321" t="str">
            <v>PARQUE PADOVANI</v>
          </cell>
          <cell r="D1321" t="str">
            <v>41B9B13C-7D37-DF11-B3AB-001F2909E810</v>
          </cell>
          <cell r="E1321">
            <v>176</v>
          </cell>
        </row>
        <row r="1322">
          <cell r="A1322" t="str">
            <v>PIRACICABA</v>
          </cell>
          <cell r="C1322" t="str">
            <v>PARQUE PALADINO</v>
          </cell>
          <cell r="D1322" t="str">
            <v>0C8A1FD1-5E24-E211-9E30-001F2909E810</v>
          </cell>
          <cell r="E1322">
            <v>272</v>
          </cell>
        </row>
        <row r="1323">
          <cell r="A1323" t="str">
            <v>PIRACICABA</v>
          </cell>
          <cell r="C1323" t="str">
            <v>PARQUE PALLAS</v>
          </cell>
          <cell r="D1323" t="str">
            <v>D9B6C928-C3E2-DF11-B242-001F2909E810</v>
          </cell>
          <cell r="E1323">
            <v>320</v>
          </cell>
        </row>
        <row r="1324">
          <cell r="A1324" t="str">
            <v>PIRACICABA</v>
          </cell>
          <cell r="C1324" t="str">
            <v>PARQUE PARADISO</v>
          </cell>
          <cell r="D1324" t="str">
            <v>F7A0A4AA-84A6-E011-BDCF-001F2909E810</v>
          </cell>
          <cell r="E1324">
            <v>1344</v>
          </cell>
        </row>
        <row r="1325">
          <cell r="A1325" t="str">
            <v>PAULÍNIA</v>
          </cell>
          <cell r="C1325" t="str">
            <v>PARQUE PATAGÔNIA</v>
          </cell>
          <cell r="D1325" t="str">
            <v>FA405BBD-885F-E011-BDCF-001F2909E810</v>
          </cell>
          <cell r="E1325">
            <v>192</v>
          </cell>
        </row>
        <row r="1326">
          <cell r="A1326" t="str">
            <v>PINDAMONHANGABA</v>
          </cell>
          <cell r="C1326" t="str">
            <v>PARQUE PEDRA AZUL</v>
          </cell>
          <cell r="D1326" t="str">
            <v>483DBCD3-C8BF-DE11-B17D-001B78B9D994</v>
          </cell>
          <cell r="E1326">
            <v>128</v>
          </cell>
        </row>
        <row r="1327">
          <cell r="A1327" t="str">
            <v>PINDAMONHANGABA</v>
          </cell>
          <cell r="C1327" t="str">
            <v>PARQUE PEDRA BONITA</v>
          </cell>
          <cell r="D1327" t="str">
            <v>49BA30CC-516E-DF11-AD89-001B78B9D994</v>
          </cell>
          <cell r="E1327">
            <v>480</v>
          </cell>
        </row>
        <row r="1328">
          <cell r="A1328" t="str">
            <v>CONTAGEM</v>
          </cell>
          <cell r="C1328" t="str">
            <v>PARQUE PIACENZA</v>
          </cell>
          <cell r="D1328" t="str">
            <v>040C5E10-6615-DD11-8B33-001B7845B4A6</v>
          </cell>
          <cell r="E1328">
            <v>96</v>
          </cell>
        </row>
        <row r="1329">
          <cell r="A1329" t="str">
            <v>PIRACICABA</v>
          </cell>
          <cell r="C1329" t="str">
            <v>PARQUE PIAZZA BELLINI</v>
          </cell>
          <cell r="D1329" t="str">
            <v>117A5CBC-6EC0-E111-B8E0-001F2909E810</v>
          </cell>
          <cell r="E1329">
            <v>1184</v>
          </cell>
        </row>
        <row r="1330">
          <cell r="A1330" t="str">
            <v>PIRACICABA</v>
          </cell>
          <cell r="C1330" t="str">
            <v>PARQUE PIAZZA BRASILE</v>
          </cell>
          <cell r="D1330" t="str">
            <v>948D15FC-3EF1-E111-9E30-001F2909E810</v>
          </cell>
          <cell r="E1330">
            <v>256</v>
          </cell>
        </row>
        <row r="1331">
          <cell r="A1331" t="str">
            <v>PIRACICABA</v>
          </cell>
          <cell r="C1331" t="str">
            <v>PARQUE PIAZZA DI ROMA</v>
          </cell>
          <cell r="D1331" t="str">
            <v>FFA26ED0-3BFB-E411-A6CC-009C02B0CB58</v>
          </cell>
          <cell r="E1331">
            <v>148</v>
          </cell>
        </row>
        <row r="1332">
          <cell r="A1332" t="str">
            <v>PIRACICABA</v>
          </cell>
          <cell r="C1332" t="str">
            <v>PARQUE PIAZZA FONTANELLA</v>
          </cell>
          <cell r="D1332" t="str">
            <v>10226CBC-62BB-E311-B03C-80C16E075108</v>
          </cell>
          <cell r="E1332">
            <v>468</v>
          </cell>
        </row>
        <row r="1333">
          <cell r="A1333" t="str">
            <v>PIRACICABA</v>
          </cell>
          <cell r="C1333" t="str">
            <v>PARQUE PIAZZA NAVONA</v>
          </cell>
          <cell r="D1333" t="str">
            <v>B204C8EB-9732-DF11-B3AB-001F2909E810</v>
          </cell>
          <cell r="E1333">
            <v>736</v>
          </cell>
        </row>
        <row r="1334">
          <cell r="A1334" t="str">
            <v>PIRACICABA</v>
          </cell>
          <cell r="C1334" t="str">
            <v>PARQUE PIAZZA REPPUBLICA</v>
          </cell>
          <cell r="D1334" t="str">
            <v>9E05D555-9A32-DF11-B3AB-001F2909E810</v>
          </cell>
          <cell r="E1334">
            <v>320</v>
          </cell>
        </row>
        <row r="1335">
          <cell r="A1335" t="str">
            <v>PIRACICABA</v>
          </cell>
          <cell r="C1335" t="str">
            <v>PARQUE PIAZZA SAN MARCO</v>
          </cell>
          <cell r="D1335" t="str">
            <v>9A379B1C-6640-E211-B34D-80C16E075108</v>
          </cell>
          <cell r="E1335">
            <v>144</v>
          </cell>
        </row>
        <row r="1336">
          <cell r="A1336" t="str">
            <v>PIRACICABA</v>
          </cell>
          <cell r="C1336" t="str">
            <v>PARQUE PIAZZA SAN PIETRO</v>
          </cell>
          <cell r="D1336" t="str">
            <v>93FF6BE3-A932-DF11-B3AB-001F2909E810</v>
          </cell>
          <cell r="E1336">
            <v>448</v>
          </cell>
        </row>
        <row r="1337">
          <cell r="A1337" t="str">
            <v>PIRACICABA</v>
          </cell>
          <cell r="C1337" t="str">
            <v>PARQUE PIAZZA VENEZIA</v>
          </cell>
          <cell r="D1337" t="str">
            <v>1F02DE84-90F6-E011-9F2B-001F2909E810</v>
          </cell>
          <cell r="E1337">
            <v>384</v>
          </cell>
        </row>
        <row r="1338">
          <cell r="A1338" t="str">
            <v>PIRACICABA</v>
          </cell>
          <cell r="C1338" t="str">
            <v>PARQUE PIAZZA VERONA</v>
          </cell>
          <cell r="D1338" t="str">
            <v>F03D1D1A-6079-E311-8EFB-009C02B0CB58</v>
          </cell>
          <cell r="E1338">
            <v>500</v>
          </cell>
        </row>
        <row r="1339">
          <cell r="A1339" t="str">
            <v>CONTAGEM</v>
          </cell>
          <cell r="C1339" t="str">
            <v>PARQUE PIEMONTE</v>
          </cell>
          <cell r="D1339" t="str">
            <v>260ACC29-F0E9-DC11-ABD0-001B7845B4A6</v>
          </cell>
          <cell r="E1339">
            <v>96</v>
          </cell>
        </row>
        <row r="1340">
          <cell r="A1340" t="str">
            <v>PAULÍNIA</v>
          </cell>
          <cell r="C1340" t="str">
            <v>PARQUE PITÁGORAS</v>
          </cell>
          <cell r="D1340" t="str">
            <v>9033FE62-7321-DF11-83FF-001F2909E810</v>
          </cell>
          <cell r="E1340">
            <v>272</v>
          </cell>
        </row>
        <row r="1341">
          <cell r="A1341" t="str">
            <v>PONTA GROSSA</v>
          </cell>
          <cell r="C1341" t="str">
            <v>PARQUE PONTAL DOS CAMPOS</v>
          </cell>
          <cell r="D1341" t="str">
            <v>1C584BC6-8555-E011-BDCF-001F2909E810</v>
          </cell>
          <cell r="E1341">
            <v>152</v>
          </cell>
        </row>
        <row r="1342">
          <cell r="A1342" t="str">
            <v>PONTA GROSSA</v>
          </cell>
          <cell r="C1342" t="str">
            <v>PARQUE PONTAL DOS FRADES</v>
          </cell>
          <cell r="D1342" t="str">
            <v>79525750-9A3B-E011-B242-001F2909E810</v>
          </cell>
          <cell r="E1342">
            <v>136</v>
          </cell>
        </row>
        <row r="1343">
          <cell r="A1343" t="str">
            <v>FORTALEZA</v>
          </cell>
          <cell r="C1343" t="str">
            <v>PARQUE PORTAL DA LAGOA</v>
          </cell>
          <cell r="D1343" t="str">
            <v>C37AE1E1-91E2-DF11-B242-001F2909E810</v>
          </cell>
          <cell r="E1343">
            <v>200</v>
          </cell>
        </row>
        <row r="1344">
          <cell r="A1344" t="str">
            <v>CANOAS</v>
          </cell>
          <cell r="C1344" t="str">
            <v>PARQUE PORTO ÁGATA</v>
          </cell>
          <cell r="D1344" t="str">
            <v>EDE1F566-8B2C-E411-8EFB-009C02B0CB58</v>
          </cell>
          <cell r="E1344">
            <v>480</v>
          </cell>
        </row>
        <row r="1345">
          <cell r="A1345" t="str">
            <v>CANOAS</v>
          </cell>
          <cell r="C1345" t="str">
            <v>PARQUE PORTO AMETISTA</v>
          </cell>
          <cell r="D1345" t="str">
            <v>00A89513-54D5-E311-8EFB-009C02B0CB58</v>
          </cell>
          <cell r="E1345">
            <v>560</v>
          </cell>
        </row>
        <row r="1346">
          <cell r="A1346" t="str">
            <v>GRAVATAÍ</v>
          </cell>
          <cell r="C1346" t="str">
            <v>PARQUE PORTO ATLANTA</v>
          </cell>
          <cell r="D1346" t="str">
            <v>E5B8C4F6-AE3B-E511-A6CC-009C02B0CB58</v>
          </cell>
          <cell r="E1346">
            <v>240</v>
          </cell>
        </row>
        <row r="1347">
          <cell r="A1347" t="str">
            <v>SÃO LEOPOLDO</v>
          </cell>
          <cell r="C1347" t="str">
            <v>PARQUE PORTO BERLIM</v>
          </cell>
          <cell r="D1347" t="str">
            <v>D742B62C-2266-E511-A9EE-009C02B0CB58</v>
          </cell>
          <cell r="E1347">
            <v>500</v>
          </cell>
        </row>
        <row r="1348">
          <cell r="A1348" t="str">
            <v>NOVO HAMBURGO</v>
          </cell>
          <cell r="C1348" t="str">
            <v>PARQUE PORTO BURNIER</v>
          </cell>
          <cell r="D1348" t="str">
            <v>F600116A-0984-E111-A73F-001F2909E810</v>
          </cell>
          <cell r="E1348">
            <v>250</v>
          </cell>
        </row>
        <row r="1349">
          <cell r="A1349" t="str">
            <v>CANOAS</v>
          </cell>
          <cell r="C1349" t="str">
            <v>PARQUE PORTO CANOAS</v>
          </cell>
          <cell r="D1349" t="str">
            <v>9E02B721-09C4-E311-8EFB-009C02B0CB58</v>
          </cell>
          <cell r="E1349">
            <v>220</v>
          </cell>
        </row>
        <row r="1350">
          <cell r="A1350" t="str">
            <v>PORTO ALEGRE</v>
          </cell>
          <cell r="C1350" t="str">
            <v>PARQUE PORTO CRUZEIRO</v>
          </cell>
          <cell r="D1350" t="str">
            <v>3365DEA9-CD82-DF11-B20E-001F2909E810</v>
          </cell>
          <cell r="E1350">
            <v>832</v>
          </cell>
        </row>
        <row r="1351">
          <cell r="A1351" t="str">
            <v>SAPUCAIA DO SUL</v>
          </cell>
          <cell r="C1351" t="str">
            <v>PARQUE PORTO DE ALEXANDRIA</v>
          </cell>
          <cell r="D1351" t="str">
            <v>D39C70AB-3E9C-E011-BDCF-001F2909E810</v>
          </cell>
          <cell r="E1351">
            <v>520</v>
          </cell>
        </row>
        <row r="1352">
          <cell r="A1352" t="str">
            <v>SAPUCAIA DO SUL</v>
          </cell>
          <cell r="C1352" t="str">
            <v>PARQUE PORTO DE NÁPOLIS</v>
          </cell>
          <cell r="D1352" t="str">
            <v>67FF1D91-104C-E011-BDCF-001F2909E810</v>
          </cell>
          <cell r="E1352">
            <v>640</v>
          </cell>
        </row>
        <row r="1353">
          <cell r="A1353" t="str">
            <v>CANOAS</v>
          </cell>
          <cell r="C1353" t="str">
            <v>PARQUE PORTO DIAMANTE</v>
          </cell>
          <cell r="D1353" t="str">
            <v>29582A3D-932C-E411-8EFB-009C02B0CB58</v>
          </cell>
          <cell r="E1353">
            <v>500</v>
          </cell>
        </row>
        <row r="1354">
          <cell r="A1354" t="str">
            <v>GRAVATAÍ</v>
          </cell>
          <cell r="C1354" t="str">
            <v>PARQUE PORTO DOS ANJOS</v>
          </cell>
          <cell r="D1354" t="str">
            <v>9E6305E5-79E4-E411-B5D2-009C02B0CB58</v>
          </cell>
          <cell r="E1354">
            <v>260</v>
          </cell>
        </row>
        <row r="1355">
          <cell r="A1355" t="str">
            <v>PORTO ALEGRE</v>
          </cell>
          <cell r="C1355" t="str">
            <v>PARQUE PORTO FARROUPILHA</v>
          </cell>
          <cell r="D1355" t="str">
            <v>F2909357-D03C-DF11-9F9A-001F2909E810</v>
          </cell>
          <cell r="E1355">
            <v>280</v>
          </cell>
        </row>
        <row r="1356">
          <cell r="A1356" t="str">
            <v>PORTO ALEGRE</v>
          </cell>
          <cell r="C1356" t="str">
            <v>PARQUE PORTO GRAMADO</v>
          </cell>
          <cell r="D1356" t="str">
            <v>BB6BF5A8-294C-DD11-BC22-001B78B9D994</v>
          </cell>
          <cell r="E1356">
            <v>480</v>
          </cell>
        </row>
        <row r="1357">
          <cell r="A1357" t="str">
            <v>CAXIAS DO SUL</v>
          </cell>
          <cell r="C1357" t="str">
            <v>PARQUE PORTO HAVANA</v>
          </cell>
          <cell r="D1357" t="str">
            <v>223280CB-860C-E211-9E30-001F2909E810</v>
          </cell>
          <cell r="E1357">
            <v>220</v>
          </cell>
        </row>
        <row r="1358">
          <cell r="A1358" t="str">
            <v>CANOAS</v>
          </cell>
          <cell r="C1358" t="str">
            <v>PARQUE PORTO ITÁLIA</v>
          </cell>
          <cell r="D1358" t="str">
            <v>9CB6155D-4E63-E411-B5D2-009C02B0CB58</v>
          </cell>
          <cell r="E1358">
            <v>100</v>
          </cell>
        </row>
        <row r="1359">
          <cell r="A1359" t="str">
            <v>PORTO ALEGRE</v>
          </cell>
          <cell r="C1359" t="str">
            <v>PARQUE PORTO LA PALMA</v>
          </cell>
          <cell r="D1359" t="str">
            <v>62F2142A-D198-E311-B03C-80C16E075108</v>
          </cell>
          <cell r="E1359">
            <v>191</v>
          </cell>
        </row>
        <row r="1360">
          <cell r="A1360" t="str">
            <v>PORTO ALEGRE</v>
          </cell>
          <cell r="C1360" t="str">
            <v>PARQUE PORTO LAÇADOR</v>
          </cell>
          <cell r="D1360" t="str">
            <v>E3BA31EA-CFC3-E311-8EFB-009C02B0CB58</v>
          </cell>
          <cell r="E1360">
            <v>120</v>
          </cell>
        </row>
        <row r="1361">
          <cell r="A1361" t="str">
            <v>CANOAS</v>
          </cell>
          <cell r="C1361" t="str">
            <v>PARQUE PORTO LEON</v>
          </cell>
          <cell r="D1361" t="str">
            <v>8968A628-A9F3-E111-9E30-001F2909E810</v>
          </cell>
          <cell r="E1361">
            <v>280</v>
          </cell>
        </row>
        <row r="1362">
          <cell r="A1362" t="str">
            <v>NOVO HAMBURGO</v>
          </cell>
          <cell r="C1362" t="str">
            <v>PARQUE PORTO MARABELLA</v>
          </cell>
          <cell r="D1362" t="str">
            <v>8E2D6BBB-11FD-E111-9E30-001F2909E810</v>
          </cell>
          <cell r="E1362">
            <v>400</v>
          </cell>
        </row>
        <row r="1363">
          <cell r="A1363" t="str">
            <v>PORTO ALEGRE</v>
          </cell>
          <cell r="C1363" t="str">
            <v>PARQUE PORTO MINUANO</v>
          </cell>
          <cell r="D1363" t="str">
            <v>3902EB38-4048-E611-A5BB-009C02B0CB58</v>
          </cell>
          <cell r="E1363">
            <v>160</v>
          </cell>
        </row>
        <row r="1364">
          <cell r="A1364" t="str">
            <v>CANOAS</v>
          </cell>
          <cell r="C1364" t="str">
            <v>PARQUE PORTO ÔNIX</v>
          </cell>
          <cell r="D1364" t="str">
            <v>EB1D2242-872C-E411-8EFB-009C02B0CB58</v>
          </cell>
          <cell r="E1364">
            <v>520</v>
          </cell>
        </row>
        <row r="1365">
          <cell r="A1365" t="str">
            <v>PORTO ALEGRE</v>
          </cell>
          <cell r="C1365" t="str">
            <v>PARQUE PORTO ORIENTE</v>
          </cell>
          <cell r="D1365" t="str">
            <v>DA3B5DC0-7256-E111-A73D-001F2909E810</v>
          </cell>
          <cell r="E1365">
            <v>240</v>
          </cell>
        </row>
        <row r="1366">
          <cell r="A1366" t="str">
            <v>PORTO ALEGRE</v>
          </cell>
          <cell r="C1366" t="str">
            <v>PARQUE PORTO PACÍFICO</v>
          </cell>
          <cell r="D1366" t="str">
            <v>9F816B3F-CB10-DF11-83FF-001F2909E810</v>
          </cell>
          <cell r="E1366">
            <v>112</v>
          </cell>
        </row>
        <row r="1367">
          <cell r="A1367" t="str">
            <v>CANOAS</v>
          </cell>
          <cell r="C1367" t="str">
            <v>PARQUE PORTO PIRATINI</v>
          </cell>
          <cell r="D1367" t="str">
            <v>52202DB0-4C63-E411-B5D2-009C02B0CB58</v>
          </cell>
          <cell r="E1367">
            <v>100</v>
          </cell>
        </row>
        <row r="1368">
          <cell r="A1368" t="str">
            <v>CAXIAS DO SUL</v>
          </cell>
          <cell r="C1368" t="str">
            <v>PARQUE PORTO POLARIS</v>
          </cell>
          <cell r="D1368" t="str">
            <v>A49472D7-FDA4-E111-8F0C-001F2909E810</v>
          </cell>
          <cell r="E1368">
            <v>230</v>
          </cell>
        </row>
        <row r="1369">
          <cell r="A1369" t="str">
            <v>PORTO ALEGRE</v>
          </cell>
          <cell r="C1369" t="str">
            <v>PARQUE PORTO RIO GRANDE</v>
          </cell>
          <cell r="D1369" t="str">
            <v>9B84F8FD-09C4-E311-8EFB-009C02B0CB58</v>
          </cell>
          <cell r="E1369">
            <v>600</v>
          </cell>
        </row>
        <row r="1370">
          <cell r="A1370" t="str">
            <v>CANOAS</v>
          </cell>
          <cell r="C1370" t="str">
            <v>PARQUE PORTO RUBI</v>
          </cell>
          <cell r="D1370" t="str">
            <v>30ED09FE-972C-E411-8EFB-009C02B0CB58</v>
          </cell>
          <cell r="E1370">
            <v>540</v>
          </cell>
        </row>
        <row r="1371">
          <cell r="A1371" t="str">
            <v>CANOAS</v>
          </cell>
          <cell r="C1371" t="str">
            <v>PARQUE PORTO SAFIRA</v>
          </cell>
          <cell r="D1371" t="str">
            <v>F7F0A18B-992C-E411-8EFB-009C02B0CB58</v>
          </cell>
          <cell r="E1371">
            <v>560</v>
          </cell>
        </row>
        <row r="1372">
          <cell r="A1372" t="str">
            <v>GRAVATAÍ</v>
          </cell>
          <cell r="C1372" t="str">
            <v>PARQUE PORTO SAN LUCAS</v>
          </cell>
          <cell r="D1372" t="str">
            <v>4B9410F0-6D7E-E611-B1E9-009C02B0CB58</v>
          </cell>
          <cell r="E1372">
            <v>140</v>
          </cell>
        </row>
        <row r="1373">
          <cell r="A1373" t="str">
            <v>PORTO ALEGRE</v>
          </cell>
          <cell r="C1373" t="str">
            <v>PARQUE PORTO SINAI</v>
          </cell>
          <cell r="D1373" t="str">
            <v>925D07EF-850C-E211-9E30-001F2909E810</v>
          </cell>
          <cell r="E1373">
            <v>240</v>
          </cell>
        </row>
        <row r="1374">
          <cell r="A1374" t="str">
            <v>NOVO HAMBURGO</v>
          </cell>
          <cell r="C1374" t="str">
            <v>PARQUE PORTO TRINIDAD</v>
          </cell>
          <cell r="D1374" t="str">
            <v>863DDA2A-30D7-E111-BBED-001F2909E810</v>
          </cell>
          <cell r="E1374">
            <v>320</v>
          </cell>
        </row>
        <row r="1375">
          <cell r="A1375" t="str">
            <v>PORTO ALEGRE</v>
          </cell>
          <cell r="C1375" t="str">
            <v>PARQUE PORTO VALÊNCIA</v>
          </cell>
          <cell r="D1375" t="str">
            <v>127EEFE4-A9F3-E111-9E30-001F2909E810</v>
          </cell>
          <cell r="E1375">
            <v>205</v>
          </cell>
        </row>
        <row r="1376">
          <cell r="A1376" t="str">
            <v>PORTO ALEGRE</v>
          </cell>
          <cell r="C1376" t="str">
            <v>PARQUE PORTO VERÍSSIMO</v>
          </cell>
          <cell r="D1376" t="str">
            <v>5AC965CE-294C-DD11-BC22-001B78B9D994</v>
          </cell>
          <cell r="E1376">
            <v>352</v>
          </cell>
        </row>
        <row r="1377">
          <cell r="A1377" t="str">
            <v>GOIÂNIA</v>
          </cell>
          <cell r="C1377" t="str">
            <v>PARQUE PORTUGAL</v>
          </cell>
          <cell r="D1377" t="str">
            <v>F6A9A4D0-56F0-E511-A5BB-009C02B0CB58</v>
          </cell>
          <cell r="E1377">
            <v>352</v>
          </cell>
        </row>
        <row r="1378">
          <cell r="A1378" t="str">
            <v>BELO HORIZONTE</v>
          </cell>
          <cell r="C1378" t="str">
            <v>PARQUE PRIMAVERA</v>
          </cell>
          <cell r="D1378" t="str">
            <v>1DDD298E-32E9-DC11-ABD0-001B7845B4A6</v>
          </cell>
          <cell r="E1378">
            <v>90</v>
          </cell>
        </row>
        <row r="1379">
          <cell r="A1379" t="str">
            <v>PRESIDENTE PRUDENTE</v>
          </cell>
          <cell r="C1379" t="str">
            <v>PARQUE PRÍNCIPE DA BÉLGICA</v>
          </cell>
          <cell r="D1379" t="str">
            <v>48D97EF3-3EFB-E011-A7D9-001B78B9D994</v>
          </cell>
          <cell r="E1379">
            <v>368</v>
          </cell>
        </row>
        <row r="1380">
          <cell r="A1380" t="str">
            <v>PRESIDENTE PRUDENTE</v>
          </cell>
          <cell r="C1380" t="str">
            <v>PARQUE PRÍNCIPE DA GRÉCIA</v>
          </cell>
          <cell r="D1380" t="str">
            <v>71AEC735-EB37-E611-A5BB-009C02B0CB58</v>
          </cell>
          <cell r="E1380">
            <v>368</v>
          </cell>
        </row>
        <row r="1381">
          <cell r="A1381" t="str">
            <v>PRESIDENTE PRUDENTE</v>
          </cell>
          <cell r="C1381" t="str">
            <v>PARQUE PRÍNCIPE DA PÉRSIA</v>
          </cell>
          <cell r="D1381" t="str">
            <v>D7CE9C5A-EEFB-E511-A5BB-009C02B0CB58</v>
          </cell>
          <cell r="E1381">
            <v>224</v>
          </cell>
        </row>
        <row r="1382">
          <cell r="A1382" t="str">
            <v>PRESIDENTE PRUDENTE</v>
          </cell>
          <cell r="C1382" t="str">
            <v>PARQUE PRÍNCIPE DE ANDORRA</v>
          </cell>
          <cell r="D1382" t="str">
            <v>7032B797-907D-E011-8AF4-001B78B9D994</v>
          </cell>
          <cell r="E1382">
            <v>416</v>
          </cell>
        </row>
        <row r="1383">
          <cell r="A1383" t="str">
            <v>PRESIDENTE PRUDENTE</v>
          </cell>
          <cell r="C1383" t="str">
            <v>PARQUE PRÍNCIPE DE ASTÚRIAS</v>
          </cell>
          <cell r="D1383" t="str">
            <v>5437305A-54E7-DF11-B242-001F2909E810</v>
          </cell>
          <cell r="E1383">
            <v>160</v>
          </cell>
        </row>
        <row r="1384">
          <cell r="A1384" t="str">
            <v>PRESIDENTE PRUDENTE</v>
          </cell>
          <cell r="C1384" t="str">
            <v>PARQUE PRÍNCIPE DE NÁPOLES</v>
          </cell>
          <cell r="D1384" t="str">
            <v>4786826B-1AF2-E111-94E9-001B78B9D994</v>
          </cell>
          <cell r="E1384">
            <v>192</v>
          </cell>
        </row>
        <row r="1385">
          <cell r="A1385" t="str">
            <v>PRESIDENTE PRUDENTE</v>
          </cell>
          <cell r="C1385" t="str">
            <v>PARQUE PRÍNCIPE IMPERIAL</v>
          </cell>
          <cell r="D1385" t="str">
            <v>37CA704E-309C-E011-AA09-001B78B9D994</v>
          </cell>
          <cell r="E1385">
            <v>160</v>
          </cell>
        </row>
        <row r="1386">
          <cell r="A1386" t="str">
            <v>PONTA GROSSA</v>
          </cell>
          <cell r="C1386" t="str">
            <v>PARQUE PURUNÃ</v>
          </cell>
          <cell r="D1386" t="str">
            <v>62700243-304A-E411-B03C-80C16E075108</v>
          </cell>
          <cell r="E1386">
            <v>448</v>
          </cell>
        </row>
        <row r="1387">
          <cell r="A1387" t="str">
            <v>RIO CLARO</v>
          </cell>
          <cell r="C1387" t="str">
            <v>PARQUE RAINHA BIANCA</v>
          </cell>
          <cell r="D1387" t="str">
            <v>A59EC9DE-07BC-DF11-B20E-001F2909E810</v>
          </cell>
          <cell r="E1387">
            <v>336</v>
          </cell>
        </row>
        <row r="1388">
          <cell r="A1388" t="str">
            <v>RIO CLARO</v>
          </cell>
          <cell r="C1388" t="str">
            <v>PARQUE RAINHA ELIZABETH</v>
          </cell>
          <cell r="D1388" t="str">
            <v>EAA6CF25-055A-E011-BDCF-001F2909E810</v>
          </cell>
          <cell r="E1388">
            <v>192</v>
          </cell>
        </row>
        <row r="1389">
          <cell r="A1389" t="str">
            <v>RIO CLARO</v>
          </cell>
          <cell r="C1389" t="str">
            <v>PARQUE RAINHA SILVIA</v>
          </cell>
          <cell r="D1389" t="str">
            <v>E877E885-055A-E011-BDCF-001F2909E810</v>
          </cell>
          <cell r="E1389">
            <v>192</v>
          </cell>
        </row>
        <row r="1390">
          <cell r="A1390" t="str">
            <v>RIO CLARO</v>
          </cell>
          <cell r="C1390" t="str">
            <v>PARQUE RAINHA VITÓRIA</v>
          </cell>
          <cell r="D1390" t="str">
            <v>B9F34F10-FFEC-DF11-B242-001F2909E810</v>
          </cell>
          <cell r="E1390">
            <v>160</v>
          </cell>
        </row>
        <row r="1391">
          <cell r="A1391" t="str">
            <v>RIBEIRÃO PRETO</v>
          </cell>
          <cell r="C1391" t="str">
            <v>PARQUE RARUS</v>
          </cell>
          <cell r="D1391" t="str">
            <v>EAA00E11-A885-DE11-9553-001F2909E83C</v>
          </cell>
          <cell r="E1391">
            <v>408</v>
          </cell>
        </row>
        <row r="1392">
          <cell r="A1392" t="str">
            <v>CAMARAGIBE</v>
          </cell>
          <cell r="C1392" t="str">
            <v>PARQUE REAL GARDEN</v>
          </cell>
          <cell r="D1392" t="str">
            <v>4187BA3B-09FB-E411-A3A7-80C16E075108</v>
          </cell>
          <cell r="E1392">
            <v>452</v>
          </cell>
        </row>
        <row r="1393">
          <cell r="A1393" t="str">
            <v>RIBEIRÃO PRETO</v>
          </cell>
          <cell r="C1393" t="str">
            <v>PARQUE REBOUÇAS</v>
          </cell>
          <cell r="D1393" t="str">
            <v>116B6777-DF66-E011-BDCF-001F2909E810</v>
          </cell>
          <cell r="E1393">
            <v>320</v>
          </cell>
        </row>
        <row r="1394">
          <cell r="A1394" t="str">
            <v>RESENDE</v>
          </cell>
          <cell r="C1394" t="str">
            <v>PARQUE RECANTO BELO</v>
          </cell>
          <cell r="D1394" t="str">
            <v>43F66716-A674-E311-8EFB-009C02B0CB58</v>
          </cell>
          <cell r="E1394">
            <v>192</v>
          </cell>
        </row>
        <row r="1395">
          <cell r="A1395" t="str">
            <v>RIO DE JANEIRO</v>
          </cell>
          <cell r="C1395" t="str">
            <v>PARQUE RECANTO DA SERRA</v>
          </cell>
          <cell r="D1395" t="str">
            <v>F93EA744-439B-DF11-B20E-001F2909E810</v>
          </cell>
          <cell r="E1395">
            <v>240</v>
          </cell>
        </row>
        <row r="1396">
          <cell r="A1396" t="str">
            <v>RESENDE</v>
          </cell>
          <cell r="C1396" t="str">
            <v>PARQUE RECANTO DAS BORBOLETAS</v>
          </cell>
          <cell r="D1396" t="str">
            <v>5812E7CE-FDAB-E011-BDCF-001F2909E810</v>
          </cell>
          <cell r="E1396">
            <v>528</v>
          </cell>
        </row>
        <row r="1397">
          <cell r="A1397" t="str">
            <v>RIO DE JANEIRO</v>
          </cell>
          <cell r="C1397" t="str">
            <v>PARQUE RECANTO DAS FLORES</v>
          </cell>
          <cell r="D1397" t="str">
            <v>A0F40683-439B-DF11-B20E-001F2909E810</v>
          </cell>
          <cell r="E1397">
            <v>240</v>
          </cell>
        </row>
        <row r="1398">
          <cell r="A1398" t="str">
            <v>OLINDA</v>
          </cell>
          <cell r="C1398" t="str">
            <v>PARQUE RECANTO DO FAROL</v>
          </cell>
          <cell r="D1398" t="str">
            <v>9FC0726B-C066-E111-A73F-001F2909E810</v>
          </cell>
          <cell r="E1398">
            <v>312</v>
          </cell>
        </row>
        <row r="1399">
          <cell r="A1399" t="str">
            <v>JABOATÃO DOS GUARARAPES</v>
          </cell>
          <cell r="C1399" t="str">
            <v>PARQUE RECANTO DO SOL</v>
          </cell>
          <cell r="D1399" t="str">
            <v>64D291A6-4023-E011-B242-001F2909E810</v>
          </cell>
          <cell r="E1399">
            <v>768</v>
          </cell>
        </row>
        <row r="1400">
          <cell r="A1400" t="str">
            <v>RIO DE JANEIRO</v>
          </cell>
          <cell r="C1400" t="str">
            <v>PARQUE RECANTO DO TINGUI</v>
          </cell>
          <cell r="D1400" t="str">
            <v>9BFC869D-139F-DE11-8D16-001F2909E810</v>
          </cell>
          <cell r="E1400">
            <v>312</v>
          </cell>
        </row>
        <row r="1401">
          <cell r="A1401" t="str">
            <v>RIBEIRÃO PRETO</v>
          </cell>
          <cell r="C1401" t="str">
            <v>PARQUE RECANTO LAGOINHA</v>
          </cell>
          <cell r="D1401" t="str">
            <v>9E91380B-F9B8-DE11-8D16-001F2909E810</v>
          </cell>
          <cell r="E1401">
            <v>656</v>
          </cell>
        </row>
        <row r="1402">
          <cell r="A1402" t="str">
            <v>RIO DE JANEIRO</v>
          </cell>
          <cell r="C1402" t="str">
            <v>PARQUE RECREIO DA GÁVEA</v>
          </cell>
          <cell r="D1402" t="str">
            <v>07019B61-C098-DF11-B20E-001F2909E810</v>
          </cell>
          <cell r="E1402">
            <v>450</v>
          </cell>
        </row>
        <row r="1403">
          <cell r="A1403" t="str">
            <v>RIO DE JANEIRO</v>
          </cell>
          <cell r="C1403" t="str">
            <v>PARQUE RECREIO DO PONTAL</v>
          </cell>
          <cell r="D1403" t="str">
            <v>F60A1296-4B79-DF11-9F9A-001F2909E810</v>
          </cell>
          <cell r="E1403">
            <v>500</v>
          </cell>
        </row>
        <row r="1404">
          <cell r="A1404" t="str">
            <v>RIO DE JANEIRO</v>
          </cell>
          <cell r="C1404" t="str">
            <v>PARQUE RECREIO DOS BANDEIRANTES</v>
          </cell>
          <cell r="D1404" t="str">
            <v>58B7F57C-C098-DF11-B20E-001F2909E810</v>
          </cell>
          <cell r="E1404">
            <v>100</v>
          </cell>
        </row>
        <row r="1405">
          <cell r="A1405" t="str">
            <v>RIBEIRÃO PRETO</v>
          </cell>
          <cell r="C1405" t="str">
            <v>PARQUE REINO DA ESCÓCIA</v>
          </cell>
          <cell r="D1405" t="str">
            <v>F4B1B343-A5A8-E011-BDCF-001F2909E810</v>
          </cell>
          <cell r="E1405">
            <v>832</v>
          </cell>
        </row>
        <row r="1406">
          <cell r="A1406" t="str">
            <v>RIBEIRÃO PRETO</v>
          </cell>
          <cell r="C1406" t="str">
            <v>PARQUE REINO DA INGLATERRA</v>
          </cell>
          <cell r="D1406" t="str">
            <v>C42F23CD-EA40-E011-BDCF-001F2909E810</v>
          </cell>
          <cell r="E1406">
            <v>628</v>
          </cell>
        </row>
        <row r="1407">
          <cell r="A1407" t="str">
            <v>RIBEIRÃO PRETO</v>
          </cell>
          <cell r="C1407" t="str">
            <v>PARQUE REMANSO DO BOSQUE</v>
          </cell>
          <cell r="D1407" t="str">
            <v>D556779A-023D-E411-8EFB-009C02B0CB58</v>
          </cell>
          <cell r="E1407">
            <v>304</v>
          </cell>
        </row>
        <row r="1408">
          <cell r="A1408" t="str">
            <v>RIBEIRÃO PRETO</v>
          </cell>
          <cell r="C1408" t="str">
            <v>PARQUE RENASCER</v>
          </cell>
          <cell r="D1408" t="str">
            <v>45F0FEB3-7C41-DF11-9F9A-001F2909E810</v>
          </cell>
          <cell r="E1408">
            <v>192</v>
          </cell>
        </row>
        <row r="1409">
          <cell r="A1409" t="str">
            <v>RIBEIRÃO PRETO</v>
          </cell>
          <cell r="C1409" t="str">
            <v>PARQUE REQUINTE</v>
          </cell>
          <cell r="D1409" t="str">
            <v>A25DB736-3F5C-DE11-B0E8-001F2909E83C</v>
          </cell>
          <cell r="E1409">
            <v>184</v>
          </cell>
        </row>
        <row r="1410">
          <cell r="A1410" t="str">
            <v>MAUÁ</v>
          </cell>
          <cell r="C1410" t="str">
            <v>PARQUE RESERVA ARAÇUAÍ</v>
          </cell>
          <cell r="D1410" t="str">
            <v>65D1AD79-8018-DD11-8B33-001B7845B4A6</v>
          </cell>
          <cell r="E1410">
            <v>104</v>
          </cell>
        </row>
        <row r="1411">
          <cell r="A1411" t="str">
            <v>MAUÁ</v>
          </cell>
          <cell r="C1411" t="str">
            <v>PARQUE RESERVA CAPARAÓ</v>
          </cell>
          <cell r="D1411" t="str">
            <v>910AFC94-BEC4-DF11-B20E-001F2909E810</v>
          </cell>
          <cell r="E1411">
            <v>104</v>
          </cell>
        </row>
        <row r="1412">
          <cell r="A1412" t="str">
            <v>MAUÁ</v>
          </cell>
          <cell r="C1412" t="str">
            <v>PARQUE RESERVA CARAÍVA</v>
          </cell>
          <cell r="D1412" t="str">
            <v>C6FC03C7-BCC4-DF11-B20E-001F2909E810</v>
          </cell>
          <cell r="E1412">
            <v>104</v>
          </cell>
        </row>
        <row r="1413">
          <cell r="A1413" t="str">
            <v>MAUÁ</v>
          </cell>
          <cell r="C1413" t="str">
            <v>PARQUE RESERVA IGUATEMI</v>
          </cell>
          <cell r="D1413" t="str">
            <v>2F99F8B2-BFC4-DF11-B20E-001F2909E810</v>
          </cell>
          <cell r="E1413">
            <v>52</v>
          </cell>
        </row>
        <row r="1414">
          <cell r="A1414" t="str">
            <v>MAUÁ</v>
          </cell>
          <cell r="C1414" t="str">
            <v>PARQUE RESERVA ITAJUBÁ</v>
          </cell>
          <cell r="D1414" t="str">
            <v>7BC64853-C1C4-DF11-B20E-001F2909E810</v>
          </cell>
          <cell r="E1414">
            <v>104</v>
          </cell>
        </row>
        <row r="1415">
          <cell r="A1415" t="str">
            <v>RESENDE</v>
          </cell>
          <cell r="C1415" t="str">
            <v>PARQUE RESERVA ITATIAIA</v>
          </cell>
          <cell r="D1415" t="str">
            <v>31AD211C-130D-E411-8EFB-009C02B0CB58</v>
          </cell>
          <cell r="E1415">
            <v>640</v>
          </cell>
        </row>
        <row r="1416">
          <cell r="A1416" t="str">
            <v>MAUÁ</v>
          </cell>
          <cell r="C1416" t="str">
            <v>PARQUE RESERVA PANTANAL</v>
          </cell>
          <cell r="D1416" t="str">
            <v>6A5F84F2-C2C4-DF11-B20E-001F2909E810</v>
          </cell>
          <cell r="E1416">
            <v>104</v>
          </cell>
        </row>
        <row r="1417">
          <cell r="A1417" t="str">
            <v>MAUÁ</v>
          </cell>
          <cell r="C1417" t="str">
            <v>PARQUE RESERVA PARNAÍBA</v>
          </cell>
          <cell r="D1417" t="str">
            <v>3BE9CC94-C0C4-DF11-B20E-001F2909E810</v>
          </cell>
          <cell r="E1417">
            <v>104</v>
          </cell>
        </row>
        <row r="1418">
          <cell r="A1418" t="str">
            <v>MAUÁ</v>
          </cell>
          <cell r="C1418" t="str">
            <v>PARQUE RESERVA TRANCOSO</v>
          </cell>
          <cell r="D1418" t="str">
            <v>4B0F05E8-BDC4-DF11-B20E-001F2909E810</v>
          </cell>
          <cell r="E1418">
            <v>104</v>
          </cell>
        </row>
        <row r="1419">
          <cell r="A1419" t="str">
            <v>MAUÁ</v>
          </cell>
          <cell r="C1419" t="str">
            <v>PARQUE RESERVA TUPI</v>
          </cell>
          <cell r="D1419" t="str">
            <v>C03D0624-BFC4-DF11-B20E-001F2909E810</v>
          </cell>
          <cell r="E1419">
            <v>104</v>
          </cell>
        </row>
        <row r="1420">
          <cell r="A1420" t="str">
            <v>RIBEIRÃO PRETO</v>
          </cell>
          <cell r="C1420" t="str">
            <v>PARQUE RESIDENCE</v>
          </cell>
          <cell r="D1420" t="str">
            <v>6356AD49-4470-E011-BDCF-001F2909E810</v>
          </cell>
          <cell r="E1420">
            <v>256</v>
          </cell>
        </row>
        <row r="1421">
          <cell r="A1421" t="str">
            <v>RIO DE JANEIRO</v>
          </cell>
          <cell r="C1421" t="str">
            <v>PARQUE RETIRO DA SERRA</v>
          </cell>
          <cell r="D1421" t="str">
            <v>2A5739AD-449B-DF11-B20E-001F2909E810</v>
          </cell>
          <cell r="E1421">
            <v>439</v>
          </cell>
        </row>
        <row r="1422">
          <cell r="A1422" t="str">
            <v>RIO DE JANEIRO</v>
          </cell>
          <cell r="C1422" t="str">
            <v>PARQUE RETIRO DAS ROSAS</v>
          </cell>
          <cell r="D1422" t="str">
            <v>58A3D45B-CA82-DF11-B20E-001F2909E810</v>
          </cell>
          <cell r="E1422">
            <v>367</v>
          </cell>
        </row>
        <row r="1423">
          <cell r="A1423" t="str">
            <v>RIO DE JANEIRO</v>
          </cell>
          <cell r="C1423" t="str">
            <v>PARQUE RETIRO DOS PINHEIROS</v>
          </cell>
          <cell r="D1423" t="str">
            <v>F27E24C2-449B-DF11-B20E-001F2909E810</v>
          </cell>
          <cell r="E1423">
            <v>99</v>
          </cell>
        </row>
        <row r="1424">
          <cell r="A1424" t="str">
            <v>RIBEIRÃO PRETO</v>
          </cell>
          <cell r="C1424" t="str">
            <v>PARQUE REVITARE</v>
          </cell>
          <cell r="D1424" t="str">
            <v>F77D5AB5-8CEF-E011-9823-001F2909E810</v>
          </cell>
          <cell r="E1424">
            <v>100</v>
          </cell>
        </row>
        <row r="1425">
          <cell r="A1425" t="str">
            <v>CONTAGEM</v>
          </cell>
          <cell r="C1425" t="str">
            <v>PARQUE RIACHO BELO</v>
          </cell>
          <cell r="D1425" t="str">
            <v>329194E6-9CD9-DC11-ABCF-001B7845B4A6</v>
          </cell>
          <cell r="E1425">
            <v>64</v>
          </cell>
        </row>
        <row r="1426">
          <cell r="A1426" t="str">
            <v>CONTAGEM</v>
          </cell>
          <cell r="C1426" t="str">
            <v>PARQUE RIACHO DAS BORBOLETAS</v>
          </cell>
          <cell r="D1426" t="str">
            <v>67B77679-F4E9-DC11-ABD0-001B7845B4A6</v>
          </cell>
          <cell r="E1426">
            <v>128</v>
          </cell>
        </row>
        <row r="1427">
          <cell r="A1427" t="str">
            <v>CONTAGEM</v>
          </cell>
          <cell r="C1427" t="str">
            <v>PARQUE RIACHO DAS CONCHAS</v>
          </cell>
          <cell r="D1427" t="str">
            <v>C808FD29-9BD9-DC11-ABCF-001B7845B4A6</v>
          </cell>
          <cell r="E1427">
            <v>144</v>
          </cell>
        </row>
        <row r="1428">
          <cell r="A1428" t="str">
            <v>CONTAGEM</v>
          </cell>
          <cell r="C1428" t="str">
            <v>PARQUE RIACHO DAS PEDRAS</v>
          </cell>
          <cell r="D1428" t="str">
            <v>B92AC6E0-13EA-DC11-ABD0-001B7845B4A6</v>
          </cell>
          <cell r="E1428">
            <v>96</v>
          </cell>
        </row>
        <row r="1429">
          <cell r="A1429" t="str">
            <v>CONTAGEM</v>
          </cell>
          <cell r="C1429" t="str">
            <v>PARQUE RIACHO DO OURO</v>
          </cell>
          <cell r="D1429" t="str">
            <v>0799DC30-B6DB-DC11-ABCF-001B7845B4A6</v>
          </cell>
          <cell r="E1429">
            <v>112</v>
          </cell>
        </row>
        <row r="1430">
          <cell r="A1430" t="str">
            <v>CONTAGEM</v>
          </cell>
          <cell r="C1430" t="str">
            <v>PARQUE RIACHO DOCE</v>
          </cell>
          <cell r="D1430" t="str">
            <v>DDCD611E-69E9-DC11-ABD0-001B7845B4A6</v>
          </cell>
          <cell r="E1430">
            <v>256</v>
          </cell>
        </row>
        <row r="1431">
          <cell r="A1431" t="str">
            <v>SÃO JOSÉ DO RIO PRETO</v>
          </cell>
          <cell r="C1431" t="str">
            <v>PARQUE RIO AMAZONAS</v>
          </cell>
          <cell r="D1431" t="str">
            <v>F7F8F23C-1743-DF11-9F9A-001F2909E810</v>
          </cell>
          <cell r="E1431">
            <v>448</v>
          </cell>
        </row>
        <row r="1432">
          <cell r="A1432" t="str">
            <v>SÃO JOSÉ DO RIO PRETO</v>
          </cell>
          <cell r="C1432" t="str">
            <v>PARQUE RIO ARAGUAIA</v>
          </cell>
          <cell r="D1432" t="str">
            <v>FE346154-54DA-E511-9CC2-009C02B0CB58</v>
          </cell>
          <cell r="E1432">
            <v>240</v>
          </cell>
        </row>
        <row r="1433">
          <cell r="A1433" t="str">
            <v>SÃO JOSÉ DO RIO PRETO</v>
          </cell>
          <cell r="C1433" t="str">
            <v>PARQUE RIO BANDEIRA</v>
          </cell>
          <cell r="D1433" t="str">
            <v>D184703A-D403-E011-B242-001F2909E810</v>
          </cell>
          <cell r="E1433">
            <v>352</v>
          </cell>
        </row>
        <row r="1434">
          <cell r="A1434" t="str">
            <v>SÃO JOSÉ DO RIO PRETO</v>
          </cell>
          <cell r="C1434" t="str">
            <v>PARQUE RIO BRANCO</v>
          </cell>
          <cell r="D1434" t="str">
            <v>C8BA58FD-3467-DF11-9F9A-001F2909E810</v>
          </cell>
          <cell r="E1434">
            <v>64</v>
          </cell>
        </row>
        <row r="1435">
          <cell r="A1435" t="str">
            <v>SÃO JOSÉ DO RIO PRETO</v>
          </cell>
          <cell r="C1435" t="str">
            <v>PARQUE RIO CORAIS</v>
          </cell>
          <cell r="D1435" t="str">
            <v>FA8F2D96-0D3A-E011-B242-001F2909E810</v>
          </cell>
          <cell r="E1435">
            <v>224</v>
          </cell>
        </row>
        <row r="1436">
          <cell r="A1436" t="str">
            <v>SÃO JOSÉ DO RIO PRETO</v>
          </cell>
          <cell r="C1436" t="str">
            <v>PARQUE RIO DANÚBIO</v>
          </cell>
          <cell r="D1436" t="str">
            <v>136619A8-FE32-E611-A5BB-009C02B0CB58</v>
          </cell>
          <cell r="E1436">
            <v>320</v>
          </cell>
        </row>
        <row r="1437">
          <cell r="A1437" t="str">
            <v>SÃO JOSÉ DO RIO PRETO</v>
          </cell>
          <cell r="C1437" t="str">
            <v>PARQUE RIO DAS FLORES</v>
          </cell>
          <cell r="D1437" t="str">
            <v>56DE7D1A-85FD-DF11-B242-001F2909E810</v>
          </cell>
          <cell r="E1437">
            <v>436</v>
          </cell>
        </row>
        <row r="1438">
          <cell r="A1438" t="str">
            <v>SÃO JOSÉ DO RIO PRETO</v>
          </cell>
          <cell r="C1438" t="str">
            <v>PARQUE RIO DAS HORTÊNSIAS</v>
          </cell>
          <cell r="D1438" t="str">
            <v>979818DC-E874-E011-8AF4-001B78B9D994</v>
          </cell>
          <cell r="E1438">
            <v>420</v>
          </cell>
        </row>
        <row r="1439">
          <cell r="A1439" t="str">
            <v>SÃO JOSÉ DO RIO PRETO</v>
          </cell>
          <cell r="C1439" t="str">
            <v>PARQUE RIO DAS PEDRAS</v>
          </cell>
          <cell r="D1439" t="str">
            <v>C718602D-103A-E011-B242-001F2909E810</v>
          </cell>
          <cell r="E1439">
            <v>352</v>
          </cell>
        </row>
        <row r="1440">
          <cell r="A1440" t="str">
            <v>SÃO JOSÉ DO RIO PRETO</v>
          </cell>
          <cell r="C1440" t="str">
            <v>PARQUE RIO DOURADO</v>
          </cell>
          <cell r="D1440" t="str">
            <v>0A8151A9-3467-DF11-9F9A-001F2909E810</v>
          </cell>
          <cell r="E1440">
            <v>48</v>
          </cell>
        </row>
        <row r="1441">
          <cell r="A1441" t="str">
            <v>SÃO JOSÉ DO RIO PRETO</v>
          </cell>
          <cell r="C1441" t="str">
            <v>PARQUE RIO ELBA</v>
          </cell>
          <cell r="D1441" t="str">
            <v>867B4B78-3280-DE11-95FB-001F2909E83C</v>
          </cell>
          <cell r="E1441">
            <v>88</v>
          </cell>
        </row>
        <row r="1442">
          <cell r="A1442" t="str">
            <v>SÃO JOSÉ DO RIO PRETO</v>
          </cell>
          <cell r="C1442" t="str">
            <v>PARQUE RIO GANGES</v>
          </cell>
          <cell r="D1442" t="str">
            <v>C1C3454D-1465-DF11-9F9A-001F2909E810</v>
          </cell>
          <cell r="E1442">
            <v>84</v>
          </cell>
        </row>
        <row r="1443">
          <cell r="A1443" t="str">
            <v>SÃO JOSÉ DO RIO PRETO</v>
          </cell>
          <cell r="C1443" t="str">
            <v>PARQUE RIO LIS</v>
          </cell>
          <cell r="D1443" t="str">
            <v>96848420-003B-E711-8CD7-009C02B0CB58</v>
          </cell>
          <cell r="E1443">
            <v>272</v>
          </cell>
        </row>
        <row r="1444">
          <cell r="A1444" t="str">
            <v>SÃO JOSÉ DO RIO PRETO</v>
          </cell>
          <cell r="C1444" t="str">
            <v>PARQUE RIO MAINE</v>
          </cell>
          <cell r="D1444" t="str">
            <v>16A0A999-4A81-E011-8AF4-001B78B9D994</v>
          </cell>
          <cell r="E1444">
            <v>144</v>
          </cell>
        </row>
        <row r="1445">
          <cell r="A1445" t="str">
            <v>SÃO JOSÉ DO RIO PRETO</v>
          </cell>
          <cell r="C1445" t="str">
            <v>PARQUE RIO NEGRO</v>
          </cell>
          <cell r="D1445" t="str">
            <v>B5316E56-C87E-DF11-B20E-001F2909E810</v>
          </cell>
          <cell r="E1445">
            <v>128</v>
          </cell>
        </row>
        <row r="1446">
          <cell r="A1446" t="str">
            <v>SÃO JOSÉ DO RIO PRETO</v>
          </cell>
          <cell r="C1446" t="str">
            <v>PARQUE RIO NIEVA</v>
          </cell>
          <cell r="D1446" t="str">
            <v>6869E8AE-1CE6-E011-8534-001B78B9D994</v>
          </cell>
          <cell r="E1446">
            <v>128</v>
          </cell>
        </row>
        <row r="1447">
          <cell r="A1447" t="str">
            <v>SÃO JOSÉ DO RIO PRETO</v>
          </cell>
          <cell r="C1447" t="str">
            <v>PARQUE RIO PARANÁ</v>
          </cell>
          <cell r="D1447" t="str">
            <v>1D588B44-4DBA-E111-BABC-001B78B9D994</v>
          </cell>
          <cell r="E1447">
            <v>400</v>
          </cell>
        </row>
        <row r="1448">
          <cell r="A1448" t="str">
            <v>SÃO JOSÉ DO RIO PRETO</v>
          </cell>
          <cell r="C1448" t="str">
            <v>PARQUE RIO PORTEÑO</v>
          </cell>
          <cell r="D1448" t="str">
            <v>D6F6A61B-0B4F-E011-BDCF-001F2909E810</v>
          </cell>
          <cell r="E1448">
            <v>256</v>
          </cell>
        </row>
        <row r="1449">
          <cell r="A1449" t="str">
            <v>SÃO JOSÉ DO RIO PRETO</v>
          </cell>
          <cell r="C1449" t="str">
            <v>PARQUE RIO POTENGI</v>
          </cell>
          <cell r="D1449" t="str">
            <v>AA525A26-D285-DE11-9553-001F2909E83C</v>
          </cell>
          <cell r="E1449">
            <v>320</v>
          </cell>
        </row>
        <row r="1450">
          <cell r="A1450" t="str">
            <v>SÃO JOSÉ DO RIO PRETO</v>
          </cell>
          <cell r="C1450" t="str">
            <v>PARQUE RIO SALAS</v>
          </cell>
          <cell r="D1450" t="str">
            <v>A4D2AE18-1DE6-E011-8534-001B78B9D994</v>
          </cell>
          <cell r="E1450">
            <v>144</v>
          </cell>
        </row>
        <row r="1451">
          <cell r="A1451" t="str">
            <v>SÃO JOSÉ DO RIO PRETO</v>
          </cell>
          <cell r="C1451" t="str">
            <v>PARQUE RIO SELLA</v>
          </cell>
          <cell r="D1451" t="str">
            <v>53F4F7CC-354C-E011-BDCF-001F2909E810</v>
          </cell>
          <cell r="E1451">
            <v>352</v>
          </cell>
        </row>
        <row r="1452">
          <cell r="A1452" t="str">
            <v>SÃO JOSÉ DO RIO PRETO</v>
          </cell>
          <cell r="C1452" t="str">
            <v>PARQUE RIO TAPAJÓS</v>
          </cell>
          <cell r="D1452" t="str">
            <v>BB592FB5-77B4-ED11-879A-80C16E075108</v>
          </cell>
          <cell r="E1452">
            <v>448</v>
          </cell>
        </row>
        <row r="1453">
          <cell r="A1453" t="str">
            <v>SÃO JOSÉ DO RIO PRETO</v>
          </cell>
          <cell r="C1453" t="str">
            <v>PARQUE RIO TIGRE</v>
          </cell>
          <cell r="D1453" t="str">
            <v>72772C5C-5385-DF11-B20E-001F2909E810</v>
          </cell>
          <cell r="E1453">
            <v>128</v>
          </cell>
        </row>
        <row r="1454">
          <cell r="A1454" t="str">
            <v>SÃO JOSÉ DO RIO PRETO</v>
          </cell>
          <cell r="C1454" t="str">
            <v>PARQUE RIO TOCANTINS</v>
          </cell>
          <cell r="D1454" t="str">
            <v>0C01A629-BE60-DE11-B0E8-001F2909E83C</v>
          </cell>
          <cell r="E1454">
            <v>384</v>
          </cell>
        </row>
        <row r="1455">
          <cell r="A1455" t="str">
            <v>SÃO JOSÉ DO RIO PRETO</v>
          </cell>
          <cell r="C1455" t="str">
            <v>PARQUE RIO XINGÚ</v>
          </cell>
          <cell r="D1455" t="str">
            <v>CC8E1746-6CB4-ED11-879A-80C16E075108</v>
          </cell>
          <cell r="E1455">
            <v>432</v>
          </cell>
        </row>
        <row r="1456">
          <cell r="A1456" t="str">
            <v>RIO DE JANEIRO</v>
          </cell>
          <cell r="C1456" t="str">
            <v>PARQUE RIVERSUL</v>
          </cell>
          <cell r="D1456" t="str">
            <v>43B11C53-BD61-DF11-9F9A-001F2909E810</v>
          </cell>
          <cell r="E1456">
            <v>360</v>
          </cell>
        </row>
        <row r="1457">
          <cell r="A1457" t="str">
            <v>RIO DE JANEIRO</v>
          </cell>
          <cell r="C1457" t="str">
            <v>PARQUE RIVIERA DA COSTA</v>
          </cell>
          <cell r="D1457" t="str">
            <v>3138C7A4-F4E7-DD11-BD2B-001B78B9D994</v>
          </cell>
          <cell r="E1457">
            <v>234</v>
          </cell>
        </row>
        <row r="1458">
          <cell r="A1458" t="str">
            <v>RIO DE JANEIRO</v>
          </cell>
          <cell r="C1458" t="str">
            <v>PARQUE RIVIERA DO SOL</v>
          </cell>
          <cell r="D1458" t="str">
            <v>EE0C6BCD-244C-DD11-BC22-001B78B9D994</v>
          </cell>
          <cell r="E1458">
            <v>237</v>
          </cell>
        </row>
        <row r="1459">
          <cell r="A1459" t="str">
            <v>RIO DE JANEIRO</v>
          </cell>
          <cell r="C1459" t="str">
            <v>PARQUE RIVIERA MAIA</v>
          </cell>
          <cell r="D1459" t="str">
            <v>DD8F8076-6E56-E111-A73D-001F2909E810</v>
          </cell>
          <cell r="E1459">
            <v>480</v>
          </cell>
        </row>
        <row r="1460">
          <cell r="A1460" t="str">
            <v>RIO DE JANEIRO</v>
          </cell>
          <cell r="C1460" t="str">
            <v>PARQUE RIVIERA TROPICAL</v>
          </cell>
          <cell r="D1460" t="str">
            <v>129D318F-128E-E511-B93A-80C16E075108</v>
          </cell>
          <cell r="E1460">
            <v>280</v>
          </cell>
        </row>
        <row r="1461">
          <cell r="A1461" t="str">
            <v>RIO DE JANEIRO</v>
          </cell>
          <cell r="C1461" t="str">
            <v>PARQUE RIVOLI</v>
          </cell>
          <cell r="D1461" t="str">
            <v>EEAEF119-BD0C-DF11-89FA-001F2909E810</v>
          </cell>
          <cell r="E1461">
            <v>240</v>
          </cell>
        </row>
        <row r="1462">
          <cell r="A1462" t="str">
            <v>RIBEIRÃO PRETO</v>
          </cell>
          <cell r="C1462" t="str">
            <v>PARQUE ROCHESTER</v>
          </cell>
          <cell r="D1462" t="str">
            <v>C68F728A-B4DD-DE11-8C8B-001F2909E810</v>
          </cell>
          <cell r="E1462">
            <v>312</v>
          </cell>
        </row>
        <row r="1463">
          <cell r="A1463" t="str">
            <v>RIO DE JANEIRO</v>
          </cell>
          <cell r="C1463" t="str">
            <v>PARQUE ROCKFELLER</v>
          </cell>
          <cell r="D1463" t="str">
            <v>DD981EE5-9D79-E111-A73F-001F2909E810</v>
          </cell>
          <cell r="E1463">
            <v>480</v>
          </cell>
        </row>
        <row r="1464">
          <cell r="A1464" t="str">
            <v>RIO DE JANEIRO</v>
          </cell>
          <cell r="C1464" t="str">
            <v>PARQUE ROMA</v>
          </cell>
          <cell r="D1464" t="str">
            <v>02F5328C-8F0A-E311-BAEB-009C02B0CB58</v>
          </cell>
          <cell r="E1464">
            <v>199</v>
          </cell>
        </row>
        <row r="1465">
          <cell r="A1465" t="str">
            <v>RIBEIRÃO PRETO</v>
          </cell>
          <cell r="C1465" t="str">
            <v>PARQUE ROMANCE</v>
          </cell>
          <cell r="D1465" t="str">
            <v>3692CE15-890E-E011-B242-001F2909E810</v>
          </cell>
          <cell r="E1465">
            <v>160</v>
          </cell>
        </row>
        <row r="1466">
          <cell r="A1466" t="str">
            <v>RIBEIRÃO PRETO</v>
          </cell>
          <cell r="C1466" t="str">
            <v>PARQUE ROMANELLI</v>
          </cell>
          <cell r="D1466" t="str">
            <v>4429F436-49A9-DF11-B20E-001F2909E810</v>
          </cell>
          <cell r="E1466">
            <v>144</v>
          </cell>
        </row>
        <row r="1467">
          <cell r="A1467" t="str">
            <v>RIBEIRÃO PRETO</v>
          </cell>
          <cell r="C1467" t="str">
            <v>PARQUE ROMANETTO</v>
          </cell>
          <cell r="D1467" t="str">
            <v>CE96AEA7-42A2-E011-BDCF-001F2909E810</v>
          </cell>
          <cell r="E1467">
            <v>192</v>
          </cell>
        </row>
        <row r="1468">
          <cell r="A1468" t="str">
            <v>RIBEIRÃO PRETO</v>
          </cell>
          <cell r="C1468" t="str">
            <v>PARQUE ROMANO</v>
          </cell>
          <cell r="D1468" t="str">
            <v>BA72AC74-425C-DE11-B0E8-001F2909E83C</v>
          </cell>
          <cell r="E1468">
            <v>160</v>
          </cell>
        </row>
        <row r="1469">
          <cell r="A1469" t="str">
            <v>RIBEIRÃO PRETO</v>
          </cell>
          <cell r="C1469" t="str">
            <v>PARQUE ROMÊNIA</v>
          </cell>
          <cell r="D1469" t="str">
            <v>C2D5027F-DE7E-E311-8EFB-009C02B0CB58</v>
          </cell>
          <cell r="E1469">
            <v>128</v>
          </cell>
        </row>
        <row r="1470">
          <cell r="A1470" t="str">
            <v>RIBEIRÃO PRETO</v>
          </cell>
          <cell r="C1470" t="str">
            <v>PARQUE ROSA DOS VENTOS</v>
          </cell>
          <cell r="D1470" t="str">
            <v>F34B58EE-98CD-DF11-B242-001F2909E810</v>
          </cell>
          <cell r="E1470">
            <v>104</v>
          </cell>
        </row>
        <row r="1471">
          <cell r="A1471" t="str">
            <v>RIBEIRÃO PRETO</v>
          </cell>
          <cell r="C1471" t="str">
            <v>PARQUE ROSÁRIO DO SUL</v>
          </cell>
          <cell r="D1471" t="str">
            <v>AD274F76-1A78-E011-BDCF-001F2909E810</v>
          </cell>
          <cell r="E1471">
            <v>320</v>
          </cell>
        </row>
        <row r="1472">
          <cell r="A1472" t="str">
            <v>RIBEIRÃO PRETO</v>
          </cell>
          <cell r="C1472" t="str">
            <v>PARQUE ROYAL GARDEN</v>
          </cell>
          <cell r="D1472" t="str">
            <v>39E17537-42A2-E011-BDCF-001F2909E810</v>
          </cell>
          <cell r="E1472">
            <v>592</v>
          </cell>
        </row>
        <row r="1473">
          <cell r="A1473" t="str">
            <v>RIBEIRÃO PRETO</v>
          </cell>
          <cell r="C1473" t="str">
            <v>PARQUE ROYAL PALACE</v>
          </cell>
          <cell r="D1473" t="str">
            <v>E31B63AB-4638-E011-B242-001F2909E810</v>
          </cell>
          <cell r="E1473">
            <v>280</v>
          </cell>
        </row>
        <row r="1474">
          <cell r="A1474" t="str">
            <v>CONTAGEM</v>
          </cell>
          <cell r="C1474" t="str">
            <v>PARQUE RUBIS</v>
          </cell>
          <cell r="D1474" t="str">
            <v>EC9A9C80-68E9-DC11-ABD0-001B7845B4A6</v>
          </cell>
          <cell r="E1474">
            <v>80</v>
          </cell>
        </row>
        <row r="1475">
          <cell r="A1475" t="str">
            <v>RIBEIRÃO PRETO</v>
          </cell>
          <cell r="C1475" t="str">
            <v>PARQUE RÚSSIA</v>
          </cell>
          <cell r="D1475" t="str">
            <v>DD179E04-24EB-DF11-B242-001F2909E810</v>
          </cell>
          <cell r="E1475">
            <v>440</v>
          </cell>
        </row>
        <row r="1476">
          <cell r="A1476" t="str">
            <v>SOROCABA</v>
          </cell>
          <cell r="C1476" t="str">
            <v>PARQUE SAFIRA</v>
          </cell>
          <cell r="D1476" t="str">
            <v>FECF1888-07DB-DC11-ABCF-001B7845B4A6</v>
          </cell>
          <cell r="E1476">
            <v>64</v>
          </cell>
        </row>
        <row r="1477">
          <cell r="A1477" t="str">
            <v>SÃO PAULO</v>
          </cell>
          <cell r="C1477" t="str">
            <v>PARQUE SAINT ACÁCIO</v>
          </cell>
          <cell r="D1477" t="str">
            <v>7AD4FD36-4E35-E011-B242-001F2909E810</v>
          </cell>
          <cell r="E1477">
            <v>200</v>
          </cell>
        </row>
        <row r="1478">
          <cell r="A1478" t="str">
            <v>SÃO PAULO</v>
          </cell>
          <cell r="C1478" t="str">
            <v>PARQUE SAINT AFONSO</v>
          </cell>
          <cell r="D1478" t="str">
            <v>2370F0E4-443F-E011-B242-001F2909E810</v>
          </cell>
          <cell r="E1478">
            <v>180</v>
          </cell>
        </row>
        <row r="1479">
          <cell r="A1479" t="str">
            <v>SÃO PAULO</v>
          </cell>
          <cell r="C1479" t="str">
            <v>PARQUE SAINT AMADEO</v>
          </cell>
          <cell r="D1479" t="str">
            <v>DE33C533-523F-E011-B242-001F2909E810</v>
          </cell>
          <cell r="E1479">
            <v>200</v>
          </cell>
        </row>
        <row r="1480">
          <cell r="A1480" t="str">
            <v>SÃO PAULO</v>
          </cell>
          <cell r="C1480" t="str">
            <v>PARQUE SAINT ANGELO</v>
          </cell>
          <cell r="D1480" t="str">
            <v>D32EE7A9-523F-E011-B242-001F2909E810</v>
          </cell>
          <cell r="E1480">
            <v>200</v>
          </cell>
        </row>
        <row r="1481">
          <cell r="A1481" t="str">
            <v>SÃO PAULO</v>
          </cell>
          <cell r="C1481" t="str">
            <v>PARQUE SAINT ARTHUR</v>
          </cell>
          <cell r="D1481" t="str">
            <v>E2282A48-8F6B-E011-BDCF-001F2909E810</v>
          </cell>
          <cell r="E1481">
            <v>240</v>
          </cell>
        </row>
        <row r="1482">
          <cell r="A1482" t="str">
            <v>SÃO PAULO</v>
          </cell>
          <cell r="C1482" t="str">
            <v>PARQUE SAINT BARTOLOMEU</v>
          </cell>
          <cell r="D1482" t="str">
            <v>D870A2AE-743F-E011-B242-001F2909E810</v>
          </cell>
          <cell r="E1482">
            <v>200</v>
          </cell>
        </row>
        <row r="1483">
          <cell r="A1483" t="str">
            <v>COTIA</v>
          </cell>
          <cell r="C1483" t="str">
            <v>PARQUE SAINT BENJAMIN</v>
          </cell>
          <cell r="D1483" t="str">
            <v>E3EF2368-8E95-E211-8F8C-009C02B0CB58</v>
          </cell>
          <cell r="E1483">
            <v>160</v>
          </cell>
        </row>
        <row r="1484">
          <cell r="A1484" t="str">
            <v>COTIA</v>
          </cell>
          <cell r="C1484" t="str">
            <v>PARQUE SAINT CHRISTOPHER</v>
          </cell>
          <cell r="D1484" t="str">
            <v>497A6500-03F4-E011-9F2B-001F2909E810</v>
          </cell>
          <cell r="E1484">
            <v>272</v>
          </cell>
        </row>
        <row r="1485">
          <cell r="A1485" t="str">
            <v>SÃO PAULO</v>
          </cell>
          <cell r="C1485" t="str">
            <v>PARQUE SAINT DIMAS</v>
          </cell>
          <cell r="D1485" t="str">
            <v>EE0CECC2-328E-E111-A73F-001F2909E810</v>
          </cell>
          <cell r="E1485">
            <v>280</v>
          </cell>
        </row>
        <row r="1486">
          <cell r="A1486" t="str">
            <v>SÃO PAULO</v>
          </cell>
          <cell r="C1486" t="str">
            <v>PARQUE SAINT JOHN</v>
          </cell>
          <cell r="D1486" t="str">
            <v>B4509FA9-7C68-E111-A73F-001F2909E810</v>
          </cell>
          <cell r="E1486">
            <v>200</v>
          </cell>
        </row>
        <row r="1487">
          <cell r="A1487" t="str">
            <v>SOROCABA</v>
          </cell>
          <cell r="C1487" t="str">
            <v>PARQUE SALÉM</v>
          </cell>
          <cell r="D1487" t="str">
            <v>817E6EAF-942C-E411-8EFB-009C02B0CB58</v>
          </cell>
          <cell r="E1487">
            <v>728</v>
          </cell>
        </row>
        <row r="1488">
          <cell r="A1488" t="str">
            <v>SUZANO</v>
          </cell>
          <cell r="C1488" t="str">
            <v>PARQUE SAMOA</v>
          </cell>
          <cell r="D1488" t="str">
            <v>835FDF0D-7C1A-E111-B689-001F2909E810</v>
          </cell>
          <cell r="E1488">
            <v>160</v>
          </cell>
        </row>
        <row r="1489">
          <cell r="A1489" t="str">
            <v>SÃO PAULO</v>
          </cell>
          <cell r="C1489" t="str">
            <v>PARQUE SAN ANTONIO</v>
          </cell>
          <cell r="D1489" t="str">
            <v>96BB0890-A9D5-E011-85C2-001F2909E810</v>
          </cell>
          <cell r="E1489">
            <v>180</v>
          </cell>
        </row>
        <row r="1490">
          <cell r="A1490" t="str">
            <v>SÃO PAULO</v>
          </cell>
          <cell r="C1490" t="str">
            <v>PARQUE SAN BASILE</v>
          </cell>
          <cell r="D1490" t="str">
            <v>B917BF3C-DF82-E011-BDCF-001F2909E810</v>
          </cell>
          <cell r="E1490">
            <v>120</v>
          </cell>
        </row>
        <row r="1491">
          <cell r="A1491" t="str">
            <v>SÃO PAULO</v>
          </cell>
          <cell r="C1491" t="str">
            <v>PARQUE SAN DOMENICO</v>
          </cell>
          <cell r="D1491" t="str">
            <v>FC262FD2-491F-E011-B242-001F2909E810</v>
          </cell>
          <cell r="E1491">
            <v>120</v>
          </cell>
        </row>
        <row r="1492">
          <cell r="A1492" t="str">
            <v>SÃO PAULO</v>
          </cell>
          <cell r="C1492" t="str">
            <v>PARQUE SAN EDGARD</v>
          </cell>
          <cell r="D1492" t="str">
            <v>1E21EFC7-CD03-E011-B242-001F2909E810</v>
          </cell>
          <cell r="E1492">
            <v>120</v>
          </cell>
        </row>
        <row r="1493">
          <cell r="A1493" t="str">
            <v>SÃO PAULO</v>
          </cell>
          <cell r="C1493" t="str">
            <v>PARQUE SAN GIULIO</v>
          </cell>
          <cell r="D1493" t="str">
            <v>55613978-DF82-E011-BDCF-001F2909E810</v>
          </cell>
          <cell r="E1493">
            <v>120</v>
          </cell>
        </row>
        <row r="1494">
          <cell r="A1494" t="str">
            <v>SÃO PAULO</v>
          </cell>
          <cell r="C1494" t="str">
            <v>PARQUE SAN JEAN</v>
          </cell>
          <cell r="D1494" t="str">
            <v>51B498DF-0CA6-DF11-B20E-001F2909E810</v>
          </cell>
          <cell r="E1494">
            <v>144</v>
          </cell>
        </row>
        <row r="1495">
          <cell r="A1495" t="str">
            <v>SÃO PAULO</v>
          </cell>
          <cell r="C1495" t="str">
            <v>PARQUE SAN MARTINO</v>
          </cell>
          <cell r="D1495" t="str">
            <v>06F8DCDC-55D7-E111-BBED-001F2909E810</v>
          </cell>
          <cell r="E1495">
            <v>160</v>
          </cell>
        </row>
        <row r="1496">
          <cell r="A1496" t="str">
            <v>CAJAMAR</v>
          </cell>
          <cell r="C1496" t="str">
            <v>PARQUE SAN MIGUEL</v>
          </cell>
          <cell r="D1496" t="str">
            <v>B458802E-B9A7-E411-B5D2-009C02B0CB58</v>
          </cell>
          <cell r="E1496">
            <v>1024</v>
          </cell>
        </row>
        <row r="1497">
          <cell r="A1497" t="str">
            <v>SÃO PAULO</v>
          </cell>
          <cell r="C1497" t="str">
            <v>PARQUE SAN PETERSBURGO</v>
          </cell>
          <cell r="D1497" t="str">
            <v>D0294D44-8BCE-DC11-9ED6-001B7845B4A6</v>
          </cell>
          <cell r="E1497">
            <v>140</v>
          </cell>
        </row>
        <row r="1498">
          <cell r="A1498" t="str">
            <v>SÃO PAULO</v>
          </cell>
          <cell r="C1498" t="str">
            <v>PARQUE SAN SILVESTRE</v>
          </cell>
          <cell r="D1498" t="str">
            <v>5AE59B2E-DCD2-DE11-8C8B-001F2909E810</v>
          </cell>
          <cell r="E1498">
            <v>120</v>
          </cell>
        </row>
        <row r="1499">
          <cell r="A1499" t="str">
            <v>SÃO BERNARDO DO CAMPO</v>
          </cell>
          <cell r="C1499" t="str">
            <v>PARQUE SAN THOMAS</v>
          </cell>
          <cell r="D1499" t="str">
            <v>E8FCD01C-C1CE-DC11-9ED6-001B7845B4A6</v>
          </cell>
          <cell r="E1499">
            <v>264</v>
          </cell>
        </row>
        <row r="1500">
          <cell r="A1500" t="str">
            <v>GUARULHOS</v>
          </cell>
          <cell r="C1500" t="str">
            <v>PARQUE SANTA AMÉLIA</v>
          </cell>
          <cell r="D1500" t="str">
            <v>7A5975A6-1D6B-E711-8E92-009C02B0CB58</v>
          </cell>
          <cell r="E1500">
            <v>160</v>
          </cell>
        </row>
        <row r="1501">
          <cell r="A1501" t="str">
            <v>GUARULHOS</v>
          </cell>
          <cell r="C1501" t="str">
            <v>PARQUE SANTA ANA</v>
          </cell>
          <cell r="D1501" t="str">
            <v>C1083629-68B0-E411-9DC0-80C16E075108</v>
          </cell>
          <cell r="E1501">
            <v>440</v>
          </cell>
        </row>
        <row r="1502">
          <cell r="A1502" t="str">
            <v>GUARULHOS</v>
          </cell>
          <cell r="C1502" t="str">
            <v>PARQUE SANTA ÂNGELA</v>
          </cell>
          <cell r="D1502" t="str">
            <v>4E546EDF-BEF7-E711-A541-009C02B0CB58</v>
          </cell>
          <cell r="E1502">
            <v>120</v>
          </cell>
        </row>
        <row r="1503">
          <cell r="A1503" t="str">
            <v>GUARULHOS</v>
          </cell>
          <cell r="C1503" t="str">
            <v>PARQUE SANTA BÁRBARA</v>
          </cell>
          <cell r="D1503" t="str">
            <v>72BF5668-9D95-DF11-B20E-001F2909E810</v>
          </cell>
          <cell r="E1503">
            <v>384</v>
          </cell>
        </row>
        <row r="1504">
          <cell r="A1504" t="str">
            <v>GUARULHOS</v>
          </cell>
          <cell r="C1504" t="str">
            <v>PARQUE SANTA CATARINA</v>
          </cell>
          <cell r="D1504" t="str">
            <v>B9E891E7-0B02-E011-B242-001F2909E810</v>
          </cell>
          <cell r="E1504">
            <v>436</v>
          </cell>
        </row>
        <row r="1505">
          <cell r="A1505" t="str">
            <v>GUARULHOS</v>
          </cell>
          <cell r="C1505" t="str">
            <v>PARQUE SANTA CECÍLIA</v>
          </cell>
          <cell r="D1505" t="str">
            <v>033171A2-AD1C-DF11-83FF-001F2909E810</v>
          </cell>
          <cell r="E1505">
            <v>440</v>
          </cell>
        </row>
        <row r="1506">
          <cell r="A1506" t="str">
            <v>GUARULHOS</v>
          </cell>
          <cell r="C1506" t="str">
            <v>PARQUE SANTA INÊS</v>
          </cell>
          <cell r="D1506" t="str">
            <v>40ED4F76-88C3-E011-8272-001F2909E810</v>
          </cell>
          <cell r="E1506">
            <v>504</v>
          </cell>
        </row>
        <row r="1507">
          <cell r="A1507" t="str">
            <v>GUARULHOS</v>
          </cell>
          <cell r="C1507" t="str">
            <v>PARQUE SANTA ISABEL</v>
          </cell>
          <cell r="D1507" t="str">
            <v>159D68AB-CE32-DF11-B3AB-001F2909E810</v>
          </cell>
          <cell r="E1507">
            <v>392</v>
          </cell>
        </row>
        <row r="1508">
          <cell r="A1508" t="str">
            <v>GUARULHOS</v>
          </cell>
          <cell r="C1508" t="str">
            <v>PARQUE SANTA JÚLIA</v>
          </cell>
          <cell r="D1508" t="str">
            <v>5B29AE82-AB6C-E211-8F8C-009C02B0CB58</v>
          </cell>
          <cell r="E1508">
            <v>0</v>
          </cell>
        </row>
        <row r="1509">
          <cell r="A1509" t="str">
            <v>GUARULHOS</v>
          </cell>
          <cell r="C1509" t="str">
            <v>PARQUE SANTA LÚCIA</v>
          </cell>
          <cell r="D1509" t="str">
            <v>EA05C0C4-5364-DF11-9F9A-001F2909E810</v>
          </cell>
          <cell r="E1509">
            <v>1808</v>
          </cell>
        </row>
        <row r="1510">
          <cell r="A1510" t="str">
            <v>GUARULHOS</v>
          </cell>
          <cell r="C1510" t="str">
            <v>PARQUE SANTA MARINA</v>
          </cell>
          <cell r="D1510" t="str">
            <v>3C6511B9-EBFE-DE11-89FA-001F2909E810</v>
          </cell>
          <cell r="E1510">
            <v>320</v>
          </cell>
        </row>
        <row r="1511">
          <cell r="A1511" t="str">
            <v>GUARULHOS</v>
          </cell>
          <cell r="C1511" t="str">
            <v>PARQUE SANTA MÔNICA</v>
          </cell>
          <cell r="D1511" t="str">
            <v>9E171FC4-ECFE-DE11-89FA-001F2909E810</v>
          </cell>
          <cell r="E1511">
            <v>720</v>
          </cell>
        </row>
        <row r="1512">
          <cell r="A1512" t="str">
            <v>GUARULHOS</v>
          </cell>
          <cell r="C1512" t="str">
            <v>PARQUE SANTA TERESA</v>
          </cell>
          <cell r="D1512" t="str">
            <v>9FAC5150-AF94-E311-8EFB-009C02B0CB58</v>
          </cell>
          <cell r="E1512">
            <v>960</v>
          </cell>
        </row>
        <row r="1513">
          <cell r="A1513" t="str">
            <v>SUZANO</v>
          </cell>
          <cell r="C1513" t="str">
            <v>PARQUE SATURNO</v>
          </cell>
          <cell r="D1513" t="str">
            <v>FF442A29-A2C4-E311-B03C-80C16E075108</v>
          </cell>
          <cell r="E1513">
            <v>192</v>
          </cell>
        </row>
        <row r="1514">
          <cell r="A1514" t="str">
            <v>SERTÃOZINHO</v>
          </cell>
          <cell r="C1514" t="str">
            <v>PARQUE SAUÍPE</v>
          </cell>
          <cell r="D1514" t="str">
            <v>E6E3D819-0821-E111-B3C4-001F2909E810</v>
          </cell>
          <cell r="E1514">
            <v>224</v>
          </cell>
        </row>
        <row r="1515">
          <cell r="A1515" t="str">
            <v>SUZANO</v>
          </cell>
          <cell r="C1515" t="str">
            <v>PARQUE SAVASSI</v>
          </cell>
          <cell r="D1515" t="str">
            <v>852C502B-F469-E011-BDCF-001F2909E810</v>
          </cell>
          <cell r="E1515">
            <v>360</v>
          </cell>
        </row>
        <row r="1516">
          <cell r="A1516" t="str">
            <v>SUZANO</v>
          </cell>
          <cell r="C1516" t="str">
            <v>PARQUE SELETTO</v>
          </cell>
          <cell r="D1516" t="str">
            <v>D9D56A22-DCDC-E111-A5A4-001F2909E810</v>
          </cell>
          <cell r="E1516">
            <v>499</v>
          </cell>
        </row>
        <row r="1517">
          <cell r="A1517" t="str">
            <v>SUZANO</v>
          </cell>
          <cell r="C1517" t="str">
            <v>PARQUE SERAFIM</v>
          </cell>
          <cell r="D1517" t="str">
            <v>769EAC53-FBCA-E311-B03C-80C16E075108</v>
          </cell>
          <cell r="E1517">
            <v>80</v>
          </cell>
        </row>
        <row r="1518">
          <cell r="A1518" t="str">
            <v>SUZANO</v>
          </cell>
          <cell r="C1518" t="str">
            <v>PARQUE SERENO</v>
          </cell>
          <cell r="D1518" t="str">
            <v>74297D22-1214-E311-BAEB-009C02B0CB58</v>
          </cell>
          <cell r="E1518">
            <v>320</v>
          </cell>
        </row>
        <row r="1519">
          <cell r="A1519" t="str">
            <v>SOROCABA</v>
          </cell>
          <cell r="C1519" t="str">
            <v>PARQUE SERRA AZUL</v>
          </cell>
          <cell r="D1519" t="str">
            <v>0957ABC7-FA3F-E411-8EFB-009C02B0CB58</v>
          </cell>
          <cell r="E1519">
            <v>608</v>
          </cell>
        </row>
        <row r="1520">
          <cell r="A1520" t="str">
            <v>SOROCABA</v>
          </cell>
          <cell r="C1520" t="str">
            <v>PARQUE SERRA BONITA</v>
          </cell>
          <cell r="D1520" t="str">
            <v>99C7557F-7192-E411-9DC0-80C16E075108</v>
          </cell>
          <cell r="E1520">
            <v>800</v>
          </cell>
        </row>
        <row r="1521">
          <cell r="A1521" t="str">
            <v>SANTA LUZIA</v>
          </cell>
          <cell r="C1521" t="str">
            <v>PARQUE SERRA DAS ARAUCÁRIAS</v>
          </cell>
          <cell r="D1521" t="str">
            <v>E2BE1FEC-D5C5-E511-9CC2-009C02B0CB58</v>
          </cell>
          <cell r="E1521">
            <v>200</v>
          </cell>
        </row>
        <row r="1522">
          <cell r="A1522" t="str">
            <v>SANTA LUZIA</v>
          </cell>
          <cell r="C1522" t="str">
            <v>PARQUE SERRA DAS AROEIRAS</v>
          </cell>
          <cell r="D1522" t="str">
            <v>C78B1F26-4535-E511-A3A7-80C16E075108</v>
          </cell>
          <cell r="E1522">
            <v>140</v>
          </cell>
        </row>
        <row r="1523">
          <cell r="A1523" t="str">
            <v>SANTA LUZIA</v>
          </cell>
          <cell r="C1523" t="str">
            <v>PARQUE SERRA DAS CASTANHEIRAS</v>
          </cell>
          <cell r="D1523" t="str">
            <v>0B44561A-8586-E711-990E-0050568A2E98</v>
          </cell>
          <cell r="E1523">
            <v>120</v>
          </cell>
        </row>
        <row r="1524">
          <cell r="A1524" t="str">
            <v>SANTA LUZIA</v>
          </cell>
          <cell r="C1524" t="str">
            <v>PARQUE SERRA DAS LARANJEIRAS</v>
          </cell>
          <cell r="D1524" t="str">
            <v>9BF1A74D-3CE1-E511-9CC2-009C02B0CB58</v>
          </cell>
          <cell r="E1524">
            <v>200</v>
          </cell>
        </row>
        <row r="1525">
          <cell r="A1525" t="str">
            <v>SANTA LUZIA</v>
          </cell>
          <cell r="C1525" t="str">
            <v>PARQUE SERRA DAS OLIVEIRAS</v>
          </cell>
          <cell r="D1525" t="str">
            <v>04EBD407-B563-E511-8826-80C16E075108</v>
          </cell>
          <cell r="E1525">
            <v>132</v>
          </cell>
        </row>
        <row r="1526">
          <cell r="A1526" t="str">
            <v>SANTA LUZIA</v>
          </cell>
          <cell r="C1526" t="str">
            <v>PARQUE SERRA DAS PALMEIRAS</v>
          </cell>
          <cell r="D1526" t="str">
            <v>0C49ED24-BF1D-E611-A5BB-009C02B0CB58</v>
          </cell>
          <cell r="E1526">
            <v>100</v>
          </cell>
        </row>
        <row r="1527">
          <cell r="A1527" t="str">
            <v>SOROCABA</v>
          </cell>
          <cell r="C1527" t="str">
            <v>PARQUE SERRA DO HORTO</v>
          </cell>
          <cell r="D1527" t="str">
            <v>79597629-312B-E511-A6CC-009C02B0CB58</v>
          </cell>
          <cell r="E1527">
            <v>304</v>
          </cell>
        </row>
        <row r="1528">
          <cell r="A1528" t="str">
            <v>SANTA LUZIA</v>
          </cell>
          <cell r="C1528" t="str">
            <v>PARQUE SERRA DOS IPÊS</v>
          </cell>
          <cell r="D1528" t="str">
            <v>A721557E-EC28-E611-A5BB-009C02B0CB58</v>
          </cell>
          <cell r="E1528">
            <v>160</v>
          </cell>
        </row>
        <row r="1529">
          <cell r="A1529" t="str">
            <v>SANTA LUZIA</v>
          </cell>
          <cell r="C1529" t="str">
            <v>PARQUE SERRA DOS PINHEIROS</v>
          </cell>
          <cell r="D1529" t="str">
            <v>F7E03FA6-9097-E611-B1E9-009C02B0CB58</v>
          </cell>
          <cell r="E1529">
            <v>120</v>
          </cell>
        </row>
        <row r="1530">
          <cell r="A1530" t="str">
            <v>SALVADOR</v>
          </cell>
          <cell r="C1530" t="str">
            <v>PARQUE SERRA VILLE</v>
          </cell>
          <cell r="D1530" t="str">
            <v>7D66AB5B-BD4A-E611-A5BB-009C02B0CB58</v>
          </cell>
          <cell r="E1530">
            <v>500</v>
          </cell>
        </row>
        <row r="1531">
          <cell r="A1531" t="str">
            <v>SOROCABA</v>
          </cell>
          <cell r="C1531" t="str">
            <v>PARQUE SERRANO</v>
          </cell>
          <cell r="D1531" t="str">
            <v>0D19C691-09DA-E311-B03C-80C16E075108</v>
          </cell>
          <cell r="E1531">
            <v>192</v>
          </cell>
        </row>
        <row r="1532">
          <cell r="A1532" t="str">
            <v>SUZANO</v>
          </cell>
          <cell r="C1532" t="str">
            <v>PARQUE SETÚBAL</v>
          </cell>
          <cell r="D1532" t="str">
            <v>76F577D6-CF50-E011-BDCF-001F2909E810</v>
          </cell>
          <cell r="E1532">
            <v>360</v>
          </cell>
        </row>
        <row r="1533">
          <cell r="A1533" t="str">
            <v>SOROCABA</v>
          </cell>
          <cell r="C1533" t="str">
            <v>PARQUE SEVILHA</v>
          </cell>
          <cell r="D1533" t="str">
            <v>715821E6-8006-DF11-89FA-001F2909E810</v>
          </cell>
          <cell r="E1533">
            <v>160</v>
          </cell>
        </row>
        <row r="1534">
          <cell r="A1534" t="str">
            <v>CONTAGEM</v>
          </cell>
          <cell r="C1534" t="str">
            <v>PARQUE SIDNEY</v>
          </cell>
          <cell r="D1534" t="str">
            <v>AA69062E-E5E6-DC11-ABD0-001B7845B4A6</v>
          </cell>
          <cell r="E1534">
            <v>128</v>
          </cell>
        </row>
        <row r="1535">
          <cell r="A1535" t="str">
            <v>VOTORANTIM</v>
          </cell>
          <cell r="C1535" t="str">
            <v>PARQUE SINFONIA</v>
          </cell>
          <cell r="D1535" t="str">
            <v>C7DA96A4-0086-E011-BDCF-001F2909E810</v>
          </cell>
          <cell r="E1535">
            <v>760</v>
          </cell>
        </row>
        <row r="1536">
          <cell r="A1536" t="str">
            <v>SUZANO</v>
          </cell>
          <cell r="C1536" t="str">
            <v>PARQUE SINTONIA</v>
          </cell>
          <cell r="D1536" t="str">
            <v>F388F40D-AE9D-E511-B93A-80C16E075108</v>
          </cell>
          <cell r="E1536">
            <v>192</v>
          </cell>
        </row>
        <row r="1537">
          <cell r="A1537" t="str">
            <v>SOROCABA</v>
          </cell>
          <cell r="C1537" t="str">
            <v>PARQUE SMART</v>
          </cell>
          <cell r="D1537" t="str">
            <v>FC6FC3A8-FA5C-DF11-9F9A-001F2909E810</v>
          </cell>
          <cell r="E1537">
            <v>256</v>
          </cell>
        </row>
        <row r="1538">
          <cell r="A1538" t="str">
            <v>SÃO GONÇALO</v>
          </cell>
          <cell r="C1538" t="str">
            <v>PARQUE SOL DA ENSEADA</v>
          </cell>
          <cell r="D1538" t="str">
            <v>685F7EAC-C6E7-E511-9CC2-009C02B0CB58</v>
          </cell>
          <cell r="E1538">
            <v>480</v>
          </cell>
        </row>
        <row r="1539">
          <cell r="A1539" t="str">
            <v>SÃO GONÇALO</v>
          </cell>
          <cell r="C1539" t="str">
            <v>PARQUE SOL DA GUANABARA</v>
          </cell>
          <cell r="D1539" t="str">
            <v>6B9C1820-C6E7-E511-9CC2-009C02B0CB58</v>
          </cell>
          <cell r="E1539">
            <v>500</v>
          </cell>
        </row>
        <row r="1540">
          <cell r="A1540" t="str">
            <v>SÃO GONÇALO</v>
          </cell>
          <cell r="C1540" t="str">
            <v>PARQUE SOL DO ENGENHO</v>
          </cell>
          <cell r="D1540" t="str">
            <v>A4EDFA2C-C7E7-E511-9CC2-009C02B0CB58</v>
          </cell>
          <cell r="E1540">
            <v>500</v>
          </cell>
        </row>
        <row r="1541">
          <cell r="A1541" t="str">
            <v>SÃO GONÇALO</v>
          </cell>
          <cell r="C1541" t="str">
            <v>PARQUE SOL DO LITORAL</v>
          </cell>
          <cell r="D1541" t="str">
            <v>2EFFE804-C7E7-E511-9CC2-009C02B0CB58</v>
          </cell>
          <cell r="E1541">
            <v>500</v>
          </cell>
        </row>
        <row r="1542">
          <cell r="A1542" t="str">
            <v>SÃO GONÇALO</v>
          </cell>
          <cell r="C1542" t="str">
            <v>PARQUE SOL DO PONTAL</v>
          </cell>
          <cell r="D1542" t="str">
            <v>AA96F9D9-C6E7-E511-9CC2-009C02B0CB58</v>
          </cell>
          <cell r="E1542">
            <v>500</v>
          </cell>
        </row>
        <row r="1543">
          <cell r="A1543" t="str">
            <v>SÃO GONÇALO</v>
          </cell>
          <cell r="C1543" t="str">
            <v>PARQUE SOL DO PORTO</v>
          </cell>
          <cell r="D1543" t="str">
            <v>3785C275-C6E7-E511-9CC2-009C02B0CB58</v>
          </cell>
          <cell r="E1543">
            <v>500</v>
          </cell>
        </row>
        <row r="1544">
          <cell r="A1544" t="str">
            <v>SALTO</v>
          </cell>
          <cell r="C1544" t="str">
            <v>PARQUE SOLAR DAS ARARAS</v>
          </cell>
          <cell r="D1544" t="str">
            <v>492F5DF9-E064-E411-B5D2-009C02B0CB58</v>
          </cell>
          <cell r="E1544">
            <v>384</v>
          </cell>
        </row>
        <row r="1545">
          <cell r="A1545" t="str">
            <v>CAMAÇARI</v>
          </cell>
          <cell r="C1545" t="str">
            <v>PARQUE SOLAR DAS PALMEIRAS</v>
          </cell>
          <cell r="D1545" t="str">
            <v>7E81423B-D676-E311-8EFB-009C02B0CB58</v>
          </cell>
          <cell r="E1545">
            <v>620</v>
          </cell>
        </row>
        <row r="1546">
          <cell r="A1546" t="str">
            <v>LAURO DE FREITAS</v>
          </cell>
          <cell r="C1546" t="str">
            <v>PARQUE SOLAR DO BOSQUE</v>
          </cell>
          <cell r="D1546" t="str">
            <v>C5112C42-FD76-E311-8EFB-009C02B0CB58</v>
          </cell>
          <cell r="E1546">
            <v>920</v>
          </cell>
        </row>
        <row r="1547">
          <cell r="A1547" t="str">
            <v>LAURO DE FREITAS</v>
          </cell>
          <cell r="C1547" t="str">
            <v>PARQUE SOLAR DO JARDIM</v>
          </cell>
          <cell r="D1547" t="str">
            <v>19A9B316-6B64-E611-B1E9-009C02B0CB58</v>
          </cell>
          <cell r="E1547">
            <v>200</v>
          </cell>
        </row>
        <row r="1548">
          <cell r="A1548" t="str">
            <v>CAMAÇARI</v>
          </cell>
          <cell r="C1548" t="str">
            <v>PARQUE SOLAR DOS COQUEIROS</v>
          </cell>
          <cell r="D1548" t="str">
            <v>78880403-058A-E411-B5D2-009C02B0CB58</v>
          </cell>
          <cell r="E1548">
            <v>400</v>
          </cell>
        </row>
        <row r="1549">
          <cell r="A1549" t="str">
            <v>SALTO</v>
          </cell>
          <cell r="C1549" t="str">
            <v>PARQUE SOLAR DOS PÁSSAROS</v>
          </cell>
          <cell r="D1549" t="str">
            <v>CBD6E850-F32D-E411-8EFB-009C02B0CB58</v>
          </cell>
          <cell r="E1549">
            <v>1048</v>
          </cell>
        </row>
        <row r="1550">
          <cell r="A1550" t="str">
            <v>SALTO</v>
          </cell>
          <cell r="C1550" t="str">
            <v>PARQUE SOLAR DOS SABIÁS</v>
          </cell>
          <cell r="D1550" t="str">
            <v>66C7A6BA-BF3E-E011-B242-001F2909E810</v>
          </cell>
          <cell r="E1550">
            <v>704</v>
          </cell>
        </row>
        <row r="1551">
          <cell r="A1551" t="str">
            <v>SERTÃOZINHO</v>
          </cell>
          <cell r="C1551" t="str">
            <v>PARQUE SOLAR VEREDAS</v>
          </cell>
          <cell r="D1551" t="str">
            <v>3F0AB749-96D6-E711-A541-009C02B0CB58</v>
          </cell>
          <cell r="E1551">
            <v>176</v>
          </cell>
        </row>
        <row r="1552">
          <cell r="A1552" t="str">
            <v>SALVADOR</v>
          </cell>
          <cell r="C1552" t="str">
            <v>PARQUE SOLARIS</v>
          </cell>
          <cell r="D1552" t="str">
            <v>EEE19C4D-27A2-E411-B5D2-009C02B0CB58</v>
          </cell>
          <cell r="E1552">
            <v>340</v>
          </cell>
        </row>
        <row r="1553">
          <cell r="A1553" t="str">
            <v>SUZANO</v>
          </cell>
          <cell r="C1553" t="str">
            <v>PARQUE SOLENE</v>
          </cell>
          <cell r="D1553" t="str">
            <v>B4B49665-D4BE-E111-AB79-001F2909E810</v>
          </cell>
          <cell r="E1553">
            <v>350</v>
          </cell>
        </row>
        <row r="1554">
          <cell r="A1554" t="str">
            <v>SUZANO</v>
          </cell>
          <cell r="C1554" t="str">
            <v>PARQUE SOLERO</v>
          </cell>
          <cell r="D1554" t="str">
            <v>3BD4103F-F569-E011-BDCF-001F2909E810</v>
          </cell>
          <cell r="E1554">
            <v>160</v>
          </cell>
        </row>
        <row r="1555">
          <cell r="A1555" t="str">
            <v>SUZANO</v>
          </cell>
          <cell r="C1555" t="str">
            <v>PARQUE SONATA</v>
          </cell>
          <cell r="D1555" t="str">
            <v>7618C261-9D67-E011-BDCF-001F2909E810</v>
          </cell>
          <cell r="E1555">
            <v>360</v>
          </cell>
        </row>
        <row r="1556">
          <cell r="A1556" t="str">
            <v>SUZANO</v>
          </cell>
          <cell r="C1556" t="str">
            <v>PARQUE SONETO</v>
          </cell>
          <cell r="D1556" t="str">
            <v>1082D71F-8511-DF11-83FF-001F2909E810</v>
          </cell>
          <cell r="E1556">
            <v>272</v>
          </cell>
        </row>
        <row r="1557">
          <cell r="A1557" t="str">
            <v>SOROCABA</v>
          </cell>
          <cell r="C1557" t="str">
            <v>PARQUE SPETACULO</v>
          </cell>
          <cell r="D1557" t="str">
            <v>6A8C65CA-97A8-E011-BDCF-001F2909E810</v>
          </cell>
          <cell r="E1557">
            <v>128</v>
          </cell>
        </row>
        <row r="1558">
          <cell r="A1558" t="str">
            <v>SOROCABA</v>
          </cell>
          <cell r="C1558" t="str">
            <v>PARQUE STANZA DORO</v>
          </cell>
          <cell r="D1558" t="str">
            <v>015ED4A5-7CE1-DC11-ABD0-001B7845B4A6</v>
          </cell>
          <cell r="E1558">
            <v>48</v>
          </cell>
        </row>
        <row r="1559">
          <cell r="A1559" t="str">
            <v>SÃO PAULO</v>
          </cell>
          <cell r="C1559" t="str">
            <v>PARQUE STRAUSS</v>
          </cell>
          <cell r="D1559" t="str">
            <v>85E454A8-33E2-DC11-ABD0-001B7845B4A6</v>
          </cell>
          <cell r="E1559">
            <v>112</v>
          </cell>
        </row>
        <row r="1560">
          <cell r="A1560" t="str">
            <v>SUZANO</v>
          </cell>
          <cell r="C1560" t="str">
            <v>PARQUE SUBLIME</v>
          </cell>
          <cell r="D1560" t="str">
            <v>5A34BBB3-10CD-DC11-9ED6-001B7845B4A6</v>
          </cell>
          <cell r="E1560">
            <v>200</v>
          </cell>
        </row>
        <row r="1561">
          <cell r="A1561" t="str">
            <v>SUZANO</v>
          </cell>
          <cell r="C1561" t="str">
            <v>PARQUE SUÉCIA</v>
          </cell>
          <cell r="D1561" t="str">
            <v>3210EDC5-DF40-E011-BDCF-001F2909E810</v>
          </cell>
          <cell r="E1561">
            <v>360</v>
          </cell>
        </row>
        <row r="1562">
          <cell r="A1562" t="str">
            <v>SUZANO</v>
          </cell>
          <cell r="C1562" t="str">
            <v>PARQUE SUISSE</v>
          </cell>
          <cell r="D1562" t="str">
            <v>025F9DFF-B9FA-DE11-89FA-001F2909E810</v>
          </cell>
          <cell r="E1562">
            <v>280</v>
          </cell>
        </row>
        <row r="1563">
          <cell r="A1563" t="str">
            <v>BELO HORIZONTE</v>
          </cell>
          <cell r="C1563" t="str">
            <v>PARQUE SUMATRA</v>
          </cell>
          <cell r="D1563" t="str">
            <v>B78FE239-C254-DD11-BC22-001B78B9D994</v>
          </cell>
          <cell r="E1563">
            <v>180</v>
          </cell>
        </row>
        <row r="1564">
          <cell r="A1564" t="str">
            <v>SALVADOR</v>
          </cell>
          <cell r="C1564" t="str">
            <v>PARQUE SUMMER VILLE</v>
          </cell>
          <cell r="D1564" t="str">
            <v>F41183F1-D2B8-DE11-8D16-001F2909E810</v>
          </cell>
          <cell r="E1564">
            <v>400</v>
          </cell>
        </row>
        <row r="1565">
          <cell r="A1565" t="str">
            <v>CAMAÇARI</v>
          </cell>
          <cell r="C1565" t="str">
            <v>PARQUE SUN CASTLE</v>
          </cell>
          <cell r="D1565" t="str">
            <v>6396A022-9C38-E111-B49C-001F2909E810</v>
          </cell>
          <cell r="E1565">
            <v>600</v>
          </cell>
        </row>
        <row r="1566">
          <cell r="A1566" t="str">
            <v>LAURO DE FREITAS</v>
          </cell>
          <cell r="C1566" t="str">
            <v>PARQUE SUN CITY</v>
          </cell>
          <cell r="D1566" t="str">
            <v>D32BC3E9-F4EB-DF11-B242-001F2909E810</v>
          </cell>
          <cell r="E1566">
            <v>440</v>
          </cell>
        </row>
        <row r="1567">
          <cell r="A1567" t="str">
            <v>LAURO DE FREITAS</v>
          </cell>
          <cell r="C1567" t="str">
            <v>PARQUE SUN GARDEN</v>
          </cell>
          <cell r="D1567" t="str">
            <v>F9C30BE0-CFF3-DF11-B242-001F2909E810</v>
          </cell>
          <cell r="E1567">
            <v>780</v>
          </cell>
        </row>
        <row r="1568">
          <cell r="A1568" t="str">
            <v>CAMAÇARI</v>
          </cell>
          <cell r="C1568" t="str">
            <v>PARQUE SUN PALACE</v>
          </cell>
          <cell r="D1568" t="str">
            <v>2CC27909-9796-E011-BDCF-001F2909E810</v>
          </cell>
          <cell r="E1568">
            <v>460</v>
          </cell>
        </row>
        <row r="1569">
          <cell r="A1569" t="str">
            <v>LAURO DE FREITAS</v>
          </cell>
          <cell r="C1569" t="str">
            <v>PARQUE SUN VALLEY</v>
          </cell>
          <cell r="D1569" t="str">
            <v>42682B20-975B-E011-BDCF-001F2909E810</v>
          </cell>
          <cell r="E1569">
            <v>520</v>
          </cell>
        </row>
        <row r="1570">
          <cell r="A1570" t="str">
            <v>TAUBATÉ</v>
          </cell>
          <cell r="C1570" t="str">
            <v>PARQUE TAMOIOS</v>
          </cell>
          <cell r="D1570" t="str">
            <v>9DEBCCE0-C502-E011-B242-001F2909E810</v>
          </cell>
          <cell r="E1570">
            <v>352</v>
          </cell>
        </row>
        <row r="1571">
          <cell r="A1571" t="str">
            <v>TAUBATÉ</v>
          </cell>
          <cell r="C1571" t="str">
            <v>PARQUE TENÓRIO</v>
          </cell>
          <cell r="D1571" t="str">
            <v>CFB3BF4E-033D-E411-B03C-80C16E075108</v>
          </cell>
          <cell r="E1571">
            <v>208</v>
          </cell>
        </row>
        <row r="1572">
          <cell r="A1572" t="str">
            <v>TAUBATÉ</v>
          </cell>
          <cell r="C1572" t="str">
            <v>PARQUE TENUTO</v>
          </cell>
          <cell r="D1572" t="str">
            <v>3E879E8B-C6B6-E011-8272-001F2909E810</v>
          </cell>
          <cell r="E1572">
            <v>480</v>
          </cell>
        </row>
        <row r="1573">
          <cell r="A1573" t="str">
            <v>TAUBATÉ</v>
          </cell>
          <cell r="C1573" t="str">
            <v>PARQUE TERNI</v>
          </cell>
          <cell r="D1573" t="str">
            <v>DDFDD8C9-74B2-E611-B1E9-009C02B0CB58</v>
          </cell>
          <cell r="E1573">
            <v>384</v>
          </cell>
        </row>
        <row r="1574">
          <cell r="A1574" t="str">
            <v>TERESINA</v>
          </cell>
          <cell r="C1574" t="str">
            <v>PARQUE TERRAZZO POTI</v>
          </cell>
          <cell r="D1574" t="str">
            <v>FD2929B7-4ACA-E311-8EFB-009C02B0CB58</v>
          </cell>
          <cell r="E1574">
            <v>580</v>
          </cell>
        </row>
        <row r="1575">
          <cell r="A1575" t="str">
            <v>BETIM</v>
          </cell>
          <cell r="C1575" t="str">
            <v>PARQUE TIMBIRAS</v>
          </cell>
          <cell r="D1575" t="str">
            <v>A893D4E6-DEDA-DF11-B242-001F2909E810</v>
          </cell>
          <cell r="E1575">
            <v>192</v>
          </cell>
        </row>
        <row r="1576">
          <cell r="A1576" t="str">
            <v>TATUÍ</v>
          </cell>
          <cell r="C1576" t="str">
            <v>PARQUE TOLEDO</v>
          </cell>
          <cell r="D1576" t="str">
            <v>B862AE51-C7F5-E011-9F2B-001F2909E810</v>
          </cell>
          <cell r="E1576">
            <v>288</v>
          </cell>
        </row>
        <row r="1577">
          <cell r="A1577" t="str">
            <v>TAUBATÉ</v>
          </cell>
          <cell r="C1577" t="str">
            <v>PARQUE TRENTINO</v>
          </cell>
          <cell r="D1577" t="str">
            <v>2A19DBAC-3710-E511-A3A7-80C16E075108</v>
          </cell>
          <cell r="E1577">
            <v>480</v>
          </cell>
        </row>
        <row r="1578">
          <cell r="A1578" t="str">
            <v>TAUBATÉ</v>
          </cell>
          <cell r="C1578" t="str">
            <v>PARQUE TRENTON</v>
          </cell>
          <cell r="D1578" t="str">
            <v>895CE0B1-D8DF-E111-9F54-001B78B9D994</v>
          </cell>
          <cell r="E1578">
            <v>480</v>
          </cell>
        </row>
        <row r="1579">
          <cell r="A1579" t="str">
            <v>TAUBATÉ</v>
          </cell>
          <cell r="C1579" t="str">
            <v>PARQUE TRÊS CORAÇÕES</v>
          </cell>
          <cell r="D1579" t="str">
            <v>F14CDA21-8B4C-DF11-9F9A-001F2909E810</v>
          </cell>
          <cell r="E1579">
            <v>288</v>
          </cell>
        </row>
        <row r="1580">
          <cell r="A1580" t="str">
            <v>UBERLÂNDIA</v>
          </cell>
          <cell r="C1580" t="str">
            <v>PARQUE TRILHA REAL</v>
          </cell>
          <cell r="D1580" t="str">
            <v>B4B798A6-30C1-E511-B93A-80C16E075108</v>
          </cell>
          <cell r="E1580">
            <v>340</v>
          </cell>
        </row>
        <row r="1581">
          <cell r="A1581" t="str">
            <v>UBERLÂNDIA</v>
          </cell>
          <cell r="C1581" t="str">
            <v>PARQUE TRILHAS DAS FLORES</v>
          </cell>
          <cell r="D1581" t="str">
            <v>674F11A6-700C-E611-A5BB-009C02B0CB58</v>
          </cell>
          <cell r="E1581">
            <v>276</v>
          </cell>
        </row>
        <row r="1582">
          <cell r="A1582" t="str">
            <v>UBERLÂNDIA</v>
          </cell>
          <cell r="C1582" t="str">
            <v>PARQUE TRILHAS DAS PEDRAS</v>
          </cell>
          <cell r="D1582" t="str">
            <v>1A6564B7-8983-E711-9B04-005056856B6C</v>
          </cell>
          <cell r="E1582">
            <v>228</v>
          </cell>
        </row>
        <row r="1583">
          <cell r="A1583" t="str">
            <v>UBERLÂNDIA</v>
          </cell>
          <cell r="C1583" t="str">
            <v>PARQUE TRILHAS DO CERRADO</v>
          </cell>
          <cell r="D1583" t="str">
            <v>9731DE65-700C-E611-A5BB-009C02B0CB58</v>
          </cell>
          <cell r="E1583">
            <v>372</v>
          </cell>
        </row>
        <row r="1584">
          <cell r="A1584" t="str">
            <v>UBERLÂNDIA</v>
          </cell>
          <cell r="C1584" t="str">
            <v>PARQUE TRILHAS DO SABIÁ</v>
          </cell>
          <cell r="D1584" t="str">
            <v>C83F81D9-30C1-E511-B93A-80C16E075108</v>
          </cell>
          <cell r="E1584">
            <v>500</v>
          </cell>
        </row>
        <row r="1585">
          <cell r="A1585" t="str">
            <v>UBERLÂNDIA</v>
          </cell>
          <cell r="C1585" t="str">
            <v>PARQUE TRILHAS DO SOL</v>
          </cell>
          <cell r="D1585" t="str">
            <v>D4BDB22D-BA5B-E511-834F-80C16E075108</v>
          </cell>
          <cell r="E1585">
            <v>388</v>
          </cell>
        </row>
        <row r="1586">
          <cell r="A1586" t="str">
            <v>CONTAGEM</v>
          </cell>
          <cell r="C1586" t="str">
            <v>PARQUE TRINDADE</v>
          </cell>
          <cell r="D1586" t="str">
            <v>8460AB4D-833B-E511-A6CC-009C02B0CB58</v>
          </cell>
          <cell r="E1586">
            <v>80</v>
          </cell>
        </row>
        <row r="1587">
          <cell r="A1587" t="str">
            <v>TAUBATÉ</v>
          </cell>
          <cell r="C1587" t="str">
            <v>PARQUE TRIVELLATO</v>
          </cell>
          <cell r="D1587" t="str">
            <v>010E56CD-40AE-E011-8272-001F2909E810</v>
          </cell>
          <cell r="E1587">
            <v>672</v>
          </cell>
        </row>
        <row r="1588">
          <cell r="A1588" t="str">
            <v>BELO HORIZONTE</v>
          </cell>
          <cell r="C1588" t="str">
            <v>PARQUE TROPICAL</v>
          </cell>
          <cell r="D1588" t="str">
            <v>B4CC368C-6AD9-DC11-ABCF-001B7845B4A6</v>
          </cell>
          <cell r="E1588">
            <v>40</v>
          </cell>
        </row>
        <row r="1589">
          <cell r="A1589" t="str">
            <v>BETIM</v>
          </cell>
          <cell r="C1589" t="str">
            <v>PARQUE TUPINAMBÁS</v>
          </cell>
          <cell r="D1589" t="str">
            <v>D9717D28-009F-DE11-8D16-001F2909E810</v>
          </cell>
          <cell r="E1589">
            <v>608</v>
          </cell>
        </row>
        <row r="1590">
          <cell r="A1590" t="str">
            <v>UBERLÂNDIA</v>
          </cell>
          <cell r="C1590" t="str">
            <v>PARQUE UBÁ</v>
          </cell>
          <cell r="D1590" t="str">
            <v>A23EB469-C9AB-E011-BDCF-001F2909E810</v>
          </cell>
          <cell r="E1590">
            <v>416</v>
          </cell>
        </row>
        <row r="1591">
          <cell r="A1591" t="str">
            <v>UBERLÂNDIA</v>
          </cell>
          <cell r="C1591" t="str">
            <v>PARQUE UBATÃ</v>
          </cell>
          <cell r="D1591" t="str">
            <v>34E77F7B-170A-E111-A6B3-001F2909E810</v>
          </cell>
          <cell r="E1591">
            <v>384</v>
          </cell>
        </row>
        <row r="1592">
          <cell r="A1592" t="str">
            <v>UBERLÂNDIA</v>
          </cell>
          <cell r="C1592" t="str">
            <v>PARQUE UBATUBA</v>
          </cell>
          <cell r="D1592" t="str">
            <v>2B1A9965-3D22-E011-8C0C-001B78B9D994</v>
          </cell>
          <cell r="E1592">
            <v>224</v>
          </cell>
        </row>
        <row r="1593">
          <cell r="A1593" t="str">
            <v>UBERLÂNDIA</v>
          </cell>
          <cell r="C1593" t="str">
            <v>PARQUE UCHÔA</v>
          </cell>
          <cell r="D1593" t="str">
            <v>0A4941BC-3368-DF11-9F9A-001F2909E810</v>
          </cell>
          <cell r="E1593">
            <v>768</v>
          </cell>
        </row>
        <row r="1594">
          <cell r="A1594" t="str">
            <v>UBERABA</v>
          </cell>
          <cell r="C1594" t="str">
            <v>PARQUE UCRÂNIA</v>
          </cell>
          <cell r="D1594" t="str">
            <v>2AEB97EF-78F6-E011-9F2B-001F2909E810</v>
          </cell>
          <cell r="E1594">
            <v>672</v>
          </cell>
        </row>
        <row r="1595">
          <cell r="A1595" t="str">
            <v>UBERLÂNDIA</v>
          </cell>
          <cell r="C1595" t="str">
            <v>PARQUE UDINESE</v>
          </cell>
          <cell r="D1595" t="str">
            <v>B2799173-A90D-DF11-89FA-001F2909E810</v>
          </cell>
          <cell r="E1595">
            <v>320</v>
          </cell>
        </row>
        <row r="1596">
          <cell r="A1596" t="str">
            <v>UBERABA</v>
          </cell>
          <cell r="C1596" t="str">
            <v>PARQUE UDON</v>
          </cell>
          <cell r="D1596" t="str">
            <v>5F8F5162-1766-E011-8AF4-001B78B9D994</v>
          </cell>
          <cell r="E1596">
            <v>608</v>
          </cell>
        </row>
        <row r="1597">
          <cell r="A1597" t="str">
            <v>UBERLÂNDIA</v>
          </cell>
          <cell r="C1597" t="str">
            <v>PARQUE UNAÍ</v>
          </cell>
          <cell r="D1597" t="str">
            <v>81672FF3-C698-DF11-B20E-001F2909E810</v>
          </cell>
          <cell r="E1597">
            <v>128</v>
          </cell>
        </row>
        <row r="1598">
          <cell r="A1598" t="str">
            <v>UBERABA</v>
          </cell>
          <cell r="C1598" t="str">
            <v>PARQUE UNIARTE</v>
          </cell>
          <cell r="D1598" t="str">
            <v>95C7A84B-F6E5-E011-9823-001F2909E810</v>
          </cell>
          <cell r="E1598">
            <v>224</v>
          </cell>
        </row>
        <row r="1599">
          <cell r="A1599" t="str">
            <v>UBERABA</v>
          </cell>
          <cell r="C1599" t="str">
            <v>PARQUE UNIBELLO</v>
          </cell>
          <cell r="D1599" t="str">
            <v>9DF39D15-7DE2-E311-8EFB-009C02B0CB58</v>
          </cell>
          <cell r="E1599">
            <v>164</v>
          </cell>
        </row>
        <row r="1600">
          <cell r="A1600" t="str">
            <v>UBERLÂNDIA</v>
          </cell>
          <cell r="C1600" t="str">
            <v>PARQUE UNICIELO</v>
          </cell>
          <cell r="D1600" t="str">
            <v>F7B72796-C6AB-E011-BDCF-001F2909E810</v>
          </cell>
          <cell r="E1600">
            <v>208</v>
          </cell>
        </row>
        <row r="1601">
          <cell r="A1601" t="str">
            <v>UBERLÂNDIA</v>
          </cell>
          <cell r="C1601" t="str">
            <v>PARQUE UNID'ORO</v>
          </cell>
          <cell r="D1601" t="str">
            <v>D754D023-CC5D-E311-8EFB-009C02B0CB58</v>
          </cell>
          <cell r="E1601">
            <v>192</v>
          </cell>
        </row>
        <row r="1602">
          <cell r="A1602" t="str">
            <v>UBERABA</v>
          </cell>
          <cell r="C1602" t="str">
            <v>PARQUE UNILIFE</v>
          </cell>
          <cell r="D1602" t="str">
            <v>A0C2DD45-F36E-E211-8F8C-009C02B0CB58</v>
          </cell>
          <cell r="E1602">
            <v>448</v>
          </cell>
        </row>
        <row r="1603">
          <cell r="A1603" t="str">
            <v>UBERLÂNDIA</v>
          </cell>
          <cell r="C1603" t="str">
            <v>PARQUE UNION</v>
          </cell>
          <cell r="D1603" t="str">
            <v>D14BF708-50B0-DF11-B20E-001F2909E810</v>
          </cell>
          <cell r="E1603">
            <v>256</v>
          </cell>
        </row>
        <row r="1604">
          <cell r="A1604" t="str">
            <v>UBERLÂNDIA</v>
          </cell>
          <cell r="C1604" t="str">
            <v>PARQUE UNIPLAZA</v>
          </cell>
          <cell r="D1604" t="str">
            <v>CFB6707D-555F-E411-B5D2-009C02B0CB58</v>
          </cell>
          <cell r="E1604">
            <v>192</v>
          </cell>
        </row>
        <row r="1605">
          <cell r="A1605" t="str">
            <v>UBERLÂNDIA</v>
          </cell>
          <cell r="C1605" t="str">
            <v>PARQUE UNISTELLA</v>
          </cell>
          <cell r="D1605" t="str">
            <v>EA027DA6-EE4C-E511-834F-80C16E075108</v>
          </cell>
          <cell r="E1605">
            <v>244</v>
          </cell>
        </row>
        <row r="1606">
          <cell r="A1606" t="str">
            <v>UBERLÂNDIA</v>
          </cell>
          <cell r="C1606" t="str">
            <v>PARQUE UNITED COAST</v>
          </cell>
          <cell r="D1606" t="str">
            <v>253E6FBE-D1AB-E011-BDCF-001F2909E810</v>
          </cell>
          <cell r="E1606">
            <v>848</v>
          </cell>
        </row>
        <row r="1607">
          <cell r="A1607" t="str">
            <v>UBERLÂNDIA</v>
          </cell>
          <cell r="C1607" t="str">
            <v>PARQUE UNITED KINGDOM</v>
          </cell>
          <cell r="D1607" t="str">
            <v>003BA0D6-E162-E111-85AA-001B78B9D994</v>
          </cell>
          <cell r="E1607">
            <v>352</v>
          </cell>
        </row>
        <row r="1608">
          <cell r="A1608" t="str">
            <v>UBERLÂNDIA</v>
          </cell>
          <cell r="C1608" t="str">
            <v>PARQUE UNITED STATES</v>
          </cell>
          <cell r="D1608" t="str">
            <v>9B9BE26A-083D-E411-8EFB-009C02B0CB58</v>
          </cell>
          <cell r="E1608">
            <v>984</v>
          </cell>
        </row>
        <row r="1609">
          <cell r="A1609" t="str">
            <v>UBERLÂNDIA</v>
          </cell>
          <cell r="C1609" t="str">
            <v>PARQUE UNIVERSITÁ</v>
          </cell>
          <cell r="D1609" t="str">
            <v>9E1EFB90-A90D-DF11-89FA-001F2909E810</v>
          </cell>
          <cell r="E1609">
            <v>720</v>
          </cell>
        </row>
        <row r="1610">
          <cell r="A1610" t="str">
            <v>UBERABA</v>
          </cell>
          <cell r="C1610" t="str">
            <v>PARQUE UNIVILLE</v>
          </cell>
          <cell r="D1610" t="str">
            <v>E54D6F5D-8999-DF11-B20E-001F2909E810</v>
          </cell>
          <cell r="E1610">
            <v>96</v>
          </cell>
        </row>
        <row r="1611">
          <cell r="A1611" t="str">
            <v>UBERLÂNDIA</v>
          </cell>
          <cell r="C1611" t="str">
            <v>PARQUE UNIVITA</v>
          </cell>
          <cell r="D1611" t="str">
            <v>FB1A7F74-51E0-E311-8EFB-009C02B0CB58</v>
          </cell>
          <cell r="E1611">
            <v>384</v>
          </cell>
        </row>
        <row r="1612">
          <cell r="A1612" t="str">
            <v>UBERABA</v>
          </cell>
          <cell r="C1612" t="str">
            <v>PARQUE UPPER</v>
          </cell>
          <cell r="D1612" t="str">
            <v>C80631B1-8C99-DF11-B20E-001F2909E810</v>
          </cell>
          <cell r="E1612">
            <v>512</v>
          </cell>
        </row>
        <row r="1613">
          <cell r="A1613" t="str">
            <v>UBERABA</v>
          </cell>
          <cell r="C1613" t="str">
            <v>PARQUE URBAN LIFE</v>
          </cell>
          <cell r="D1613" t="str">
            <v>3C5D298E-6D01-E011-B242-001F2909E810</v>
          </cell>
          <cell r="E1613">
            <v>160</v>
          </cell>
        </row>
        <row r="1614">
          <cell r="A1614" t="str">
            <v>UBERLÂNDIA</v>
          </cell>
          <cell r="C1614" t="str">
            <v>PARQUE URIEL</v>
          </cell>
          <cell r="D1614" t="str">
            <v>9B4728DE-AE42-E111-9FA8-001F2909E810</v>
          </cell>
          <cell r="E1614">
            <v>224</v>
          </cell>
        </row>
        <row r="1615">
          <cell r="A1615" t="str">
            <v>UBERLÂNDIA</v>
          </cell>
          <cell r="C1615" t="str">
            <v>PARQUE URUGUAIANA</v>
          </cell>
          <cell r="D1615" t="str">
            <v>CF17C361-1286-DF11-B20E-001F2909E810</v>
          </cell>
          <cell r="E1615">
            <v>224</v>
          </cell>
        </row>
        <row r="1616">
          <cell r="A1616" t="str">
            <v>UBERABA</v>
          </cell>
          <cell r="C1616" t="str">
            <v>PARQUE UTAH</v>
          </cell>
          <cell r="D1616" t="str">
            <v>6508709A-9399-DF11-B20E-001F2909E810</v>
          </cell>
          <cell r="E1616">
            <v>576</v>
          </cell>
        </row>
        <row r="1617">
          <cell r="A1617" t="str">
            <v>SERRA</v>
          </cell>
          <cell r="C1617" t="str">
            <v>PARQUE VALENCE</v>
          </cell>
          <cell r="D1617" t="str">
            <v>98D1FD3B-BD47-DF11-9F9A-001F2909E810</v>
          </cell>
          <cell r="E1617">
            <v>224</v>
          </cell>
        </row>
        <row r="1618">
          <cell r="A1618" t="str">
            <v>CONTAGEM</v>
          </cell>
          <cell r="C1618" t="str">
            <v>PARQUE VECCHIA</v>
          </cell>
          <cell r="D1618" t="str">
            <v>DFAD0C07-DF3F-DE11-B0E7-001F2909E83C</v>
          </cell>
          <cell r="E1618">
            <v>96</v>
          </cell>
        </row>
        <row r="1619">
          <cell r="A1619" t="str">
            <v>BELO HORIZONTE</v>
          </cell>
          <cell r="C1619" t="str">
            <v>PARQUE VENTANAS</v>
          </cell>
          <cell r="D1619" t="str">
            <v>8DE68126-7602-DD11-8284-001B7845B4A6</v>
          </cell>
          <cell r="E1619">
            <v>140</v>
          </cell>
        </row>
        <row r="1620">
          <cell r="A1620" t="str">
            <v>SERRA</v>
          </cell>
          <cell r="C1620" t="str">
            <v>PARQUE VENTURA</v>
          </cell>
          <cell r="D1620" t="str">
            <v>475A7EA5-52CD-DF11-B242-001F2909E810</v>
          </cell>
          <cell r="E1620">
            <v>296</v>
          </cell>
        </row>
        <row r="1621">
          <cell r="A1621" t="str">
            <v>BELO HORIZONTE</v>
          </cell>
          <cell r="C1621" t="str">
            <v>PARQUE VERANNO</v>
          </cell>
          <cell r="D1621" t="str">
            <v>20A6D6AB-F9DB-DC11-ABCF-001B7845B4A6</v>
          </cell>
          <cell r="E1621">
            <v>90</v>
          </cell>
        </row>
        <row r="1622">
          <cell r="A1622" t="str">
            <v>CONTAGEM</v>
          </cell>
          <cell r="C1622" t="str">
            <v>PARQUE VICENZA</v>
          </cell>
          <cell r="D1622" t="str">
            <v>152BF870-F0E9-DC11-ABD0-001B7845B4A6</v>
          </cell>
          <cell r="E1622">
            <v>96</v>
          </cell>
        </row>
        <row r="1623">
          <cell r="A1623" t="str">
            <v>SERRA</v>
          </cell>
          <cell r="C1623" t="str">
            <v>PARQUE VILA DA COSTA</v>
          </cell>
          <cell r="D1623" t="str">
            <v>2C614F8F-1C6E-DD11-A282-001B78B9D994</v>
          </cell>
          <cell r="E1623">
            <v>150</v>
          </cell>
        </row>
        <row r="1624">
          <cell r="A1624" t="str">
            <v>CARIACICA</v>
          </cell>
          <cell r="C1624" t="str">
            <v>PARQUE VILA DA PRATA</v>
          </cell>
          <cell r="D1624" t="str">
            <v>44BA9081-871A-E111-B689-001F2909E810</v>
          </cell>
          <cell r="E1624">
            <v>110</v>
          </cell>
        </row>
        <row r="1625">
          <cell r="A1625" t="str">
            <v>SERRA</v>
          </cell>
          <cell r="C1625" t="str">
            <v>PARQUE VILA DE ITAPUÃ</v>
          </cell>
          <cell r="D1625" t="str">
            <v>3A1AB10F-6DB1-E611-ABB6-80C16E075108</v>
          </cell>
          <cell r="E1625">
            <v>220</v>
          </cell>
        </row>
        <row r="1626">
          <cell r="A1626" t="str">
            <v>SERRA</v>
          </cell>
          <cell r="C1626" t="str">
            <v>PARQUE VILA DE SETIBA</v>
          </cell>
          <cell r="D1626" t="str">
            <v>EFBD5EBE-6EB1-E611-ABB6-80C16E075108</v>
          </cell>
          <cell r="E1626">
            <v>432</v>
          </cell>
        </row>
        <row r="1627">
          <cell r="A1627" t="str">
            <v>CONTAGEM</v>
          </cell>
          <cell r="C1627" t="str">
            <v>PARQUE VILA DEL ESTE</v>
          </cell>
          <cell r="D1627" t="str">
            <v>68760C4E-6AE9-DC11-ABD0-001B7845B4A6</v>
          </cell>
          <cell r="E1627">
            <v>96</v>
          </cell>
        </row>
        <row r="1628">
          <cell r="A1628" t="str">
            <v>CONTAGEM</v>
          </cell>
          <cell r="C1628" t="str">
            <v>PARQUE VILA DEL REY</v>
          </cell>
          <cell r="D1628" t="str">
            <v>FC529B2F-73D9-DC11-ABCF-001B7845B4A6</v>
          </cell>
          <cell r="E1628">
            <v>96</v>
          </cell>
        </row>
        <row r="1629">
          <cell r="A1629" t="str">
            <v>CARIACICA</v>
          </cell>
          <cell r="C1629" t="str">
            <v>PARQUE VILA DIAMANTE</v>
          </cell>
          <cell r="D1629" t="str">
            <v>32227B2F-97E9-E211-83E6-80C16E075108</v>
          </cell>
          <cell r="E1629">
            <v>320</v>
          </cell>
        </row>
        <row r="1630">
          <cell r="A1630" t="str">
            <v>CONTAGEM</v>
          </cell>
          <cell r="C1630" t="str">
            <v>PARQUE VILA DO SOL</v>
          </cell>
          <cell r="D1630" t="str">
            <v>4096F215-6AE9-DC11-ABD0-001B7845B4A6</v>
          </cell>
          <cell r="E1630">
            <v>256</v>
          </cell>
        </row>
        <row r="1631">
          <cell r="A1631" t="str">
            <v>SERRA</v>
          </cell>
          <cell r="C1631" t="str">
            <v>PARQUE VILA DOS GIRASSOIS</v>
          </cell>
          <cell r="D1631" t="str">
            <v>AA815DAB-4B79-E311-8EFB-009C02B0CB58</v>
          </cell>
          <cell r="E1631">
            <v>308</v>
          </cell>
        </row>
        <row r="1632">
          <cell r="A1632" t="str">
            <v>CARIACICA</v>
          </cell>
          <cell r="C1632" t="str">
            <v>PARQUE VILA ESMERALDA</v>
          </cell>
          <cell r="D1632" t="str">
            <v>2501362E-BDFE-E211-BAEB-009C02B0CB58</v>
          </cell>
          <cell r="E1632">
            <v>360</v>
          </cell>
        </row>
        <row r="1633">
          <cell r="A1633" t="str">
            <v>SERRA</v>
          </cell>
          <cell r="C1633" t="str">
            <v>PARQUE VILA FLORATA</v>
          </cell>
          <cell r="D1633" t="str">
            <v>BE86D501-BE10-DF11-83FF-001F2909E810</v>
          </cell>
          <cell r="E1633">
            <v>570</v>
          </cell>
        </row>
        <row r="1634">
          <cell r="A1634" t="str">
            <v>SERRA</v>
          </cell>
          <cell r="C1634" t="str">
            <v>PARQUE VILA GARDÊNIA</v>
          </cell>
          <cell r="D1634" t="str">
            <v>2FCD4B28-DC59-E411-B5D2-009C02B0CB58</v>
          </cell>
          <cell r="E1634">
            <v>212</v>
          </cell>
        </row>
        <row r="1635">
          <cell r="A1635" t="str">
            <v>CARIACICA</v>
          </cell>
          <cell r="C1635" t="str">
            <v>PARQUE VILA IMPERIAL</v>
          </cell>
          <cell r="D1635" t="str">
            <v>5740D317-7E94-E111-8EBD-001F2909E810</v>
          </cell>
          <cell r="E1635">
            <v>420</v>
          </cell>
        </row>
        <row r="1636">
          <cell r="A1636" t="str">
            <v>CONTAGEM</v>
          </cell>
          <cell r="C1636" t="str">
            <v>PARQUE VILA NOVA</v>
          </cell>
          <cell r="D1636" t="str">
            <v>B2CE461D-C198-DF11-B20E-001F2909E810</v>
          </cell>
          <cell r="E1636">
            <v>320</v>
          </cell>
        </row>
        <row r="1637">
          <cell r="A1637" t="str">
            <v>CARIACICA</v>
          </cell>
          <cell r="C1637" t="str">
            <v>PARQUE VILA PLATINA</v>
          </cell>
          <cell r="D1637" t="str">
            <v>E6B63DAF-BF63-E111-A73F-001F2909E810</v>
          </cell>
          <cell r="E1637">
            <v>310</v>
          </cell>
        </row>
        <row r="1638">
          <cell r="A1638" t="str">
            <v>CONTAGEM</v>
          </cell>
          <cell r="C1638" t="str">
            <v>PARQUE VILA RICA</v>
          </cell>
          <cell r="D1638" t="str">
            <v>2880AEBC-70D9-DC11-ABCF-001B7845B4A6</v>
          </cell>
          <cell r="E1638">
            <v>80</v>
          </cell>
        </row>
        <row r="1639">
          <cell r="A1639" t="str">
            <v>VIANA</v>
          </cell>
          <cell r="C1639" t="str">
            <v>PARQUE VILA SAFIRA</v>
          </cell>
          <cell r="D1639" t="str">
            <v>2EA725A7-5559-E411-B03C-80C16E075108</v>
          </cell>
          <cell r="E1639">
            <v>344</v>
          </cell>
        </row>
        <row r="1640">
          <cell r="A1640" t="str">
            <v>VIANA</v>
          </cell>
          <cell r="C1640" t="str">
            <v>PARQUE VILA TOPÁZIO</v>
          </cell>
          <cell r="D1640" t="str">
            <v>620C8FE1-5559-E411-B03C-80C16E075108</v>
          </cell>
          <cell r="E1640">
            <v>248</v>
          </cell>
        </row>
        <row r="1641">
          <cell r="A1641" t="str">
            <v>SERRA</v>
          </cell>
          <cell r="C1641" t="str">
            <v>PARQUE VILA VERDE</v>
          </cell>
          <cell r="D1641" t="str">
            <v>F1349849-01E0-DE11-8C8B-001F2909E810</v>
          </cell>
          <cell r="E1641">
            <v>299</v>
          </cell>
        </row>
        <row r="1642">
          <cell r="A1642" t="str">
            <v>BELO HORIZONTE</v>
          </cell>
          <cell r="C1642" t="str">
            <v>PARQUE VILLA DEL BOSQUE</v>
          </cell>
          <cell r="D1642" t="str">
            <v>785E9424-3122-E011-B242-001F2909E810</v>
          </cell>
          <cell r="E1642">
            <v>120</v>
          </cell>
        </row>
        <row r="1643">
          <cell r="A1643" t="str">
            <v>SERRA</v>
          </cell>
          <cell r="C1643" t="str">
            <v>PARQUE VITALITTÁ</v>
          </cell>
          <cell r="D1643" t="str">
            <v>4908C1B5-264C-DD11-BC22-001B78B9D994</v>
          </cell>
          <cell r="E1643">
            <v>240</v>
          </cell>
        </row>
        <row r="1644">
          <cell r="A1644" t="str">
            <v>VITÓRIA DA CONQUISTA</v>
          </cell>
          <cell r="C1644" t="str">
            <v>PARQUE VITÓRIA BELVEDERE</v>
          </cell>
          <cell r="D1644" t="str">
            <v>31032439-168E-E511-B93A-80C16E075108</v>
          </cell>
          <cell r="E1644">
            <v>500</v>
          </cell>
        </row>
        <row r="1645">
          <cell r="A1645" t="str">
            <v>VITÓRIA DA CONQUISTA</v>
          </cell>
          <cell r="C1645" t="str">
            <v>PARQUE VITÓRIA BOULEVARD</v>
          </cell>
          <cell r="D1645" t="str">
            <v>16E80D3D-10AB-E411-B5D2-009C02B0CB58</v>
          </cell>
          <cell r="E1645">
            <v>460</v>
          </cell>
        </row>
        <row r="1646">
          <cell r="A1646" t="str">
            <v>VITÓRIA DA CONQUISTA</v>
          </cell>
          <cell r="C1646" t="str">
            <v>PARQUE VITÓRIA SUL</v>
          </cell>
          <cell r="D1646" t="str">
            <v>834A0B1A-12AB-E411-B5D2-009C02B0CB58</v>
          </cell>
          <cell r="E1646">
            <v>440</v>
          </cell>
        </row>
        <row r="1647">
          <cell r="A1647" t="str">
            <v>SERRA</v>
          </cell>
          <cell r="C1647" t="str">
            <v>PARQUE VIVA JACARAÍPE</v>
          </cell>
          <cell r="D1647" t="str">
            <v>189A6B09-040D-DF11-89FA-001F2909E810</v>
          </cell>
          <cell r="E1647">
            <v>288</v>
          </cell>
        </row>
        <row r="1648">
          <cell r="A1648" t="str">
            <v>SERRA</v>
          </cell>
          <cell r="C1648" t="str">
            <v>PARQUE VIVA JUARA</v>
          </cell>
          <cell r="D1648" t="str">
            <v>3470C2A6-01E0-DE11-8C8B-001F2909E810</v>
          </cell>
          <cell r="E1648">
            <v>330</v>
          </cell>
        </row>
        <row r="1649">
          <cell r="A1649" t="str">
            <v>SERRA</v>
          </cell>
          <cell r="C1649" t="str">
            <v>PARQUE VIVA LA COSTA</v>
          </cell>
          <cell r="D1649" t="str">
            <v>B334888D-288B-E611-B1E9-009C02B0CB58</v>
          </cell>
          <cell r="E1649">
            <v>248</v>
          </cell>
        </row>
        <row r="1650">
          <cell r="A1650" t="str">
            <v>SERRA</v>
          </cell>
          <cell r="C1650" t="str">
            <v>PARQUE VIVA MARE</v>
          </cell>
          <cell r="D1650" t="str">
            <v>0728EB63-5EC3-E411-B5D2-009C02B0CB58</v>
          </cell>
          <cell r="E1650">
            <v>324</v>
          </cell>
        </row>
        <row r="1651">
          <cell r="A1651" t="str">
            <v>BETIM</v>
          </cell>
          <cell r="C1651" t="str">
            <v>PARQUE XAVANTES</v>
          </cell>
          <cell r="D1651" t="str">
            <v>207320CF-30A0-E111-8EBD-001F2909E810</v>
          </cell>
          <cell r="E1651">
            <v>122</v>
          </cell>
        </row>
        <row r="1652">
          <cell r="A1652" t="str">
            <v>PIRACICABA</v>
          </cell>
          <cell r="C1652" t="str">
            <v>PATRICIA</v>
          </cell>
          <cell r="D1652" t="str">
            <v>C24905B3-8189-DD11-8A4F-001B78B9D994</v>
          </cell>
          <cell r="E1652">
            <v>92</v>
          </cell>
        </row>
        <row r="1653">
          <cell r="A1653" t="str">
            <v>BELO HORIZONTE</v>
          </cell>
          <cell r="C1653" t="str">
            <v>PENSYLVÂNIA</v>
          </cell>
          <cell r="D1653" t="str">
            <v>CC8C9176-DCF2-DD11-9EFB-001B78B9D994</v>
          </cell>
          <cell r="E1653">
            <v>0</v>
          </cell>
        </row>
        <row r="1654">
          <cell r="A1654" t="str">
            <v>GOIÂNIA</v>
          </cell>
          <cell r="C1654" t="str">
            <v>PERIMETRAL OESTE EMP 01</v>
          </cell>
          <cell r="D1654" t="str">
            <v>685DC327-765E-EC11-B2FE-005056895191</v>
          </cell>
          <cell r="E1654">
            <v>0</v>
          </cell>
        </row>
        <row r="1655">
          <cell r="A1655" t="str">
            <v>VOTORANTIM</v>
          </cell>
          <cell r="C1655" t="str">
            <v>RESIDENCIAL SOLLARIUM</v>
          </cell>
          <cell r="D1655" t="str">
            <v>BD54043F-8BC3-EF11-AAAE-005056856875</v>
          </cell>
          <cell r="E1655">
            <v>0</v>
          </cell>
        </row>
        <row r="1656">
          <cell r="A1656" t="str">
            <v>APARECIDA DE GOIÂNIA</v>
          </cell>
          <cell r="C1656" t="str">
            <v>PEZINHO EMP 01</v>
          </cell>
          <cell r="D1656" t="str">
            <v>D448E35E-CF77-EC11-B501-005056856B6C</v>
          </cell>
          <cell r="E1656">
            <v>0</v>
          </cell>
        </row>
        <row r="1657">
          <cell r="A1657" t="str">
            <v>APARECIDA DE GOIÂNIA</v>
          </cell>
          <cell r="C1657" t="str">
            <v>PEZINHO EMP 02</v>
          </cell>
          <cell r="D1657" t="str">
            <v>B32758C8-CF77-EC11-B501-005056856B6C</v>
          </cell>
          <cell r="E1657">
            <v>0</v>
          </cell>
        </row>
        <row r="1658">
          <cell r="A1658" t="str">
            <v>PIRACICABA</v>
          </cell>
          <cell r="C1658" t="str">
            <v>PIAZZA DI TRENTO</v>
          </cell>
          <cell r="D1658" t="str">
            <v>B22D4365-98DA-EB11-A0E6-005056856875</v>
          </cell>
          <cell r="E1658">
            <v>544</v>
          </cell>
        </row>
        <row r="1659">
          <cell r="A1659" t="str">
            <v>PIRACICABA</v>
          </cell>
          <cell r="C1659" t="str">
            <v>PIAZZA FLORENÇA</v>
          </cell>
          <cell r="D1659" t="str">
            <v>A84E9FD5-C277-E311-8EFB-009C02B0CB58</v>
          </cell>
          <cell r="E1659">
            <v>244</v>
          </cell>
        </row>
        <row r="1660">
          <cell r="A1660" t="str">
            <v>PIRACICABA</v>
          </cell>
          <cell r="C1660" t="str">
            <v>PIAZZA SAN MARINO</v>
          </cell>
          <cell r="D1660" t="str">
            <v>CC0B848E-87E8-EA11-BEEB-005056856875</v>
          </cell>
          <cell r="E1660">
            <v>0</v>
          </cell>
        </row>
        <row r="1661">
          <cell r="A1661" t="str">
            <v>PIRACICABA</v>
          </cell>
          <cell r="C1661" t="str">
            <v>PIAZZA SAN PAOLO</v>
          </cell>
          <cell r="D1661" t="str">
            <v>54E9D697-5F24-E211-9E30-001F2909E810</v>
          </cell>
          <cell r="E1661">
            <v>408</v>
          </cell>
        </row>
        <row r="1662">
          <cell r="A1662" t="str">
            <v>PIRACICABA</v>
          </cell>
          <cell r="C1662" t="str">
            <v>PIAZZA SPADA</v>
          </cell>
          <cell r="D1662" t="str">
            <v>68B22561-566E-EC11-A871-005056895191</v>
          </cell>
          <cell r="E1662">
            <v>0</v>
          </cell>
        </row>
        <row r="1663">
          <cell r="A1663" t="str">
            <v>SANTA LUZIA</v>
          </cell>
          <cell r="C1663" t="str">
            <v>PINE EMP 01</v>
          </cell>
          <cell r="D1663" t="str">
            <v>55867BAB-E0A3-ED11-9E0C-00505685534B</v>
          </cell>
          <cell r="E1663">
            <v>0</v>
          </cell>
        </row>
        <row r="1664">
          <cell r="A1664" t="str">
            <v>CURITIBA</v>
          </cell>
          <cell r="C1664" t="str">
            <v>PIPOCA EMP 01</v>
          </cell>
          <cell r="D1664" t="str">
            <v>C22743AC-F9AB-EE11-A95E-005056856875</v>
          </cell>
          <cell r="E1664">
            <v>0</v>
          </cell>
        </row>
        <row r="1665">
          <cell r="A1665" t="str">
            <v>CAMPINAS</v>
          </cell>
          <cell r="C1665" t="str">
            <v>PIRIRI EMP 01</v>
          </cell>
          <cell r="D1665" t="str">
            <v>AD918BA2-3FD2-ED11-98D9-009C02B0CB58</v>
          </cell>
          <cell r="E1665">
            <v>0</v>
          </cell>
        </row>
        <row r="1666">
          <cell r="A1666" t="str">
            <v>BELO HORIZONTE</v>
          </cell>
          <cell r="C1666" t="str">
            <v>PLAZA BELLA</v>
          </cell>
          <cell r="D1666" t="str">
            <v>AAC08742-FC81-DE11-95FB-001F2909E83C</v>
          </cell>
          <cell r="E1666">
            <v>220</v>
          </cell>
        </row>
        <row r="1667">
          <cell r="A1667" t="str">
            <v>FEIRA DE SANTANA</v>
          </cell>
          <cell r="C1667" t="str">
            <v>PLAZA FRAGA MAIA</v>
          </cell>
          <cell r="D1667" t="str">
            <v>25848CC7-6AA9-E511-B93A-80C16E075108</v>
          </cell>
          <cell r="E1667">
            <v>288</v>
          </cell>
        </row>
        <row r="1668">
          <cell r="A1668" t="str">
            <v>PAULISTA</v>
          </cell>
          <cell r="C1668" t="str">
            <v>PONTAL DE TAMANDARÉ</v>
          </cell>
          <cell r="D1668" t="str">
            <v>33DE5F01-3829-E711-AC8C-80C16E075108</v>
          </cell>
          <cell r="E1668">
            <v>500</v>
          </cell>
        </row>
        <row r="1669">
          <cell r="A1669" t="str">
            <v>PAULISTA</v>
          </cell>
          <cell r="C1669" t="str">
            <v>PONTAL DO ATALAIA</v>
          </cell>
          <cell r="D1669" t="str">
            <v>46BB1A6D-6FBF-E511-B93A-80C16E075108</v>
          </cell>
          <cell r="E1669">
            <v>352</v>
          </cell>
        </row>
        <row r="1670">
          <cell r="A1670" t="str">
            <v>PAULÍNIA</v>
          </cell>
          <cell r="C1670" t="str">
            <v>PONTE NOVA</v>
          </cell>
          <cell r="D1670" t="str">
            <v>CA3E1A64-B2F6-DC11-A2F9-001B7845B4A6</v>
          </cell>
          <cell r="E1670">
            <v>112</v>
          </cell>
        </row>
        <row r="1671">
          <cell r="A1671" t="str">
            <v>CAMPINAS</v>
          </cell>
          <cell r="C1671" t="str">
            <v>PORTAL DOS BURITIS</v>
          </cell>
          <cell r="D1671" t="str">
            <v>06189D8F-CA9A-EF11-AB5A-80C16E075108</v>
          </cell>
          <cell r="E1671">
            <v>544</v>
          </cell>
        </row>
        <row r="1672">
          <cell r="A1672" t="str">
            <v>CAMPINAS</v>
          </cell>
          <cell r="C1672" t="str">
            <v>PORTAL DOS JATOBÁS</v>
          </cell>
          <cell r="D1672" t="str">
            <v>6D175B8B-739B-EF11-AB5A-80C16E075108</v>
          </cell>
          <cell r="E1672">
            <v>576</v>
          </cell>
        </row>
        <row r="1673">
          <cell r="A1673" t="str">
            <v>SERRA</v>
          </cell>
          <cell r="C1673" t="str">
            <v>PORTAL MESTRE ÁLVARO_PARQUE ALBATROZ</v>
          </cell>
          <cell r="D1673" t="str">
            <v>8FE672A7-72F1-DF11-B242-001F2909E810</v>
          </cell>
          <cell r="E1673">
            <v>300</v>
          </cell>
        </row>
        <row r="1674">
          <cell r="A1674" t="str">
            <v>SERRA</v>
          </cell>
          <cell r="C1674" t="str">
            <v>PORTAL MESTRE ÁLVARO_PARQUE CABRAL</v>
          </cell>
          <cell r="D1674" t="str">
            <v>898B281A-A2DD-DE11-8C8B-001F2909E810</v>
          </cell>
          <cell r="E1674">
            <v>512</v>
          </cell>
        </row>
        <row r="1675">
          <cell r="A1675" t="str">
            <v>SERRA</v>
          </cell>
          <cell r="C1675" t="str">
            <v>PORTAL MESTRE ÁLVARO_PARQUE COLOMBO</v>
          </cell>
          <cell r="D1675" t="str">
            <v>92276805-A2DD-DE11-8C8B-001F2909E810</v>
          </cell>
          <cell r="E1675">
            <v>250</v>
          </cell>
        </row>
        <row r="1676">
          <cell r="A1676" t="str">
            <v>SERRA</v>
          </cell>
          <cell r="C1676" t="str">
            <v>PORTAL MESTRE ÁLVARO_PARQUE ESQUADRA</v>
          </cell>
          <cell r="D1676" t="str">
            <v>AD874D26-A2DD-DE11-8C8B-001F2909E810</v>
          </cell>
          <cell r="E1676">
            <v>144</v>
          </cell>
        </row>
        <row r="1677">
          <cell r="A1677" t="str">
            <v>SERRA</v>
          </cell>
          <cell r="C1677" t="str">
            <v>PORTAL MESTRE ÁLVARO_PARQUE FRAGATA</v>
          </cell>
          <cell r="D1677" t="str">
            <v>3B61590A-73F1-DF11-B242-001F2909E810</v>
          </cell>
          <cell r="E1677">
            <v>300</v>
          </cell>
        </row>
        <row r="1678">
          <cell r="A1678" t="str">
            <v>SERRA</v>
          </cell>
          <cell r="C1678" t="str">
            <v>PORTAL MESTRE ÁLVARO_PARQUE GAMA</v>
          </cell>
          <cell r="D1678" t="str">
            <v>C4EDD63A-A2DD-DE11-8C8B-001F2909E810</v>
          </cell>
          <cell r="E1678">
            <v>280</v>
          </cell>
        </row>
        <row r="1679">
          <cell r="A1679" t="str">
            <v>SERRA</v>
          </cell>
          <cell r="C1679" t="str">
            <v>PORTAL MESTRE ÁLVARO_PARQUE PELICANO</v>
          </cell>
          <cell r="D1679" t="str">
            <v>9D8ED85A-73F1-DF11-B242-001F2909E810</v>
          </cell>
          <cell r="E1679">
            <v>200</v>
          </cell>
        </row>
        <row r="1680">
          <cell r="A1680" t="str">
            <v>SERRA</v>
          </cell>
          <cell r="C1680" t="str">
            <v>PORTAL MESTRE ÁLVARO_PARQUE SÃO PEDRO</v>
          </cell>
          <cell r="D1680" t="str">
            <v>A8C65B99-274C-DD11-BC22-001B78B9D994</v>
          </cell>
          <cell r="E1680">
            <v>552</v>
          </cell>
        </row>
        <row r="1681">
          <cell r="A1681" t="str">
            <v>SERRA</v>
          </cell>
          <cell r="C1681" t="str">
            <v>PORTAL MESTRE ÁLVARO_PARQUE TERRA NOVA</v>
          </cell>
          <cell r="D1681" t="str">
            <v>5096B0DE-A1DD-DE11-8C8B-001F2909E810</v>
          </cell>
          <cell r="E1681">
            <v>88</v>
          </cell>
        </row>
        <row r="1682">
          <cell r="A1682" t="str">
            <v>SERRA</v>
          </cell>
          <cell r="C1682" t="str">
            <v>PORTAL VILA DAS PRAIAS_PARQUE VILA DE CAMBURI</v>
          </cell>
          <cell r="D1682" t="str">
            <v>E107B3B9-6CB1-E611-ABB6-80C16E075108</v>
          </cell>
          <cell r="E1682">
            <v>244</v>
          </cell>
        </row>
        <row r="1683">
          <cell r="A1683" t="str">
            <v>SÃO JOSÉ DOS CAMPOS</v>
          </cell>
          <cell r="C1683" t="str">
            <v>PORTAL VISTAS DO VALE 03</v>
          </cell>
          <cell r="D1683" t="str">
            <v>4994AA0C-B16A-E911-90BB-80C16E075108</v>
          </cell>
          <cell r="E1683">
            <v>264</v>
          </cell>
        </row>
        <row r="1684">
          <cell r="A1684" t="str">
            <v>SÃO JOSÉ DOS CAMPOS</v>
          </cell>
          <cell r="C1684" t="str">
            <v>PORTAL VISTAS DO VALE 04</v>
          </cell>
          <cell r="D1684" t="str">
            <v>FF462E1B-B46A-E911-90BB-80C16E075108</v>
          </cell>
          <cell r="E1684">
            <v>264</v>
          </cell>
        </row>
        <row r="1685">
          <cell r="A1685" t="str">
            <v>SÃO JOSÉ DOS CAMPOS</v>
          </cell>
          <cell r="C1685" t="str">
            <v>PORTAL VISTAS DO VALE 11</v>
          </cell>
          <cell r="D1685" t="str">
            <v>9C54C823-B36A-E911-90BB-80C16E075108</v>
          </cell>
          <cell r="E1685">
            <v>288</v>
          </cell>
        </row>
        <row r="1686">
          <cell r="A1686" t="str">
            <v>SÃO JOSÉ DOS CAMPOS</v>
          </cell>
          <cell r="C1686" t="str">
            <v>PORTAL VISTAS DO VALE 12</v>
          </cell>
          <cell r="D1686" t="str">
            <v>3C0E2CF8-A778-E911-A7AC-80C16E075108</v>
          </cell>
          <cell r="E1686">
            <v>264</v>
          </cell>
        </row>
        <row r="1687">
          <cell r="A1687" t="str">
            <v>SÃO JOSÉ DOS CAMPOS</v>
          </cell>
          <cell r="C1687" t="str">
            <v>PORTAL VISTAS DO VALE 14</v>
          </cell>
          <cell r="D1687" t="str">
            <v>FE76BD00-AD78-E911-A7AC-80C16E075108</v>
          </cell>
          <cell r="E1687">
            <v>288</v>
          </cell>
        </row>
        <row r="1688">
          <cell r="A1688" t="str">
            <v>SÃO JOSÉ DOS CAMPOS</v>
          </cell>
          <cell r="C1688" t="str">
            <v>PORTAL VISTAS DO VALE 15</v>
          </cell>
          <cell r="D1688" t="str">
            <v>BE005DB7-B078-E911-A7AC-80C16E075108</v>
          </cell>
          <cell r="E1688">
            <v>288</v>
          </cell>
        </row>
        <row r="1689">
          <cell r="A1689" t="str">
            <v>SÃO JOSÉ DOS CAMPOS</v>
          </cell>
          <cell r="C1689" t="str">
            <v>PORTAL VISTAS DO VALE 16</v>
          </cell>
          <cell r="D1689" t="str">
            <v>282D351B-B278-E911-A7AC-80C16E075108</v>
          </cell>
          <cell r="E1689">
            <v>272</v>
          </cell>
        </row>
        <row r="1690">
          <cell r="A1690" t="str">
            <v>SÃO JOSÉ DOS CAMPOS</v>
          </cell>
          <cell r="C1690" t="str">
            <v>PORTAL VISTAS DO VALE 17</v>
          </cell>
          <cell r="D1690" t="str">
            <v>BD64CD6A-AF78-E911-A7AC-80C16E075108</v>
          </cell>
          <cell r="E1690">
            <v>208</v>
          </cell>
        </row>
        <row r="1691">
          <cell r="A1691" t="str">
            <v>SÃO JOSÉ DOS CAMPOS</v>
          </cell>
          <cell r="C1691" t="str">
            <v>PORTAL VISTAS DO VALE 18</v>
          </cell>
          <cell r="D1691" t="str">
            <v>4B762575-B478-E911-A7AC-80C16E075108</v>
          </cell>
          <cell r="E1691">
            <v>264</v>
          </cell>
        </row>
        <row r="1692">
          <cell r="A1692" t="str">
            <v>SÃO JOSÉ DOS CAMPOS</v>
          </cell>
          <cell r="C1692" t="str">
            <v>PORTAL VISTAS DO VALE 19</v>
          </cell>
          <cell r="D1692" t="str">
            <v>96926959-B678-E911-A7AC-80C16E075108</v>
          </cell>
          <cell r="E1692">
            <v>208</v>
          </cell>
        </row>
        <row r="1693">
          <cell r="A1693" t="str">
            <v>SÃO JOSÉ DOS CAMPOS</v>
          </cell>
          <cell r="C1693" t="str">
            <v>PORTAL VISTAS DO VALE 20</v>
          </cell>
          <cell r="D1693" t="str">
            <v>28B63957-C378-E911-A7AC-80C16E075108</v>
          </cell>
          <cell r="E1693">
            <v>256</v>
          </cell>
        </row>
        <row r="1694">
          <cell r="A1694" t="str">
            <v>SÃO JOSÉ DOS CAMPOS</v>
          </cell>
          <cell r="C1694" t="str">
            <v>PORTAL VISTAS DO VALE 21</v>
          </cell>
          <cell r="D1694" t="str">
            <v>91C16335-4677-E911-A7AC-80C16E075108</v>
          </cell>
          <cell r="E1694">
            <v>288</v>
          </cell>
        </row>
        <row r="1695">
          <cell r="A1695" t="str">
            <v>SÃO JOSÉ DOS CAMPOS</v>
          </cell>
          <cell r="C1695" t="str">
            <v>PORTAL VISTAS DO VALE 22</v>
          </cell>
          <cell r="D1695" t="str">
            <v>CA70709E-AB78-E911-A7AC-80C16E075108</v>
          </cell>
          <cell r="E1695">
            <v>288</v>
          </cell>
        </row>
        <row r="1696">
          <cell r="A1696" t="str">
            <v>SÃO JOSÉ DOS CAMPOS</v>
          </cell>
          <cell r="C1696" t="str">
            <v>PORTAL VISTAS DO VALE 23</v>
          </cell>
          <cell r="D1696" t="str">
            <v>488D0BA8-C478-E911-A7AC-80C16E075108</v>
          </cell>
          <cell r="E1696">
            <v>288</v>
          </cell>
        </row>
        <row r="1697">
          <cell r="A1697" t="str">
            <v>SÃO JOSÉ DOS CAMPOS</v>
          </cell>
          <cell r="C1697" t="str">
            <v>PORTAL VISTAS DO VALE 24</v>
          </cell>
          <cell r="D1697" t="str">
            <v>484ECD98-C578-E911-A7AC-80C16E075108</v>
          </cell>
          <cell r="E1697">
            <v>288</v>
          </cell>
        </row>
        <row r="1698">
          <cell r="A1698" t="str">
            <v>SÃO JOSÉ DOS CAMPOS</v>
          </cell>
          <cell r="C1698" t="str">
            <v>PORTAL VISTAS DO VALE 25</v>
          </cell>
          <cell r="D1698" t="str">
            <v>1A3C2221-C778-E911-A7AC-80C16E075108</v>
          </cell>
          <cell r="E1698">
            <v>288</v>
          </cell>
        </row>
        <row r="1699">
          <cell r="A1699" t="str">
            <v>SÃO JOSÉ DOS CAMPOS</v>
          </cell>
          <cell r="C1699" t="str">
            <v>PORTAL VISTAS DO VALE 26</v>
          </cell>
          <cell r="D1699" t="str">
            <v>FB21512C-C878-E911-A7AC-80C16E075108</v>
          </cell>
          <cell r="E1699">
            <v>288</v>
          </cell>
        </row>
        <row r="1700">
          <cell r="A1700" t="str">
            <v>SÃO JOSÉ DOS CAMPOS</v>
          </cell>
          <cell r="C1700" t="str">
            <v>PORTAL VISTAS DO VALE 27</v>
          </cell>
          <cell r="D1700" t="str">
            <v>1521A33C-F87A-E911-82AF-80C16E075108</v>
          </cell>
          <cell r="E1700">
            <v>288</v>
          </cell>
        </row>
        <row r="1701">
          <cell r="A1701" t="str">
            <v>SÃO JOSÉ DOS CAMPOS</v>
          </cell>
          <cell r="C1701" t="str">
            <v>PORTAL VISTAS DO VALE 28</v>
          </cell>
          <cell r="D1701" t="str">
            <v>C9DB2F4B-FA7A-E911-82AF-80C16E075108</v>
          </cell>
          <cell r="E1701">
            <v>288</v>
          </cell>
        </row>
        <row r="1702">
          <cell r="A1702" t="str">
            <v>SÃO JOSÉ DOS CAMPOS</v>
          </cell>
          <cell r="C1702" t="str">
            <v>PORTAL VISTAS DO VALE 29</v>
          </cell>
          <cell r="D1702" t="str">
            <v>D9BDEB9A-FB7A-E911-82AF-80C16E075108</v>
          </cell>
          <cell r="E1702">
            <v>288</v>
          </cell>
        </row>
        <row r="1703">
          <cell r="A1703" t="str">
            <v>SÃO JOSÉ DOS CAMPOS</v>
          </cell>
          <cell r="C1703" t="str">
            <v>PORTAL VISTAS DO VALE 30</v>
          </cell>
          <cell r="D1703" t="str">
            <v>34948EC8-FC7A-E911-82AF-80C16E075108</v>
          </cell>
          <cell r="E1703">
            <v>160</v>
          </cell>
        </row>
        <row r="1704">
          <cell r="A1704" t="str">
            <v>SÃO JOSÉ DOS CAMPOS</v>
          </cell>
          <cell r="C1704" t="str">
            <v>PORTAL VISTAS DO VALE 31</v>
          </cell>
          <cell r="D1704" t="str">
            <v>15F03BCC-007B-E911-82AF-80C16E075108</v>
          </cell>
          <cell r="E1704">
            <v>160</v>
          </cell>
        </row>
        <row r="1705">
          <cell r="A1705" t="str">
            <v>SÃO JOSÉ DOS CAMPOS</v>
          </cell>
          <cell r="C1705" t="str">
            <v>PORTAL VISTAS DO VALE 32</v>
          </cell>
          <cell r="D1705" t="str">
            <v>8DF9D96D-027B-E911-82AF-80C16E075108</v>
          </cell>
          <cell r="E1705">
            <v>288</v>
          </cell>
        </row>
        <row r="1706">
          <cell r="A1706" t="str">
            <v>SÃO JOSÉ DOS CAMPOS</v>
          </cell>
          <cell r="C1706" t="str">
            <v>PORTAL VISTAS DO VALE 33</v>
          </cell>
          <cell r="D1706" t="str">
            <v>F7E42192-047B-E911-82AF-80C16E075108</v>
          </cell>
          <cell r="E1706">
            <v>256</v>
          </cell>
        </row>
        <row r="1707">
          <cell r="A1707" t="str">
            <v>SÃO JOSÉ DOS CAMPOS</v>
          </cell>
          <cell r="C1707" t="str">
            <v>PORTAL VISTAS DO VALE 34</v>
          </cell>
          <cell r="D1707" t="str">
            <v>8B78C77A-067B-E911-82AF-80C16E075108</v>
          </cell>
          <cell r="E1707">
            <v>160</v>
          </cell>
        </row>
        <row r="1708">
          <cell r="A1708" t="str">
            <v>SÃO JOSÉ DOS CAMPOS</v>
          </cell>
          <cell r="C1708" t="str">
            <v>PORTAL VISTAS DO VALE 35</v>
          </cell>
          <cell r="D1708" t="str">
            <v>ACEF9D08-097B-E911-82AF-80C16E075108</v>
          </cell>
          <cell r="E1708">
            <v>288</v>
          </cell>
        </row>
        <row r="1709">
          <cell r="A1709" t="str">
            <v>SÃO JOSÉ DOS CAMPOS</v>
          </cell>
          <cell r="C1709" t="str">
            <v>PORTAL VISTAS DO VALE 36</v>
          </cell>
          <cell r="D1709" t="str">
            <v>B2D71407-0A7B-E911-82AF-80C16E075108</v>
          </cell>
          <cell r="E1709">
            <v>288</v>
          </cell>
        </row>
        <row r="1710">
          <cell r="A1710" t="str">
            <v>SÃO JOSÉ DOS CAMPOS</v>
          </cell>
          <cell r="C1710" t="str">
            <v>PORTAL VISTAS DO VALE 37</v>
          </cell>
          <cell r="D1710" t="str">
            <v>C51C85FD-0B7B-E911-82AF-80C16E075108</v>
          </cell>
          <cell r="E1710">
            <v>160</v>
          </cell>
        </row>
        <row r="1711">
          <cell r="A1711" t="str">
            <v>SÃO JOSÉ DOS CAMPOS</v>
          </cell>
          <cell r="C1711" t="str">
            <v>PORTAL VISTAS DO VALE 38</v>
          </cell>
          <cell r="D1711" t="str">
            <v>CEC8DD7C-8DA7-EB11-9465-0050568AA20F</v>
          </cell>
          <cell r="E1711">
            <v>288</v>
          </cell>
        </row>
        <row r="1712">
          <cell r="A1712" t="str">
            <v>SÃO JOSÉ DOS CAMPOS</v>
          </cell>
          <cell r="C1712" t="str">
            <v>PORTAL VISTAS DO VALE 39</v>
          </cell>
          <cell r="D1712" t="str">
            <v>71449B6D-FBD5-EC11-B1AD-005056856875</v>
          </cell>
          <cell r="E1712">
            <v>0</v>
          </cell>
        </row>
        <row r="1713">
          <cell r="A1713" t="str">
            <v>SÃO JOSÉ DOS CAMPOS</v>
          </cell>
          <cell r="C1713" t="str">
            <v>PORTAL VISTAS DO VALE 40</v>
          </cell>
          <cell r="D1713" t="str">
            <v>152D45FA-FBD5-EC11-B1AD-005056856875</v>
          </cell>
          <cell r="E1713">
            <v>0</v>
          </cell>
        </row>
        <row r="1714">
          <cell r="A1714" t="str">
            <v>SÃO JOSÉ DOS CAMPOS</v>
          </cell>
          <cell r="C1714" t="str">
            <v>PORTAL VISTAS DO VALE 41</v>
          </cell>
          <cell r="D1714" t="str">
            <v>8993C775-FCD5-EC11-B1AD-005056856875</v>
          </cell>
          <cell r="E1714">
            <v>0</v>
          </cell>
        </row>
        <row r="1715">
          <cell r="A1715" t="str">
            <v>SÃO JOSÉ DOS CAMPOS</v>
          </cell>
          <cell r="C1715" t="str">
            <v>PORTAL VISTAS DO VALE 42</v>
          </cell>
          <cell r="D1715" t="str">
            <v>AE52F7ED-FCD5-EC11-B1AD-005056856875</v>
          </cell>
          <cell r="E1715">
            <v>0</v>
          </cell>
        </row>
        <row r="1716">
          <cell r="A1716" t="str">
            <v>SÃO JOSÉ DOS CAMPOS</v>
          </cell>
          <cell r="C1716" t="str">
            <v>PORTAL VISTAS DO VALE 43</v>
          </cell>
          <cell r="D1716" t="str">
            <v>6C69624A-FDD5-EC11-B1AD-005056856875</v>
          </cell>
          <cell r="E1716">
            <v>0</v>
          </cell>
        </row>
        <row r="1717">
          <cell r="A1717" t="str">
            <v>SÃO JOSÉ DOS CAMPOS</v>
          </cell>
          <cell r="C1717" t="str">
            <v>PORTAL VISTAS DO VALE 44</v>
          </cell>
          <cell r="D1717" t="str">
            <v>B5972194-FDD5-EC11-B1AD-005056856875</v>
          </cell>
          <cell r="E1717">
            <v>0</v>
          </cell>
        </row>
        <row r="1718">
          <cell r="A1718" t="str">
            <v>PORTO ALEGRE</v>
          </cell>
          <cell r="C1718" t="str">
            <v>PORTO ATLÂNTICO</v>
          </cell>
          <cell r="D1718" t="str">
            <v>933E24AC-8932-DF11-B3AB-001F2909E810</v>
          </cell>
          <cell r="E1718">
            <v>69</v>
          </cell>
        </row>
        <row r="1719">
          <cell r="A1719" t="str">
            <v>BELO HORIZONTE</v>
          </cell>
          <cell r="C1719" t="str">
            <v>PORTO BELO</v>
          </cell>
          <cell r="D1719" t="str">
            <v>B7D69C05-73E4-DC11-ABD0-001B7845B4A6</v>
          </cell>
          <cell r="E1719">
            <v>39</v>
          </cell>
        </row>
        <row r="1720">
          <cell r="A1720" t="str">
            <v>PORTO ALEGRE</v>
          </cell>
          <cell r="C1720" t="str">
            <v>PORTO CRISTAL</v>
          </cell>
          <cell r="D1720" t="str">
            <v>4F6C6AF8-73C7-DD11-8457-001B78B9D994</v>
          </cell>
          <cell r="E1720">
            <v>110</v>
          </cell>
        </row>
        <row r="1721">
          <cell r="A1721" t="str">
            <v>NOVO HAMBURGO</v>
          </cell>
          <cell r="C1721" t="str">
            <v>PORTO DE HAMBURGO</v>
          </cell>
          <cell r="D1721" t="str">
            <v>5E998D12-D1B8-EB11-9465-0050568AA20F</v>
          </cell>
          <cell r="E1721">
            <v>200</v>
          </cell>
        </row>
        <row r="1722">
          <cell r="A1722" t="str">
            <v>CANOAS</v>
          </cell>
          <cell r="C1722" t="str">
            <v>PORTO DOS LÍRIOS</v>
          </cell>
          <cell r="D1722" t="str">
            <v>01074705-F8A0-EE11-A95E-005056856875</v>
          </cell>
          <cell r="E1722">
            <v>240</v>
          </cell>
        </row>
        <row r="1723">
          <cell r="A1723" t="str">
            <v>NOVO HAMBURGO</v>
          </cell>
          <cell r="C1723" t="str">
            <v>PORTO DOS SINOS</v>
          </cell>
          <cell r="D1723" t="str">
            <v>5A9D4463-AE3A-E511-A6CC-009C02B0CB58</v>
          </cell>
          <cell r="E1723">
            <v>300</v>
          </cell>
        </row>
        <row r="1724">
          <cell r="A1724" t="str">
            <v>SÃO LEOPOLDO</v>
          </cell>
          <cell r="C1724" t="str">
            <v>PORTO GARIBALDI</v>
          </cell>
          <cell r="D1724" t="str">
            <v>DF7BB829-76E8-E611-ABB6-80C16E075108</v>
          </cell>
          <cell r="E1724">
            <v>260</v>
          </cell>
        </row>
        <row r="1725">
          <cell r="A1725" t="str">
            <v>GRAVATAÍ</v>
          </cell>
          <cell r="C1725" t="str">
            <v>PORTO GENERAL CANABARRO</v>
          </cell>
          <cell r="D1725" t="str">
            <v>3BF9676A-1F37-E711-B3B8-009C02B0CB58</v>
          </cell>
          <cell r="E1725">
            <v>200</v>
          </cell>
        </row>
        <row r="1726">
          <cell r="A1726" t="str">
            <v>PORTO ALEGRE</v>
          </cell>
          <cell r="C1726" t="str">
            <v>PORTO GUAIBA</v>
          </cell>
          <cell r="D1726" t="str">
            <v>8BAAE74B-CA49-DD11-BC22-001B78B9D994</v>
          </cell>
          <cell r="E1726">
            <v>238</v>
          </cell>
        </row>
        <row r="1727">
          <cell r="A1727" t="str">
            <v>PORTO ALEGRE</v>
          </cell>
          <cell r="C1727" t="str">
            <v>PORTO MEDITERRÂNEO</v>
          </cell>
          <cell r="D1727" t="str">
            <v>878EFDC2-CA10-DF11-83FF-001F2909E810</v>
          </cell>
          <cell r="E1727">
            <v>148</v>
          </cell>
        </row>
        <row r="1728">
          <cell r="A1728" t="str">
            <v>PORTO ALEGRE</v>
          </cell>
          <cell r="C1728" t="str">
            <v>PORTO PLANALTO</v>
          </cell>
          <cell r="D1728" t="str">
            <v>FBC26F15-244C-DD11-BC22-001B78B9D994</v>
          </cell>
          <cell r="E1728">
            <v>279</v>
          </cell>
        </row>
        <row r="1729">
          <cell r="A1729" t="str">
            <v>PORTO ALEGRE</v>
          </cell>
          <cell r="C1729" t="str">
            <v>PORTO QUINTANA</v>
          </cell>
          <cell r="D1729" t="str">
            <v>F6D83239-715B-E411-B5D2-009C02B0CB58</v>
          </cell>
          <cell r="E1729">
            <v>288</v>
          </cell>
        </row>
        <row r="1730">
          <cell r="A1730" t="str">
            <v>PORTO ALEGRE</v>
          </cell>
          <cell r="C1730" t="str">
            <v>PORTO REAL</v>
          </cell>
          <cell r="D1730" t="str">
            <v>CCBDB8C9-0F6E-DD11-A282-001B78B9D994</v>
          </cell>
          <cell r="E1730">
            <v>149</v>
          </cell>
        </row>
        <row r="1731">
          <cell r="A1731" t="str">
            <v>BELO HORIZONTE</v>
          </cell>
          <cell r="C1731" t="str">
            <v>PORTO RICO</v>
          </cell>
          <cell r="D1731" t="str">
            <v>5107569C-467F-DD11-8A4F-001B78B9D994</v>
          </cell>
          <cell r="E1731">
            <v>0</v>
          </cell>
        </row>
        <row r="1732">
          <cell r="A1732" t="str">
            <v>NOVO HAMBURGO</v>
          </cell>
          <cell r="C1732" t="str">
            <v>PORTO SAINT GERMAIN</v>
          </cell>
          <cell r="D1732" t="str">
            <v>54C08C16-0FBE-E511-B93A-80C16E075108</v>
          </cell>
          <cell r="E1732">
            <v>300</v>
          </cell>
        </row>
        <row r="1733">
          <cell r="A1733" t="str">
            <v>SAPUCAIA DO SUL</v>
          </cell>
          <cell r="C1733" t="str">
            <v>PORTO SANTA FÉ</v>
          </cell>
          <cell r="D1733" t="str">
            <v>1233134C-C197-E611-B1E9-009C02B0CB58</v>
          </cell>
          <cell r="E1733">
            <v>200</v>
          </cell>
        </row>
        <row r="1734">
          <cell r="A1734" t="str">
            <v>PORTO ALEGRE</v>
          </cell>
          <cell r="C1734" t="str">
            <v>PORTO TERESÓPOLIS</v>
          </cell>
          <cell r="D1734" t="str">
            <v>25BEE8E3-234C-DD11-BC22-001B78B9D994</v>
          </cell>
          <cell r="E1734">
            <v>200</v>
          </cell>
        </row>
        <row r="1735">
          <cell r="A1735" t="str">
            <v>CAXIAS DO SUL</v>
          </cell>
          <cell r="C1735" t="str">
            <v>PORTO VENEZA</v>
          </cell>
          <cell r="D1735" t="str">
            <v>42E40FE6-190B-E611-A5BB-009C02B0CB58</v>
          </cell>
          <cell r="E1735">
            <v>100</v>
          </cell>
        </row>
        <row r="1736">
          <cell r="A1736" t="str">
            <v>JABOATÃO DOS GUARARAPES</v>
          </cell>
          <cell r="C1736" t="str">
            <v>PRAIA DE PIEDADE CONDOMÍNIO CLUBE</v>
          </cell>
          <cell r="D1736" t="str">
            <v>10E3D758-BDD5-DE11-8C8B-001F2909E810</v>
          </cell>
          <cell r="E1736">
            <v>864</v>
          </cell>
        </row>
        <row r="1737">
          <cell r="A1737" t="str">
            <v>NATAL</v>
          </cell>
          <cell r="C1737" t="str">
            <v>PRAIA DE PONTA NEGRA</v>
          </cell>
          <cell r="D1737" t="str">
            <v>A0C64380-A8DD-E611-ABB6-80C16E075108</v>
          </cell>
          <cell r="E1737">
            <v>320</v>
          </cell>
        </row>
        <row r="1738">
          <cell r="A1738" t="str">
            <v>NATAL</v>
          </cell>
          <cell r="C1738" t="str">
            <v>PRAIA DO FORTE</v>
          </cell>
          <cell r="D1738" t="str">
            <v>EF55A035-A8DD-E611-ABB6-80C16E075108</v>
          </cell>
          <cell r="E1738">
            <v>384</v>
          </cell>
        </row>
        <row r="1739">
          <cell r="A1739" t="str">
            <v>PIRACICABA</v>
          </cell>
          <cell r="C1739" t="str">
            <v>PREMIATTO</v>
          </cell>
          <cell r="D1739" t="str">
            <v>CE690E80-B0CD-DC11-9ED6-001B7845B4A6</v>
          </cell>
          <cell r="E1739">
            <v>384</v>
          </cell>
        </row>
        <row r="1740">
          <cell r="A1740" t="str">
            <v>FORTALEZA</v>
          </cell>
          <cell r="C1740" t="str">
            <v>PREMIER CONDOMÍNIO CLUBE</v>
          </cell>
          <cell r="D1740" t="str">
            <v>3C5511ED-22A2-DE11-8D16-001F2909E810</v>
          </cell>
          <cell r="E1740">
            <v>160</v>
          </cell>
        </row>
        <row r="1741">
          <cell r="A1741" t="str">
            <v>FORTALEZA</v>
          </cell>
          <cell r="C1741" t="str">
            <v>PREMIUM CONDOMÍNIO CLUBE</v>
          </cell>
          <cell r="D1741" t="str">
            <v>14EF4307-BA98-DF11-B20E-001F2909E810</v>
          </cell>
          <cell r="E1741">
            <v>240</v>
          </cell>
        </row>
        <row r="1742">
          <cell r="A1742" t="str">
            <v>PINDAMONHANGABA</v>
          </cell>
          <cell r="C1742" t="str">
            <v>PRINCESA ISABEL</v>
          </cell>
          <cell r="D1742" t="str">
            <v>FFEFCEC1-4364-E011-BDCF-001F2909E810</v>
          </cell>
          <cell r="E1742">
            <v>496</v>
          </cell>
        </row>
        <row r="1743">
          <cell r="A1743" t="str">
            <v>BELO HORIZONTE</v>
          </cell>
          <cell r="C1743" t="str">
            <v>PRINCIPE DE GALES</v>
          </cell>
          <cell r="D1743" t="str">
            <v>A1AE48BE-FCCA-DE11-8C8B-001F2909E810</v>
          </cell>
          <cell r="E1743">
            <v>112</v>
          </cell>
        </row>
        <row r="1744">
          <cell r="A1744" t="str">
            <v>BELO HORIZONTE</v>
          </cell>
          <cell r="C1744" t="str">
            <v>PRINCIPE DE GALES _ RECOMPRA</v>
          </cell>
          <cell r="D1744" t="str">
            <v>12214C6E-F054-E611-ABB6-80C16E075108</v>
          </cell>
          <cell r="E1744">
            <v>0</v>
          </cell>
        </row>
        <row r="1745">
          <cell r="A1745" t="str">
            <v>PRESIDENTE PRUDENTE</v>
          </cell>
          <cell r="C1745" t="str">
            <v>PRÍNCIPE DE VALÊNCIA</v>
          </cell>
          <cell r="D1745" t="str">
            <v>C91F038F-299E-E711-8E92-009C02B0CB58</v>
          </cell>
          <cell r="E1745">
            <v>192</v>
          </cell>
        </row>
        <row r="1746">
          <cell r="A1746" t="str">
            <v>PRESIDENTE PRUDENTE</v>
          </cell>
          <cell r="C1746" t="str">
            <v>PRÍNCIPE DE VIANA</v>
          </cell>
          <cell r="D1746" t="str">
            <v>EC4B9B19-D7D9-E711-B989-80C16E075108</v>
          </cell>
          <cell r="E1746">
            <v>212</v>
          </cell>
        </row>
        <row r="1747">
          <cell r="A1747" t="str">
            <v>SÃO PAULO</v>
          </cell>
          <cell r="C1747" t="str">
            <v>PRIVILEGE VILA MARIA</v>
          </cell>
          <cell r="D1747" t="str">
            <v>24521E37-AACE-DC11-9ED6-001B7845B4A6</v>
          </cell>
          <cell r="E1747">
            <v>172</v>
          </cell>
        </row>
        <row r="1748">
          <cell r="A1748" t="str">
            <v>NATAL</v>
          </cell>
          <cell r="C1748" t="str">
            <v>PRIVILEGIE LAGOA NOVA</v>
          </cell>
          <cell r="D1748" t="str">
            <v>9C679153-A999-EE11-8ACD-80C16E075108</v>
          </cell>
          <cell r="E1748">
            <v>0</v>
          </cell>
        </row>
        <row r="1749">
          <cell r="A1749" t="str">
            <v>PORTO ALEGRE</v>
          </cell>
          <cell r="C1749" t="str">
            <v>PUERTO DE LA PLATA</v>
          </cell>
          <cell r="D1749" t="str">
            <v>F7E1E524-294C-DD11-BC22-001B78B9D994</v>
          </cell>
          <cell r="E1749">
            <v>63</v>
          </cell>
        </row>
        <row r="1750">
          <cell r="A1750" t="str">
            <v>PIRACICABA</v>
          </cell>
          <cell r="C1750" t="str">
            <v>RABO DE BALEIA EMP 01</v>
          </cell>
          <cell r="D1750" t="str">
            <v>3CA9222D-F526-F011-AAAE-005056856875</v>
          </cell>
          <cell r="E1750">
            <v>0</v>
          </cell>
        </row>
        <row r="1751">
          <cell r="A1751" t="str">
            <v>CAMPINAS</v>
          </cell>
          <cell r="C1751" t="str">
            <v>RANCHO DA GARAPA EMP 01</v>
          </cell>
          <cell r="D1751" t="str">
            <v>2A271113-7A6F-EE11-9832-005056856875</v>
          </cell>
          <cell r="E1751">
            <v>0</v>
          </cell>
        </row>
        <row r="1752">
          <cell r="A1752" t="str">
            <v>BELO HORIZONTE</v>
          </cell>
          <cell r="C1752" t="str">
            <v>RAVENA</v>
          </cell>
          <cell r="D1752" t="str">
            <v>1F6BBF32-45DC-DF11-B242-001F2909E810</v>
          </cell>
          <cell r="E1752">
            <v>4</v>
          </cell>
        </row>
        <row r="1753">
          <cell r="A1753" t="str">
            <v>RECIFE</v>
          </cell>
          <cell r="C1753" t="str">
            <v>RECANTO DA AURORA</v>
          </cell>
          <cell r="D1753" t="str">
            <v>F42B76FF-495E-E111-A73E-001F2909E810</v>
          </cell>
          <cell r="E1753">
            <v>768</v>
          </cell>
        </row>
        <row r="1754">
          <cell r="A1754" t="str">
            <v>RIO DE JANEIRO</v>
          </cell>
          <cell r="C1754" t="str">
            <v>RECANTO DAS ÁGUAS</v>
          </cell>
          <cell r="D1754" t="str">
            <v>0AA2ED6B-254C-DD11-BC22-001B78B9D994</v>
          </cell>
          <cell r="E1754">
            <v>208</v>
          </cell>
        </row>
        <row r="1755">
          <cell r="A1755" t="str">
            <v>BELO HORIZONTE</v>
          </cell>
          <cell r="C1755" t="str">
            <v>RECANTO DAS PEDRAS</v>
          </cell>
          <cell r="D1755" t="str">
            <v>F79CDF1D-CA54-DD11-BC22-001B78B9D994</v>
          </cell>
          <cell r="E1755">
            <v>16</v>
          </cell>
        </row>
        <row r="1756">
          <cell r="A1756" t="str">
            <v>JABOATÃO DOS GUARARAPES</v>
          </cell>
          <cell r="C1756" t="str">
            <v>RECANTO DO MAR</v>
          </cell>
          <cell r="D1756" t="str">
            <v>F784BA25-412C-E711-AC8C-80C16E075108</v>
          </cell>
          <cell r="E1756">
            <v>416</v>
          </cell>
        </row>
        <row r="1757">
          <cell r="A1757" t="str">
            <v>RIO DE JANEIRO</v>
          </cell>
          <cell r="C1757" t="str">
            <v>RECANTO DO PAÇUARÉ I</v>
          </cell>
          <cell r="D1757" t="str">
            <v>40DF43D7-CC10-DF11-83FF-001F2909E810</v>
          </cell>
          <cell r="E1757">
            <v>1</v>
          </cell>
        </row>
        <row r="1758">
          <cell r="A1758" t="str">
            <v>RIO DE JANEIRO</v>
          </cell>
          <cell r="C1758" t="str">
            <v>RECANTO DO PAÇUARÉ II</v>
          </cell>
          <cell r="D1758" t="str">
            <v>EAF58105-CD10-DF11-83FF-001F2909E810</v>
          </cell>
          <cell r="E1758">
            <v>1</v>
          </cell>
        </row>
        <row r="1759">
          <cell r="A1759" t="str">
            <v>SÃO PAULO</v>
          </cell>
          <cell r="C1759" t="str">
            <v>RECANTO DO SOL EMP 01</v>
          </cell>
          <cell r="D1759" t="str">
            <v>A7FE2662-BD02-F011-AAAE-005056856875</v>
          </cell>
          <cell r="E1759">
            <v>0</v>
          </cell>
        </row>
        <row r="1760">
          <cell r="A1760" t="str">
            <v>SÃO PAULO</v>
          </cell>
          <cell r="C1760" t="str">
            <v>RECANTO DO SOL EMP 02</v>
          </cell>
          <cell r="D1760" t="str">
            <v>D8160CE1-D725-F011-AAAE-005056856875</v>
          </cell>
          <cell r="E1760">
            <v>0</v>
          </cell>
        </row>
        <row r="1761">
          <cell r="A1761" t="str">
            <v>RIO DE JANEIRO</v>
          </cell>
          <cell r="C1761" t="str">
            <v>RECANTO DOS PÁSSARO_RECANTO BEIJA_FLOR</v>
          </cell>
          <cell r="D1761" t="str">
            <v>7E5E0602-81E8-DD11-BD2B-001B78B9D994</v>
          </cell>
          <cell r="E1761">
            <v>500</v>
          </cell>
        </row>
        <row r="1762">
          <cell r="A1762" t="str">
            <v>RIO DE JANEIRO</v>
          </cell>
          <cell r="C1762" t="str">
            <v>RECANTO DOS PÁSSAROS - RECANTO DOS ROUXINÓIS</v>
          </cell>
          <cell r="D1762" t="str">
            <v>8A01DE83-F5E7-DD11-BD2B-001B78B9D994</v>
          </cell>
          <cell r="E1762">
            <v>500</v>
          </cell>
        </row>
        <row r="1763">
          <cell r="A1763" t="str">
            <v>RIBEIRÃO PRETO</v>
          </cell>
          <cell r="C1763" t="str">
            <v>RECREIO INTERNACIONAL EMP 01</v>
          </cell>
          <cell r="D1763" t="str">
            <v>93FFE955-E0B7-EF11-B65C-009C02B0CB58</v>
          </cell>
          <cell r="E1763">
            <v>0</v>
          </cell>
        </row>
        <row r="1764">
          <cell r="A1764" t="str">
            <v>RIBEIRÃO PRETO</v>
          </cell>
          <cell r="C1764" t="str">
            <v>REGALLE</v>
          </cell>
          <cell r="D1764" t="str">
            <v>C6E442F2-F2EA-DC11-A2F9-001B7845B4A6</v>
          </cell>
          <cell r="E1764">
            <v>392</v>
          </cell>
        </row>
        <row r="1765">
          <cell r="A1765" t="str">
            <v>BELO HORIZONTE</v>
          </cell>
          <cell r="C1765" t="str">
            <v>REINO UNIDO</v>
          </cell>
          <cell r="D1765" t="str">
            <v>F8DFB1E2-DFF2-DD11-9EFB-001B78B9D994</v>
          </cell>
          <cell r="E1765">
            <v>0</v>
          </cell>
        </row>
        <row r="1766">
          <cell r="A1766" t="str">
            <v>RIBEIRÃO PRETO</v>
          </cell>
          <cell r="C1766" t="str">
            <v>REJANE</v>
          </cell>
          <cell r="D1766" t="str">
            <v>6428FEEB-0FEB-DC11-A2F9-001B7845B4A6</v>
          </cell>
          <cell r="E1766">
            <v>48</v>
          </cell>
        </row>
        <row r="1767">
          <cell r="A1767" t="str">
            <v>RIBEIRÃO PRETO</v>
          </cell>
          <cell r="C1767" t="str">
            <v>REMANSO DO LAGO</v>
          </cell>
          <cell r="D1767" t="str">
            <v>AB649FA2-6D8E-E711-9B04-005056856B6C</v>
          </cell>
          <cell r="E1767">
            <v>112</v>
          </cell>
        </row>
        <row r="1768">
          <cell r="A1768" t="str">
            <v>RIBEIRÃO PRETO</v>
          </cell>
          <cell r="C1768" t="str">
            <v>RENATA</v>
          </cell>
          <cell r="D1768" t="str">
            <v>B1544F35-3B8A-DD11-8A4F-001B78B9D994</v>
          </cell>
          <cell r="E1768">
            <v>48</v>
          </cell>
        </row>
        <row r="1769">
          <cell r="A1769" t="str">
            <v>RIO DE JANEIRO</v>
          </cell>
          <cell r="C1769" t="str">
            <v>RENOIR</v>
          </cell>
          <cell r="D1769" t="str">
            <v>1A906D28-2A4C-DD11-BC22-001B78B9D994</v>
          </cell>
          <cell r="E1769">
            <v>248</v>
          </cell>
        </row>
        <row r="1770">
          <cell r="A1770" t="str">
            <v>NATAL</v>
          </cell>
          <cell r="C1770" t="str">
            <v>RESERVA NOVA AMÉRICA</v>
          </cell>
          <cell r="D1770" t="str">
            <v>29C856B0-C300-E111-A6B3-001F2909E810</v>
          </cell>
          <cell r="E1770">
            <v>608</v>
          </cell>
        </row>
        <row r="1771">
          <cell r="A1771" t="str">
            <v>CABEDELO</v>
          </cell>
          <cell r="C1771" t="str">
            <v>RESERVA AREIA DOURADA</v>
          </cell>
          <cell r="D1771" t="str">
            <v>699E20AA-46B9-E911-A3F3-005056856B6C</v>
          </cell>
          <cell r="E1771">
            <v>288</v>
          </cell>
        </row>
        <row r="1772">
          <cell r="A1772" t="str">
            <v>RESENDE</v>
          </cell>
          <cell r="C1772" t="str">
            <v>RESERVA ATHENAS</v>
          </cell>
          <cell r="D1772" t="str">
            <v>AC12BB3E-217A-E811-8D3F-80C16E075108</v>
          </cell>
          <cell r="E1772">
            <v>260</v>
          </cell>
        </row>
        <row r="1773">
          <cell r="A1773" t="str">
            <v>UBERLÂNDIA</v>
          </cell>
          <cell r="C1773" t="str">
            <v>RESERVA BARCELONA</v>
          </cell>
          <cell r="D1773" t="str">
            <v>B6DCEC45-51C8-EA11-BEEB-005056856875</v>
          </cell>
          <cell r="E1773">
            <v>0</v>
          </cell>
        </row>
        <row r="1774">
          <cell r="A1774" t="str">
            <v>BAURU</v>
          </cell>
          <cell r="C1774" t="str">
            <v>RESERVA BELAS NAÇÕES_RESIDENCIAL BELA AMÉRICA</v>
          </cell>
          <cell r="D1774" t="str">
            <v>E1BF41FF-5AB1-DF11-B20E-001F2909E810</v>
          </cell>
          <cell r="E1774">
            <v>420</v>
          </cell>
        </row>
        <row r="1775">
          <cell r="A1775" t="str">
            <v>MAUÁ</v>
          </cell>
          <cell r="C1775" t="str">
            <v>RESERVA BELO VERDE</v>
          </cell>
          <cell r="D1775" t="str">
            <v>F89B6370-FBB7-DD11-A0C7-001B78B9D994</v>
          </cell>
          <cell r="E1775">
            <v>90</v>
          </cell>
        </row>
        <row r="1776">
          <cell r="A1776" t="str">
            <v>SÃO JOSÉ DOS PINHAIS</v>
          </cell>
          <cell r="C1776" t="str">
            <v>RESERVA CASA BLANCA</v>
          </cell>
          <cell r="D1776" t="str">
            <v>429DB56B-078A-E411-9DC0-80C16E075108</v>
          </cell>
          <cell r="E1776">
            <v>1280</v>
          </cell>
        </row>
        <row r="1777">
          <cell r="A1777" t="str">
            <v>MAUÁ</v>
          </cell>
          <cell r="C1777" t="str">
            <v>RESERVA DA CANTAREIRA</v>
          </cell>
          <cell r="D1777" t="str">
            <v>471CC761-39D0-DC11-ABCF-001B7845B4A6</v>
          </cell>
          <cell r="E1777">
            <v>160</v>
          </cell>
        </row>
        <row r="1778">
          <cell r="A1778" t="str">
            <v>MAUÁ</v>
          </cell>
          <cell r="C1778" t="str">
            <v>RESERVA DAS DUNAS</v>
          </cell>
          <cell r="D1778" t="str">
            <v>85647F09-F663-DD11-B13B-001B78B9D994</v>
          </cell>
          <cell r="E1778">
            <v>104</v>
          </cell>
        </row>
        <row r="1779">
          <cell r="A1779" t="str">
            <v>RIBEIRÃO PRETO</v>
          </cell>
          <cell r="C1779" t="str">
            <v>RESERVA DAS GARDÊNIAS</v>
          </cell>
          <cell r="D1779" t="str">
            <v>13966D58-3156-E911-B8F1-009C02B0CB58</v>
          </cell>
          <cell r="E1779">
            <v>408</v>
          </cell>
        </row>
        <row r="1780">
          <cell r="A1780" t="str">
            <v>MAUÁ</v>
          </cell>
          <cell r="C1780" t="str">
            <v>RESERVA DAS PALMAS</v>
          </cell>
          <cell r="D1780" t="str">
            <v>25EF7C41-F663-DD11-B13B-001B78B9D994</v>
          </cell>
          <cell r="E1780">
            <v>104</v>
          </cell>
        </row>
        <row r="1781">
          <cell r="A1781" t="str">
            <v>RIBEIRÃO PRETO</v>
          </cell>
          <cell r="C1781" t="str">
            <v>RESERVA DAS TULIPAS</v>
          </cell>
          <cell r="D1781" t="str">
            <v>34133D8A-63B6-E611-B1E9-009C02B0CB58</v>
          </cell>
          <cell r="E1781">
            <v>432</v>
          </cell>
        </row>
        <row r="1782">
          <cell r="A1782" t="str">
            <v>RIBEIRÃO PRETO</v>
          </cell>
          <cell r="C1782" t="str">
            <v>RESERVA DAS VIOLETAS</v>
          </cell>
          <cell r="D1782" t="str">
            <v>A4F418E5-65B6-E611-B1E9-009C02B0CB58</v>
          </cell>
          <cell r="E1782">
            <v>192</v>
          </cell>
        </row>
        <row r="1783">
          <cell r="A1783" t="str">
            <v>MAUÁ</v>
          </cell>
          <cell r="C1783" t="str">
            <v>RESERVA DE CANDEIAS</v>
          </cell>
          <cell r="D1783" t="str">
            <v>1D5F06DD-F763-DD11-B13B-001B78B9D994</v>
          </cell>
          <cell r="E1783">
            <v>104</v>
          </cell>
        </row>
        <row r="1784">
          <cell r="A1784" t="str">
            <v>MAUÁ</v>
          </cell>
          <cell r="C1784" t="str">
            <v>RESERVA DE ITAPUÃ</v>
          </cell>
          <cell r="D1784" t="str">
            <v>657606B8-F663-DD11-B13B-001B78B9D994</v>
          </cell>
          <cell r="E1784">
            <v>48</v>
          </cell>
        </row>
        <row r="1785">
          <cell r="A1785" t="str">
            <v>MAUÁ</v>
          </cell>
          <cell r="C1785" t="str">
            <v>RESERVA DE ITAÚNAS</v>
          </cell>
          <cell r="D1785" t="str">
            <v>06B0A176-C5CE-DC11-9ED6-001B7845B4A6</v>
          </cell>
          <cell r="E1785">
            <v>170</v>
          </cell>
        </row>
        <row r="1786">
          <cell r="A1786" t="str">
            <v>RIO DE JANEIRO</v>
          </cell>
          <cell r="C1786" t="str">
            <v>RESERVA DO ATLÂNTICO</v>
          </cell>
          <cell r="D1786" t="str">
            <v>E2215E0C-A9C6-E511-9CC2-009C02B0CB58</v>
          </cell>
          <cell r="E1786">
            <v>432</v>
          </cell>
        </row>
        <row r="1787">
          <cell r="A1787" t="str">
            <v>MAUÁ</v>
          </cell>
          <cell r="C1787" t="str">
            <v>RESERVA DO CORUMBIARA</v>
          </cell>
          <cell r="D1787" t="str">
            <v>F452421D-A7CE-DC11-9ED6-001B7845B4A6</v>
          </cell>
          <cell r="E1787">
            <v>169</v>
          </cell>
        </row>
        <row r="1788">
          <cell r="A1788" t="str">
            <v>MAUÁ</v>
          </cell>
          <cell r="C1788" t="str">
            <v>RESERVA DO GUARIBA</v>
          </cell>
          <cell r="D1788" t="str">
            <v>1E9486CF-95CE-DC11-9ED6-001B7845B4A6</v>
          </cell>
          <cell r="E1788">
            <v>122</v>
          </cell>
        </row>
        <row r="1789">
          <cell r="A1789" t="str">
            <v>MAUÁ</v>
          </cell>
          <cell r="C1789" t="str">
            <v>RESERVA DO ITACOLOMI</v>
          </cell>
          <cell r="D1789" t="str">
            <v>D7DDE858-38D0-DC11-ABCF-001B7845B4A6</v>
          </cell>
          <cell r="E1789">
            <v>120</v>
          </cell>
        </row>
        <row r="1790">
          <cell r="A1790" t="str">
            <v>JUNDIAÍ</v>
          </cell>
          <cell r="C1790" t="str">
            <v>RESERVA DO JAPI_RESIDENCIAL ALGODEIRO</v>
          </cell>
          <cell r="D1790" t="str">
            <v>3FE420E9-F480-DE11-95FB-001F2909E83C</v>
          </cell>
          <cell r="E1790">
            <v>192</v>
          </cell>
        </row>
        <row r="1791">
          <cell r="A1791" t="str">
            <v>JUNDIAÍ</v>
          </cell>
          <cell r="C1791" t="str">
            <v>RESERVA DO JAPI_RESIDENCIAL ANGELIM</v>
          </cell>
          <cell r="D1791" t="str">
            <v>DE17E3EA-F280-DE11-95FB-001F2909E83C</v>
          </cell>
          <cell r="E1791">
            <v>144</v>
          </cell>
        </row>
        <row r="1792">
          <cell r="A1792" t="str">
            <v>JUNDIAÍ</v>
          </cell>
          <cell r="C1792" t="str">
            <v>RESERVA DO JAPI_RESIDENCIAL BEGÔNIAS</v>
          </cell>
          <cell r="D1792" t="str">
            <v>417842F8-F080-DE11-95FB-001F2909E83C</v>
          </cell>
          <cell r="E1792">
            <v>144</v>
          </cell>
        </row>
        <row r="1793">
          <cell r="A1793" t="str">
            <v>JUNDIAÍ</v>
          </cell>
          <cell r="C1793" t="str">
            <v>RESERVA DO JAPI_RESIDENCIAL COPAÍBA</v>
          </cell>
          <cell r="D1793" t="str">
            <v>68C59E20-0ACB-DE11-8C8B-001F2909E810</v>
          </cell>
          <cell r="E1793">
            <v>136</v>
          </cell>
        </row>
        <row r="1794">
          <cell r="A1794" t="str">
            <v>JUNDIAÍ</v>
          </cell>
          <cell r="C1794" t="str">
            <v>RESERVA DO JAPI_RESIDENCIAL CRISÂNTEMOS</v>
          </cell>
          <cell r="D1794" t="str">
            <v>AF0991D8-F180-DE11-95FB-001F2909E83C</v>
          </cell>
          <cell r="E1794">
            <v>144</v>
          </cell>
        </row>
        <row r="1795">
          <cell r="A1795" t="str">
            <v>JUNDIAÍ</v>
          </cell>
          <cell r="C1795" t="str">
            <v>RESERVA DO JAPI_RESIDENCIAL EMBIRUÇU</v>
          </cell>
          <cell r="D1795" t="str">
            <v>015998BC-FA80-DE11-95FB-001F2909E83C</v>
          </cell>
          <cell r="E1795">
            <v>168</v>
          </cell>
        </row>
        <row r="1796">
          <cell r="A1796" t="str">
            <v>JUNDIAÍ</v>
          </cell>
          <cell r="C1796" t="str">
            <v>RESERVA DO JAPI_RESIDENCIAL FICUS</v>
          </cell>
          <cell r="D1796" t="str">
            <v>7272736B-F380-DE11-95FB-001F2909E83C</v>
          </cell>
          <cell r="E1796">
            <v>192</v>
          </cell>
        </row>
        <row r="1797">
          <cell r="A1797" t="str">
            <v>JUNDIAÍ</v>
          </cell>
          <cell r="C1797" t="str">
            <v>RESERVA DO JAPI_RESIDENCIAL JATAÍ</v>
          </cell>
          <cell r="D1797" t="str">
            <v>9132CE76-F680-DE11-95FB-001F2909E83C</v>
          </cell>
          <cell r="E1797">
            <v>192</v>
          </cell>
        </row>
        <row r="1798">
          <cell r="A1798" t="str">
            <v>JUNDIAÍ</v>
          </cell>
          <cell r="C1798" t="str">
            <v>RESERVA DO JAPI_RESIDENCIAL SALGUEIRO</v>
          </cell>
          <cell r="D1798" t="str">
            <v>5AF6BF59-F980-DE11-95FB-001F2909E83C</v>
          </cell>
          <cell r="E1798">
            <v>192</v>
          </cell>
        </row>
        <row r="1799">
          <cell r="A1799" t="str">
            <v>JUNDIAÍ</v>
          </cell>
          <cell r="C1799" t="str">
            <v>RESERVA DO JAPI_RESIDENCIAL SAPOPEMA</v>
          </cell>
          <cell r="D1799" t="str">
            <v>D309F91A-F380-DE11-95FB-001F2909E83C</v>
          </cell>
          <cell r="E1799">
            <v>192</v>
          </cell>
        </row>
        <row r="1800">
          <cell r="A1800" t="str">
            <v>JUNDIAÍ</v>
          </cell>
          <cell r="C1800" t="str">
            <v>RESERVA DO JAPI_RESIDENCIAL SUCUPIRA</v>
          </cell>
          <cell r="D1800" t="str">
            <v>BC91FB9E-F380-DE11-95FB-001F2909E83C</v>
          </cell>
          <cell r="E1800">
            <v>120</v>
          </cell>
        </row>
        <row r="1801">
          <cell r="A1801" t="str">
            <v>SÃO JOSÉ DO RIO PRETO</v>
          </cell>
          <cell r="C1801" t="str">
            <v>RESERVA DO LAGO</v>
          </cell>
          <cell r="D1801" t="str">
            <v>57CEB846-DD26-EC11-B501-005056856B6C</v>
          </cell>
          <cell r="E1801">
            <v>512</v>
          </cell>
        </row>
        <row r="1802">
          <cell r="A1802" t="str">
            <v>MAUÁ</v>
          </cell>
          <cell r="C1802" t="str">
            <v>RESERVA DO LAJEADO</v>
          </cell>
          <cell r="D1802" t="str">
            <v>1B8BA1FF-B6CE-DC11-9ED6-001B7845B4A6</v>
          </cell>
          <cell r="E1802">
            <v>60</v>
          </cell>
        </row>
        <row r="1803">
          <cell r="A1803" t="str">
            <v>MAUÁ</v>
          </cell>
          <cell r="C1803" t="str">
            <v>RESERVA DO MIRADOR</v>
          </cell>
          <cell r="D1803" t="str">
            <v>3029633B-BACE-DC11-9ED6-001B7845B4A6</v>
          </cell>
          <cell r="E1803">
            <v>219</v>
          </cell>
        </row>
        <row r="1804">
          <cell r="A1804" t="str">
            <v>MACEIÓ</v>
          </cell>
          <cell r="C1804" t="str">
            <v>RESERVA DO MIRANTE_PARQUE MIRANTE DA BARRA</v>
          </cell>
          <cell r="D1804" t="str">
            <v>D4D21579-0289-E311-8EFB-009C02B0CB58</v>
          </cell>
          <cell r="E1804">
            <v>240</v>
          </cell>
        </row>
        <row r="1805">
          <cell r="A1805" t="str">
            <v>MAUÁ</v>
          </cell>
          <cell r="C1805" t="str">
            <v>RESERVA DO TUCUMÃ</v>
          </cell>
          <cell r="D1805" t="str">
            <v>6F0A27F1-33D0-DC11-ABCF-001B7845B4A6</v>
          </cell>
          <cell r="E1805">
            <v>124</v>
          </cell>
        </row>
        <row r="1806">
          <cell r="A1806" t="str">
            <v>MAUÁ</v>
          </cell>
          <cell r="C1806" t="str">
            <v>RESERVA DO XINGU</v>
          </cell>
          <cell r="D1806" t="str">
            <v>31DA3E45-36D0-DC11-ABCF-001B7845B4A6</v>
          </cell>
          <cell r="E1806">
            <v>36</v>
          </cell>
        </row>
        <row r="1807">
          <cell r="A1807" t="str">
            <v>BETIM</v>
          </cell>
          <cell r="C1807" t="str">
            <v>RESERVA DOS ARINOS_PARQUE ABAETÉ</v>
          </cell>
          <cell r="D1807" t="str">
            <v>40DA67B3-233D-E111-9FA8-001F2909E810</v>
          </cell>
          <cell r="E1807">
            <v>0</v>
          </cell>
        </row>
        <row r="1808">
          <cell r="A1808" t="str">
            <v>BETIM</v>
          </cell>
          <cell r="C1808" t="str">
            <v>RESERVA DOS ARINOS_PARQUE ARAÍPE</v>
          </cell>
          <cell r="D1808" t="str">
            <v>B4368988-243D-E111-9FA8-001F2909E810</v>
          </cell>
          <cell r="E1808">
            <v>0</v>
          </cell>
        </row>
        <row r="1809">
          <cell r="A1809" t="str">
            <v>BETIM</v>
          </cell>
          <cell r="C1809" t="str">
            <v>RESERVA DOS ARINOS_PARQUE GRAJAU</v>
          </cell>
          <cell r="D1809" t="str">
            <v>FEF78020-253D-E111-9FA8-001F2909E810</v>
          </cell>
          <cell r="E1809">
            <v>0</v>
          </cell>
        </row>
        <row r="1810">
          <cell r="A1810" t="str">
            <v>BETIM</v>
          </cell>
          <cell r="C1810" t="str">
            <v>RESERVA DOS ARINOS_PARQUE GUARATINGA</v>
          </cell>
          <cell r="D1810" t="str">
            <v>1FBB5665-263D-E111-9FA8-001F2909E810</v>
          </cell>
          <cell r="E1810">
            <v>0</v>
          </cell>
        </row>
        <row r="1811">
          <cell r="A1811" t="str">
            <v>BETIM</v>
          </cell>
          <cell r="C1811" t="str">
            <v>RESERVA DOS ARINOS_PARQUE IBIARA</v>
          </cell>
          <cell r="D1811" t="str">
            <v>6B986CDB-263D-E111-9FA8-001F2909E810</v>
          </cell>
          <cell r="E1811">
            <v>0</v>
          </cell>
        </row>
        <row r="1812">
          <cell r="A1812" t="str">
            <v>BETIM</v>
          </cell>
          <cell r="C1812" t="str">
            <v>RESERVA DOS ARINOS_PARQUE JARI</v>
          </cell>
          <cell r="D1812" t="str">
            <v>6B03ACA6-273D-E111-9FA8-001F2909E810</v>
          </cell>
          <cell r="E1812">
            <v>0</v>
          </cell>
        </row>
        <row r="1813">
          <cell r="A1813" t="str">
            <v>BETIM</v>
          </cell>
          <cell r="C1813" t="str">
            <v>RESERVA DOS ARINOS_PARQUE SEPETIBA</v>
          </cell>
          <cell r="D1813" t="str">
            <v>4C38C244-283D-E111-9FA8-001F2909E810</v>
          </cell>
          <cell r="E1813">
            <v>0</v>
          </cell>
        </row>
        <row r="1814">
          <cell r="A1814" t="str">
            <v>FORTALEZA</v>
          </cell>
          <cell r="C1814" t="str">
            <v>RESERVA DOS CANÁRIOS</v>
          </cell>
          <cell r="D1814" t="str">
            <v>86A07A04-AC9A-E611-ABB6-80C16E075108</v>
          </cell>
          <cell r="E1814">
            <v>360</v>
          </cell>
        </row>
        <row r="1815">
          <cell r="A1815" t="str">
            <v>FORTALEZA</v>
          </cell>
          <cell r="C1815" t="str">
            <v>RESERVA DOS COLIBRIS</v>
          </cell>
          <cell r="D1815" t="str">
            <v>5F7D8099-4547-EA11-801D-005056856875</v>
          </cell>
          <cell r="E1815">
            <v>0</v>
          </cell>
        </row>
        <row r="1816">
          <cell r="A1816" t="str">
            <v>FORTALEZA</v>
          </cell>
          <cell r="C1816" t="str">
            <v>RESERVA DOS COQUEIROS</v>
          </cell>
          <cell r="D1816" t="str">
            <v>0AF92879-4447-EA11-801D-005056856875</v>
          </cell>
          <cell r="E1816">
            <v>0</v>
          </cell>
        </row>
        <row r="1817">
          <cell r="A1817" t="str">
            <v>CAMPOS DOS GOYTACAZES</v>
          </cell>
          <cell r="C1817" t="str">
            <v>RESERVA DOS CRISTAIS_PARQUE ÁGUA MARINHA</v>
          </cell>
          <cell r="D1817" t="str">
            <v>A2F68290-9EE5-DF11-B242-001F2909E810</v>
          </cell>
          <cell r="E1817">
            <v>448</v>
          </cell>
        </row>
        <row r="1818">
          <cell r="A1818" t="str">
            <v>CAMPOS DOS GOYTACAZES</v>
          </cell>
          <cell r="C1818" t="str">
            <v>RESERVA DOS CRISTAIS_PARQUE ÔNIX</v>
          </cell>
          <cell r="D1818" t="str">
            <v>0AD03FB6-7733-E011-B242-001F2909E810</v>
          </cell>
          <cell r="E1818">
            <v>416</v>
          </cell>
        </row>
        <row r="1819">
          <cell r="A1819" t="str">
            <v>MAUÁ</v>
          </cell>
          <cell r="C1819" t="str">
            <v>RESERVA DOS PIRINEUS</v>
          </cell>
          <cell r="D1819" t="str">
            <v>63FF5414-31D0-DC11-ABCF-001B7845B4A6</v>
          </cell>
          <cell r="E1819">
            <v>173</v>
          </cell>
        </row>
        <row r="1820">
          <cell r="A1820" t="str">
            <v>BELO HORIZONTE</v>
          </cell>
          <cell r="C1820" t="str">
            <v>RESERVA DOS SAGUIS / RESIDENCIAL BRAÚNAS</v>
          </cell>
          <cell r="D1820" t="str">
            <v>F500286A-B459-DD11-B13B-001B78B9D994</v>
          </cell>
          <cell r="E1820">
            <v>240</v>
          </cell>
        </row>
        <row r="1821">
          <cell r="A1821" t="str">
            <v>BELO HORIZONTE</v>
          </cell>
          <cell r="C1821" t="str">
            <v>RESERVA DOS SAGUIS _ RESIDENCIAL MAGNÓLIA</v>
          </cell>
          <cell r="D1821" t="str">
            <v>3DE028A4-B259-DD11-B13B-001B78B9D994</v>
          </cell>
          <cell r="E1821">
            <v>176</v>
          </cell>
        </row>
        <row r="1822">
          <cell r="A1822" t="str">
            <v>BELO HORIZONTE</v>
          </cell>
          <cell r="C1822" t="str">
            <v>RESERVA DOS SAGUIS_RES. ROSA DO CAMPO</v>
          </cell>
          <cell r="D1822" t="str">
            <v>36B61E1F-B659-DD11-B13B-001B78B9D994</v>
          </cell>
          <cell r="E1822">
            <v>40</v>
          </cell>
        </row>
        <row r="1823">
          <cell r="A1823" t="str">
            <v>SÃO JOSÉ</v>
          </cell>
          <cell r="C1823" t="str">
            <v>RESERVA ESTÂNCIA DAS FLORES_ FLORES DA ILHA</v>
          </cell>
          <cell r="D1823" t="str">
            <v>F51244C7-63B3-E611-B1E9-009C02B0CB58</v>
          </cell>
          <cell r="E1823">
            <v>368</v>
          </cell>
        </row>
        <row r="1824">
          <cell r="A1824" t="str">
            <v>SÃO JOSÉ</v>
          </cell>
          <cell r="C1824" t="str">
            <v>RESERVA ESTÂNCIA DAS FLORES_FLORES DA SERRA</v>
          </cell>
          <cell r="D1824" t="str">
            <v>EB3DA26E-62B3-E611-B1E9-009C02B0CB58</v>
          </cell>
          <cell r="E1824">
            <v>256</v>
          </cell>
        </row>
        <row r="1825">
          <cell r="A1825" t="str">
            <v>GOIÂNIA</v>
          </cell>
          <cell r="C1825" t="str">
            <v>RESERVA FLAMBOYANT</v>
          </cell>
          <cell r="D1825" t="str">
            <v>C7E737FC-294C-DD11-BC22-001B78B9D994</v>
          </cell>
          <cell r="E1825">
            <v>68</v>
          </cell>
        </row>
        <row r="1826">
          <cell r="A1826" t="str">
            <v>RIO DE JANEIRO</v>
          </cell>
          <cell r="C1826" t="str">
            <v>RESERVA GUANABARA</v>
          </cell>
          <cell r="D1826" t="str">
            <v>44668EE5-A8C6-E511-9CC2-009C02B0CB58</v>
          </cell>
          <cell r="E1826">
            <v>432</v>
          </cell>
        </row>
        <row r="1827">
          <cell r="A1827" t="str">
            <v>FORTALEZA</v>
          </cell>
          <cell r="C1827" t="str">
            <v>RESERVA JARDIM</v>
          </cell>
          <cell r="D1827" t="str">
            <v>2E930AD9-254C-DD11-BC22-001B78B9D994</v>
          </cell>
          <cell r="E1827">
            <v>590</v>
          </cell>
        </row>
        <row r="1828">
          <cell r="A1828" t="str">
            <v>JOÃO PESSOA</v>
          </cell>
          <cell r="C1828" t="str">
            <v>RESERVA JARDIM AMÉRICA TEXAS</v>
          </cell>
          <cell r="D1828" t="str">
            <v>21D9440A-ABC1-ED11-879A-80C16E075108</v>
          </cell>
          <cell r="E1828">
            <v>0</v>
          </cell>
        </row>
        <row r="1829">
          <cell r="A1829" t="str">
            <v>MAUÁ</v>
          </cell>
          <cell r="C1829" t="str">
            <v>RESERVA LAGO DO CEDRO</v>
          </cell>
          <cell r="D1829" t="str">
            <v>250F995D-485F-DD11-B13B-001B78B9D994</v>
          </cell>
          <cell r="E1829">
            <v>104</v>
          </cell>
        </row>
        <row r="1830">
          <cell r="A1830" t="str">
            <v>FORTALEZA</v>
          </cell>
          <cell r="C1830" t="str">
            <v>RESERVA LAGOA DAS DUNAS</v>
          </cell>
          <cell r="D1830" t="str">
            <v>C2CAC1C6-AB9A-E611-ABB6-80C16E075108</v>
          </cell>
          <cell r="E1830">
            <v>340</v>
          </cell>
        </row>
        <row r="1831">
          <cell r="A1831" t="str">
            <v>MAUÁ</v>
          </cell>
          <cell r="C1831" t="str">
            <v>RESERVA LAGOA DO CAJUEIRO</v>
          </cell>
          <cell r="D1831" t="str">
            <v>35023980-495F-DD11-B13B-001B78B9D994</v>
          </cell>
          <cell r="E1831">
            <v>104</v>
          </cell>
        </row>
        <row r="1832">
          <cell r="A1832" t="str">
            <v>UBERLÂNDIA</v>
          </cell>
          <cell r="C1832" t="str">
            <v>RESERVA LISBOA</v>
          </cell>
          <cell r="D1832" t="str">
            <v>CAC41B01-57C8-EA11-BEEB-005056856875</v>
          </cell>
          <cell r="E1832">
            <v>0</v>
          </cell>
        </row>
        <row r="1833">
          <cell r="A1833" t="str">
            <v>RIO DE JANEIRO</v>
          </cell>
          <cell r="C1833" t="str">
            <v>RESERVA MARACANÃ</v>
          </cell>
          <cell r="D1833" t="str">
            <v>5977E394-A8C6-E511-9CC2-009C02B0CB58</v>
          </cell>
          <cell r="E1833">
            <v>432</v>
          </cell>
        </row>
        <row r="1834">
          <cell r="A1834" t="str">
            <v>MACEIÓ</v>
          </cell>
          <cell r="C1834" t="str">
            <v>RESERVA MARAGOGI_PARQUE BARRA GRANDE</v>
          </cell>
          <cell r="D1834" t="str">
            <v>2ED21B61-7A52-E111-A73D-001F2909E810</v>
          </cell>
          <cell r="E1834">
            <v>240</v>
          </cell>
        </row>
        <row r="1835">
          <cell r="A1835" t="str">
            <v>MACEIÓ</v>
          </cell>
          <cell r="C1835" t="str">
            <v>RESERVA MARAGOGI_PARQUE DAS GALÉS</v>
          </cell>
          <cell r="D1835" t="str">
            <v>06AA4B30-7A52-E111-A73D-001F2909E810</v>
          </cell>
          <cell r="E1835">
            <v>350</v>
          </cell>
        </row>
        <row r="1836">
          <cell r="A1836" t="str">
            <v>MACEIÓ</v>
          </cell>
          <cell r="C1836" t="str">
            <v>RESERVA MARAGOGI_PARQUE PARAÍSO DAS ÁGUAS</v>
          </cell>
          <cell r="D1836" t="str">
            <v>6F6EE1CA-A1EB-E011-9823-001F2909E810</v>
          </cell>
          <cell r="E1836">
            <v>350</v>
          </cell>
        </row>
        <row r="1837">
          <cell r="A1837" t="str">
            <v>MACEIÓ</v>
          </cell>
          <cell r="C1837" t="str">
            <v>RESERVA MARAGOGI_PARQUE PONTAL DAS MARÉS</v>
          </cell>
          <cell r="D1837" t="str">
            <v>FFFFEDA7-78B9-E211-83E6-80C16E075108</v>
          </cell>
          <cell r="E1837">
            <v>240</v>
          </cell>
        </row>
        <row r="1838">
          <cell r="A1838" t="str">
            <v>MACEIÓ</v>
          </cell>
          <cell r="C1838" t="str">
            <v>RESERVA MARAGOGI_PARQUE VALE DOS CORAIS</v>
          </cell>
          <cell r="D1838" t="str">
            <v>F0EC8275-7B52-E111-A73D-001F2909E810</v>
          </cell>
          <cell r="E1838">
            <v>330</v>
          </cell>
        </row>
        <row r="1839">
          <cell r="A1839" t="str">
            <v>MACEIÓ</v>
          </cell>
          <cell r="C1839" t="str">
            <v>RESERVA MARIETA</v>
          </cell>
          <cell r="D1839" t="str">
            <v>95B0B289-6522-EF11-9E4D-009C02B0CB58</v>
          </cell>
          <cell r="E1839">
            <v>0</v>
          </cell>
        </row>
        <row r="1840">
          <cell r="A1840" t="str">
            <v>MAUÁ</v>
          </cell>
          <cell r="C1840" t="str">
            <v>RESERVA MATA DAS FLORES</v>
          </cell>
          <cell r="D1840" t="str">
            <v>CAEF2F03-7F18-DD11-8B33-001B7845B4A6</v>
          </cell>
          <cell r="E1840">
            <v>104</v>
          </cell>
        </row>
        <row r="1841">
          <cell r="A1841" t="str">
            <v>RESENDE</v>
          </cell>
          <cell r="C1841" t="str">
            <v>RESERVA MIRANTE DO VALE</v>
          </cell>
          <cell r="D1841" t="str">
            <v>2EA284B6-002A-E911-8C00-80C16E075108</v>
          </cell>
          <cell r="E1841">
            <v>400</v>
          </cell>
        </row>
        <row r="1842">
          <cell r="A1842" t="str">
            <v>PARNAMIRIM</v>
          </cell>
          <cell r="C1842" t="str">
            <v>RESERVA NAVEGANTES_RESID BARCAS</v>
          </cell>
          <cell r="D1842" t="str">
            <v>A3284D55-A6E8-DD11-BD2B-001B78B9D994</v>
          </cell>
          <cell r="E1842">
            <v>464</v>
          </cell>
        </row>
        <row r="1843">
          <cell r="A1843" t="str">
            <v>PARNAMIRIM</v>
          </cell>
          <cell r="C1843" t="str">
            <v>RESERVA NAVEGANTES_RESID JANGADAS</v>
          </cell>
          <cell r="D1843" t="str">
            <v>B4C86F71-A6E8-DD11-BD2B-001B78B9D994</v>
          </cell>
          <cell r="E1843">
            <v>1056</v>
          </cell>
        </row>
        <row r="1844">
          <cell r="A1844" t="str">
            <v>PARNAMIRIM</v>
          </cell>
          <cell r="C1844" t="str">
            <v>RESERVA NAVEGANTES_RESID VELEIROS</v>
          </cell>
          <cell r="D1844" t="str">
            <v>C2005A64-A6E8-DD11-BD2B-001B78B9D994</v>
          </cell>
          <cell r="E1844">
            <v>144</v>
          </cell>
        </row>
        <row r="1845">
          <cell r="A1845" t="str">
            <v>MAUÁ</v>
          </cell>
          <cell r="C1845" t="str">
            <v>RESERVA OLHOS D'ÁGUA</v>
          </cell>
          <cell r="D1845" t="str">
            <v>54412CA2-C6CE-DC11-9ED6-001B7845B4A6</v>
          </cell>
          <cell r="E1845">
            <v>194</v>
          </cell>
        </row>
        <row r="1846">
          <cell r="A1846" t="str">
            <v>BETIM</v>
          </cell>
          <cell r="C1846" t="str">
            <v>RESERVA PQ DAS CACHOEIRAS_CACHOEIRA DA PRATA</v>
          </cell>
          <cell r="D1846" t="str">
            <v>4F083040-D3CF-E311-8EFB-009C02B0CB58</v>
          </cell>
          <cell r="E1846">
            <v>264</v>
          </cell>
        </row>
        <row r="1847">
          <cell r="A1847" t="str">
            <v>BETIM</v>
          </cell>
          <cell r="C1847" t="str">
            <v>RESERVA PQ DAS CACHOEIRAS_CACHOEIRA DA SERRA</v>
          </cell>
          <cell r="D1847" t="str">
            <v>337DEDFB-D3CF-E311-8EFB-009C02B0CB58</v>
          </cell>
          <cell r="E1847">
            <v>480</v>
          </cell>
        </row>
        <row r="1848">
          <cell r="A1848" t="str">
            <v>BETIM</v>
          </cell>
          <cell r="C1848" t="str">
            <v>RESERVA PQ DAS CACHOEIRAS_CACHOEIRA DO HORIZONTE</v>
          </cell>
          <cell r="D1848" t="str">
            <v>BF11D30D-54A8-E211-83E6-80C16E075108</v>
          </cell>
          <cell r="E1848">
            <v>480</v>
          </cell>
        </row>
        <row r="1849">
          <cell r="A1849" t="str">
            <v>BETIM</v>
          </cell>
          <cell r="C1849" t="str">
            <v>RESERVA PQ DAS CACHOEIRAS_CACHOEIRA DO OURO</v>
          </cell>
          <cell r="D1849" t="str">
            <v>28371201-D3CF-E311-8EFB-009C02B0CB58</v>
          </cell>
          <cell r="E1849">
            <v>480</v>
          </cell>
        </row>
        <row r="1850">
          <cell r="A1850" t="str">
            <v>BETIM</v>
          </cell>
          <cell r="C1850" t="str">
            <v>RESERVA PQ DAS CACHOEIRAS_CACHOEIRA DO PARAÍSO</v>
          </cell>
          <cell r="D1850" t="str">
            <v>779529C1-ADDB-EE11-8ACD-80C16E075108</v>
          </cell>
          <cell r="E1850">
            <v>320</v>
          </cell>
        </row>
        <row r="1851">
          <cell r="A1851" t="str">
            <v>BETIM</v>
          </cell>
          <cell r="C1851" t="str">
            <v>RESERVA PQ DAS CACHOEIRAS_CACHOEIRA DOS DIAMANTES</v>
          </cell>
          <cell r="D1851" t="str">
            <v>0C980073-D3CF-E311-8EFB-009C02B0CB58</v>
          </cell>
          <cell r="E1851">
            <v>384</v>
          </cell>
        </row>
        <row r="1852">
          <cell r="A1852" t="str">
            <v>BETIM</v>
          </cell>
          <cell r="C1852" t="str">
            <v>RESERVA PQ DAS CACHOEIRAS_CACHOEIRA DOS PÁSSAROS</v>
          </cell>
          <cell r="D1852" t="str">
            <v>7198993D-EB8F-E611-ABB6-80C16E075108</v>
          </cell>
          <cell r="E1852">
            <v>180</v>
          </cell>
        </row>
        <row r="1853">
          <cell r="A1853" t="str">
            <v>RIBEIRÃO PRETO</v>
          </cell>
          <cell r="C1853" t="str">
            <v>RESERVA REAL_ PALÁCIO IMPERIAL</v>
          </cell>
          <cell r="D1853" t="str">
            <v>61853163-267F-E111-A73F-001F2909E810</v>
          </cell>
          <cell r="E1853">
            <v>1264</v>
          </cell>
        </row>
        <row r="1854">
          <cell r="A1854" t="str">
            <v>MAUÁ</v>
          </cell>
          <cell r="C1854" t="str">
            <v>RESERVA RIO GUARANI</v>
          </cell>
          <cell r="D1854" t="str">
            <v>95D87A23-F763-DD11-B13B-001B78B9D994</v>
          </cell>
          <cell r="E1854">
            <v>104</v>
          </cell>
        </row>
        <row r="1855">
          <cell r="A1855" t="str">
            <v>MAUÁ</v>
          </cell>
          <cell r="C1855" t="str">
            <v>RESERVA SERRA DAS ARARAS</v>
          </cell>
          <cell r="D1855" t="str">
            <v>A842ACA0-7F18-DD11-8B33-001B7845B4A6</v>
          </cell>
          <cell r="E1855">
            <v>104</v>
          </cell>
        </row>
        <row r="1856">
          <cell r="A1856" t="str">
            <v>MAUÁ</v>
          </cell>
          <cell r="C1856" t="str">
            <v>RESERVA SERRA NEGRA</v>
          </cell>
          <cell r="D1856" t="str">
            <v>5D999E69-F563-DD11-B13B-001B78B9D994</v>
          </cell>
          <cell r="E1856">
            <v>52</v>
          </cell>
        </row>
        <row r="1857">
          <cell r="A1857" t="str">
            <v>RIBEIRÃO PRETO</v>
          </cell>
          <cell r="C1857" t="str">
            <v>RESERVA SUL RESORT CONDOMÍNIO</v>
          </cell>
          <cell r="D1857" t="str">
            <v>6B4C4E0E-F2EA-DC11-A2F9-001B7845B4A6</v>
          </cell>
          <cell r="E1857">
            <v>768</v>
          </cell>
        </row>
        <row r="1858">
          <cell r="A1858" t="str">
            <v>MAUÁ</v>
          </cell>
          <cell r="C1858" t="str">
            <v>RESERVA TAQUARI</v>
          </cell>
          <cell r="D1858" t="str">
            <v>C45FC758-C3CE-DC11-9ED6-001B7845B4A6</v>
          </cell>
          <cell r="E1858">
            <v>127</v>
          </cell>
        </row>
        <row r="1859">
          <cell r="A1859" t="str">
            <v>MAUÁ</v>
          </cell>
          <cell r="C1859" t="str">
            <v>RESERVA TRÊS PICOS</v>
          </cell>
          <cell r="D1859" t="str">
            <v>64F49185-2C15-DD11-8B33-001B7845B4A6</v>
          </cell>
          <cell r="E1859">
            <v>29</v>
          </cell>
        </row>
        <row r="1860">
          <cell r="A1860" t="str">
            <v>VESPASIANO</v>
          </cell>
          <cell r="C1860" t="str">
            <v>RESERVA VALES DE MINAS</v>
          </cell>
          <cell r="D1860" t="str">
            <v>BB252462-561C-E111-B3C4-001F2909E810</v>
          </cell>
          <cell r="E1860">
            <v>500</v>
          </cell>
        </row>
        <row r="1861">
          <cell r="A1861" t="str">
            <v>JABOATÃO DOS GUARARAPES</v>
          </cell>
          <cell r="C1861" t="str">
            <v>RESERVA VILA NATAL_COND. VILA DAS MANGUEIRAS</v>
          </cell>
          <cell r="D1861" t="str">
            <v>8F79BE8C-4123-E011-B242-001F2909E810</v>
          </cell>
          <cell r="E1861">
            <v>336</v>
          </cell>
        </row>
        <row r="1862">
          <cell r="A1862" t="str">
            <v>JABOATÃO DOS GUARARAPES</v>
          </cell>
          <cell r="C1862" t="str">
            <v>RESERVA VILA NATAL_CONDOMINIO VILA DAS MACIEIRAS</v>
          </cell>
          <cell r="D1862" t="str">
            <v>9EF7DD80-5D64-E111-A73F-001F2909E810</v>
          </cell>
          <cell r="E1862">
            <v>328</v>
          </cell>
        </row>
        <row r="1863">
          <cell r="A1863" t="str">
            <v>JABOATÃO DOS GUARARAPES</v>
          </cell>
          <cell r="C1863" t="str">
            <v>RESERVA VILLA NATAL_COND VILLA DAS GOIABEIRAS</v>
          </cell>
          <cell r="D1863" t="str">
            <v>2B991EB7-5D64-E111-A73F-001F2909E810</v>
          </cell>
          <cell r="E1863">
            <v>400</v>
          </cell>
        </row>
        <row r="1864">
          <cell r="A1864" t="str">
            <v>JABOATÃO DOS GUARARAPES</v>
          </cell>
          <cell r="C1864" t="str">
            <v>RESERVA VILLA NATAL_COND VILLA DAS JAQUEIRAS</v>
          </cell>
          <cell r="D1864" t="str">
            <v>28D23EA2-C2C9-E111-B8E0-001F2909E810</v>
          </cell>
          <cell r="E1864">
            <v>264</v>
          </cell>
        </row>
        <row r="1865">
          <cell r="A1865" t="str">
            <v>JABOATÃO DOS GUARARAPES</v>
          </cell>
          <cell r="C1865" t="str">
            <v>RESERVA VILLA NATAL_COND VILLA DAS PALMEIRAS</v>
          </cell>
          <cell r="D1865" t="str">
            <v>E5601499-5D64-E111-A73F-001F2909E810</v>
          </cell>
          <cell r="E1865">
            <v>288</v>
          </cell>
        </row>
        <row r="1866">
          <cell r="A1866" t="str">
            <v>JABOATÃO DOS GUARARAPES</v>
          </cell>
          <cell r="C1866" t="str">
            <v>RESERVA VILLA NATAL_COND VILLA DAS PITANGUEIRAS</v>
          </cell>
          <cell r="D1866" t="str">
            <v>139D61ED-5D64-E111-A73F-001F2909E810</v>
          </cell>
          <cell r="E1866">
            <v>392</v>
          </cell>
        </row>
        <row r="1867">
          <cell r="A1867" t="str">
            <v>JABOATÃO DOS GUARARAPES</v>
          </cell>
          <cell r="C1867" t="str">
            <v>RESERVA VILLA NATAL_COND VILLA DAS PITOMBEIRAS</v>
          </cell>
          <cell r="D1867" t="str">
            <v>214812CF-5D64-E111-A73F-001F2909E810</v>
          </cell>
          <cell r="E1867">
            <v>312</v>
          </cell>
        </row>
        <row r="1868">
          <cell r="A1868" t="str">
            <v>JABOATÃO DOS GUARARAPES</v>
          </cell>
          <cell r="C1868" t="str">
            <v>RESERVA VILLA NATAL_COND VILLA DAS SERINGUEIRAS</v>
          </cell>
          <cell r="D1868" t="str">
            <v>1E6B2337-5E64-E111-A73F-001F2909E810</v>
          </cell>
          <cell r="E1868">
            <v>384</v>
          </cell>
        </row>
        <row r="1869">
          <cell r="A1869" t="str">
            <v>JABOATÃO DOS GUARARAPES</v>
          </cell>
          <cell r="C1869" t="str">
            <v>RESERVA VILLA NATAL_COND VILLA DOS CAJUEIROS</v>
          </cell>
          <cell r="D1869" t="str">
            <v>4B3057A4-5E64-E111-A73F-001F2909E810</v>
          </cell>
          <cell r="E1869">
            <v>384</v>
          </cell>
        </row>
        <row r="1870">
          <cell r="A1870" t="str">
            <v>RESENDE</v>
          </cell>
          <cell r="C1870" t="str">
            <v>RESID. RIVIERA SANTORINI</v>
          </cell>
          <cell r="D1870" t="str">
            <v>ACEA7A61-FC55-E311-8EFB-009C02B0CB58</v>
          </cell>
          <cell r="E1870">
            <v>260</v>
          </cell>
        </row>
        <row r="1871">
          <cell r="A1871" t="str">
            <v>CARIACICA</v>
          </cell>
          <cell r="C1871" t="str">
            <v>RESID. VILA QUARTZO</v>
          </cell>
          <cell r="D1871" t="str">
            <v>78AFBE27-AE15-EE11-AE6A-009C02B0CB58</v>
          </cell>
          <cell r="E1871">
            <v>0</v>
          </cell>
        </row>
        <row r="1872">
          <cell r="A1872" t="str">
            <v>BAURU</v>
          </cell>
          <cell r="C1872" t="str">
            <v>RESIDENCE BELLA VISTA</v>
          </cell>
          <cell r="D1872" t="str">
            <v>18481FC9-F0EA-DC11-A2F9-001B7845B4A6</v>
          </cell>
          <cell r="E1872">
            <v>120</v>
          </cell>
        </row>
        <row r="1873">
          <cell r="A1873" t="str">
            <v>RIBEIRÃO PRETO</v>
          </cell>
          <cell r="C1873" t="str">
            <v>RESIDENCE NOVA ALIANÇA</v>
          </cell>
          <cell r="D1873" t="str">
            <v>1D48478F-EDEA-DC11-A2F9-001B7845B4A6</v>
          </cell>
          <cell r="E1873">
            <v>80</v>
          </cell>
        </row>
        <row r="1874">
          <cell r="A1874" t="str">
            <v>LONDRINA</v>
          </cell>
          <cell r="C1874" t="str">
            <v>RESIDENCE VILLA BELLA</v>
          </cell>
          <cell r="D1874" t="str">
            <v>20BFAC61-72E1-DC11-ABD0-001B7845B4A6</v>
          </cell>
          <cell r="E1874">
            <v>352</v>
          </cell>
        </row>
        <row r="1875">
          <cell r="A1875" t="str">
            <v>JABOATÃO DOS GUARARAPES</v>
          </cell>
          <cell r="C1875" t="str">
            <v>RESIDENCE VILLE</v>
          </cell>
          <cell r="D1875" t="str">
            <v>601AB76A-E917-E411-8EFB-009C02B0CB58</v>
          </cell>
          <cell r="E1875">
            <v>404</v>
          </cell>
        </row>
        <row r="1876">
          <cell r="A1876" t="str">
            <v>RIO DAS OSTRAS</v>
          </cell>
          <cell r="C1876" t="str">
            <v>RESIDENCIAIS BRISAS DO MAR_PARQUE BRISA DA ENSEADA</v>
          </cell>
          <cell r="D1876" t="str">
            <v>432FE407-A8F5-E011-9F2B-001F2909E810</v>
          </cell>
          <cell r="E1876">
            <v>0</v>
          </cell>
        </row>
        <row r="1877">
          <cell r="A1877" t="str">
            <v>MACEIÓ</v>
          </cell>
          <cell r="C1877" t="str">
            <v>RESIDENCIAIS MAR DE ESPANHA_ BAIA DE CADIZ</v>
          </cell>
          <cell r="D1877" t="str">
            <v>1BE48E63-39C0-E511-B93A-80C16E075108</v>
          </cell>
          <cell r="E1877">
            <v>180</v>
          </cell>
        </row>
        <row r="1878">
          <cell r="A1878" t="str">
            <v>MACEIÓ</v>
          </cell>
          <cell r="C1878" t="str">
            <v>RESIDENCIAIS MAR DE ESPANHA_ BAIA DOURADA</v>
          </cell>
          <cell r="D1878" t="str">
            <v>5F7A1624-39C0-E511-B93A-80C16E075108</v>
          </cell>
          <cell r="E1878">
            <v>300</v>
          </cell>
        </row>
        <row r="1879">
          <cell r="A1879" t="str">
            <v>MACEIÓ</v>
          </cell>
          <cell r="C1879" t="str">
            <v>RESIDENCIAIS MAR DE ESPANHA_ COSTA DA LUZ</v>
          </cell>
          <cell r="D1879" t="str">
            <v>AE035429-99A2-E511-B93A-80C16E075108</v>
          </cell>
          <cell r="E1879">
            <v>300</v>
          </cell>
        </row>
        <row r="1880">
          <cell r="A1880" t="str">
            <v>RIO DE JANEIRO</v>
          </cell>
          <cell r="C1880" t="str">
            <v>RESIDENCIAL ACÁCIA</v>
          </cell>
          <cell r="D1880" t="str">
            <v>689C2EAB-F34B-EE11-9510-005056856875</v>
          </cell>
          <cell r="E1880">
            <v>0</v>
          </cell>
        </row>
        <row r="1881">
          <cell r="A1881" t="str">
            <v>BELO HORIZONTE</v>
          </cell>
          <cell r="C1881" t="str">
            <v>RESIDENCIAL AÇORES</v>
          </cell>
          <cell r="D1881" t="str">
            <v>266983A9-408A-DD11-8A4F-001B78B9D994</v>
          </cell>
          <cell r="E1881">
            <v>80</v>
          </cell>
        </row>
        <row r="1882">
          <cell r="A1882" t="str">
            <v>UBERABA</v>
          </cell>
          <cell r="C1882" t="str">
            <v>RESIDENCIAL ÁGUAS CRISTALINAS</v>
          </cell>
          <cell r="D1882" t="str">
            <v>281AABF4-1139-E811-8CE7-80C16E075108</v>
          </cell>
          <cell r="E1882">
            <v>440</v>
          </cell>
        </row>
        <row r="1883">
          <cell r="A1883" t="str">
            <v>BELO HORIZONTE</v>
          </cell>
          <cell r="C1883" t="str">
            <v>RESIDENCIAL ÁGUAS DA PRATA</v>
          </cell>
          <cell r="D1883" t="str">
            <v>12418DF3-A689-DD11-8A4F-001B78B9D994</v>
          </cell>
          <cell r="E1883">
            <v>132</v>
          </cell>
        </row>
        <row r="1884">
          <cell r="A1884" t="str">
            <v>FORTALEZA</v>
          </cell>
          <cell r="C1884" t="str">
            <v>RESIDENCIAL ALAMEDA DAS FLORES</v>
          </cell>
          <cell r="D1884" t="str">
            <v>B8A82B32-57F2-EC11-BA45-005056890018</v>
          </cell>
          <cell r="E1884">
            <v>0</v>
          </cell>
        </row>
        <row r="1885">
          <cell r="A1885" t="str">
            <v>FORTALEZA</v>
          </cell>
          <cell r="C1885" t="str">
            <v>RESIDENCIAL ALAMEDA DO SOL</v>
          </cell>
          <cell r="D1885" t="str">
            <v>C69C0E3C-06F7-EC11-BA45-005056890018</v>
          </cell>
          <cell r="E1885">
            <v>0</v>
          </cell>
        </row>
        <row r="1886">
          <cell r="A1886" t="str">
            <v>BELO HORIZONTE</v>
          </cell>
          <cell r="C1886" t="str">
            <v>RESIDENCIAL ALASCA</v>
          </cell>
          <cell r="D1886" t="str">
            <v>4DAB5100-448A-DD11-8A4F-001B78B9D994</v>
          </cell>
          <cell r="E1886">
            <v>14</v>
          </cell>
        </row>
        <row r="1887">
          <cell r="A1887" t="str">
            <v>BELO HORIZONTE</v>
          </cell>
          <cell r="C1887" t="str">
            <v>RESIDENCIAL ALCOBAÇA</v>
          </cell>
          <cell r="D1887" t="str">
            <v>AEFD86B7-023D-DF11-9F9A-001F2909E810</v>
          </cell>
          <cell r="E1887">
            <v>0</v>
          </cell>
        </row>
        <row r="1888">
          <cell r="A1888" t="str">
            <v>PAULISTA</v>
          </cell>
          <cell r="C1888" t="str">
            <v>RESIDENCIAL ALGARVE</v>
          </cell>
          <cell r="D1888" t="str">
            <v>A7717D42-1579-E711-91B2-80C16E075108</v>
          </cell>
          <cell r="E1888">
            <v>480</v>
          </cell>
        </row>
        <row r="1889">
          <cell r="A1889" t="str">
            <v>UBERABA</v>
          </cell>
          <cell r="C1889" t="str">
            <v>RESIDENCIAL ALICE</v>
          </cell>
          <cell r="D1889" t="str">
            <v>2E083420-8917-E611-A62F-80C16E075108</v>
          </cell>
          <cell r="E1889">
            <v>0</v>
          </cell>
        </row>
        <row r="1890">
          <cell r="A1890" t="str">
            <v>AMERICANA</v>
          </cell>
          <cell r="C1890" t="str">
            <v>RESIDENCIAL ALINE</v>
          </cell>
          <cell r="D1890" t="str">
            <v>4E6C470E-478A-DD11-8A4F-001B78B9D994</v>
          </cell>
          <cell r="E1890">
            <v>0</v>
          </cell>
        </row>
        <row r="1891">
          <cell r="A1891" t="str">
            <v>SANTA BÁRBARA D'OESTE</v>
          </cell>
          <cell r="C1891" t="str">
            <v>RESIDENCIAL ALLEGRA</v>
          </cell>
          <cell r="D1891" t="str">
            <v>23B4C95A-2AD4-E711-B989-80C16E075108</v>
          </cell>
          <cell r="E1891">
            <v>240</v>
          </cell>
        </row>
        <row r="1892">
          <cell r="A1892" t="str">
            <v>SÃO PAULO</v>
          </cell>
          <cell r="C1892" t="str">
            <v>RESIDENCIAL ALTO DO CARMO</v>
          </cell>
          <cell r="D1892" t="str">
            <v>5B2F0FBB-EEA3-ED11-879A-80C16E075108</v>
          </cell>
          <cell r="E1892">
            <v>0</v>
          </cell>
        </row>
        <row r="1893">
          <cell r="A1893" t="str">
            <v>SALVADOR</v>
          </cell>
          <cell r="C1893" t="str">
            <v>RESIDENCIAL ALTOS DO PIRAJÁ</v>
          </cell>
          <cell r="D1893" t="str">
            <v>5445E7FF-6B22-EF11-9E4D-009C02B0CB58</v>
          </cell>
          <cell r="E1893">
            <v>0</v>
          </cell>
        </row>
        <row r="1894">
          <cell r="A1894" t="str">
            <v>ARARAQUARA</v>
          </cell>
          <cell r="C1894" t="str">
            <v>RESIDENCIAL AMARILLO</v>
          </cell>
          <cell r="D1894" t="str">
            <v>ACABDDE7-41B0-E811-944C-009C02B0CB58</v>
          </cell>
          <cell r="E1894">
            <v>192</v>
          </cell>
        </row>
        <row r="1895">
          <cell r="A1895" t="str">
            <v>RIO DE JANEIRO</v>
          </cell>
          <cell r="C1895" t="str">
            <v>RESIDENCIAL AMARO</v>
          </cell>
          <cell r="D1895" t="str">
            <v>C1848E2D-AD5A-E811-8D3F-80C16E075108</v>
          </cell>
          <cell r="E1895">
            <v>444</v>
          </cell>
        </row>
        <row r="1896">
          <cell r="A1896" t="str">
            <v>SANTA BÁRBARA D'OESTE</v>
          </cell>
          <cell r="C1896" t="str">
            <v>RESIDENCIAL AMBRÓSIO</v>
          </cell>
          <cell r="D1896" t="str">
            <v>E60D30C6-B92E-E911-8C00-80C16E075108</v>
          </cell>
          <cell r="E1896">
            <v>200</v>
          </cell>
        </row>
        <row r="1897">
          <cell r="A1897" t="str">
            <v>SÃO PAULO</v>
          </cell>
          <cell r="C1897" t="str">
            <v>RESIDENCIAL AMIZADE</v>
          </cell>
          <cell r="D1897" t="str">
            <v>46E5EE1D-8876-E911-B1CD-009C02B0CB58</v>
          </cell>
          <cell r="E1897">
            <v>650</v>
          </cell>
        </row>
        <row r="1898">
          <cell r="A1898" t="str">
            <v>BELO HORIZONTE</v>
          </cell>
          <cell r="C1898" t="str">
            <v>RESIDENCIAL AMSTERDÃ</v>
          </cell>
          <cell r="D1898" t="str">
            <v>D0758FCD-458A-DD11-8A4F-001B78B9D994</v>
          </cell>
          <cell r="E1898">
            <v>92</v>
          </cell>
        </row>
        <row r="1899">
          <cell r="A1899" t="str">
            <v>SANTA BÁRBARA D'OESTE</v>
          </cell>
          <cell r="C1899" t="str">
            <v>RESIDENCIAL ANGELLIS</v>
          </cell>
          <cell r="D1899" t="str">
            <v>3248865F-B92E-E911-8C00-80C16E075108</v>
          </cell>
          <cell r="E1899">
            <v>200</v>
          </cell>
        </row>
        <row r="1900">
          <cell r="A1900" t="str">
            <v>ARARAQUARA</v>
          </cell>
          <cell r="C1900" t="str">
            <v>RESIDENCIAL ANTARES</v>
          </cell>
          <cell r="D1900" t="str">
            <v>225F765E-2397-E811-8D3F-80C16E075108</v>
          </cell>
          <cell r="E1900">
            <v>192</v>
          </cell>
        </row>
        <row r="1901">
          <cell r="A1901" t="str">
            <v>ARARAQUARA</v>
          </cell>
          <cell r="C1901" t="str">
            <v>RESIDENCIAL ÁQUILA</v>
          </cell>
          <cell r="D1901" t="str">
            <v>5BDA1D82-9ED0-E811-944D-009C02B0CB58</v>
          </cell>
          <cell r="E1901">
            <v>260</v>
          </cell>
        </row>
        <row r="1902">
          <cell r="A1902" t="str">
            <v>ARAÇATUBA</v>
          </cell>
          <cell r="C1902" t="str">
            <v>RESIDENCIAL ARGUS</v>
          </cell>
          <cell r="D1902" t="str">
            <v>38E872DB-4656-E911-90BB-80C16E075108</v>
          </cell>
          <cell r="E1902">
            <v>100</v>
          </cell>
        </row>
        <row r="1903">
          <cell r="A1903" t="str">
            <v>ARARAS</v>
          </cell>
          <cell r="C1903" t="str">
            <v>RESIDENCIAL ARITÁ</v>
          </cell>
          <cell r="D1903" t="str">
            <v>64F88B3A-D80C-E811-A541-009C02B0CB58</v>
          </cell>
          <cell r="E1903">
            <v>224</v>
          </cell>
        </row>
        <row r="1904">
          <cell r="A1904" t="str">
            <v>ARAÇATUBA</v>
          </cell>
          <cell r="C1904" t="str">
            <v>RESIDENCIAL ARMANI</v>
          </cell>
          <cell r="D1904" t="str">
            <v>224FDB4C-4F56-E911-90BB-80C16E075108</v>
          </cell>
          <cell r="E1904">
            <v>116</v>
          </cell>
        </row>
        <row r="1905">
          <cell r="A1905" t="str">
            <v>RIO DE JANEIRO</v>
          </cell>
          <cell r="C1905" t="str">
            <v>RESIDENCIAL AROEIRA</v>
          </cell>
          <cell r="D1905" t="str">
            <v>FFB7224C-6072-E911-B1CD-009C02B0CB58</v>
          </cell>
          <cell r="E1905">
            <v>360</v>
          </cell>
        </row>
        <row r="1906">
          <cell r="A1906" t="str">
            <v>RIO DE JANEIRO</v>
          </cell>
          <cell r="C1906" t="str">
            <v>RESIDENCIAL ASPEN</v>
          </cell>
          <cell r="D1906" t="str">
            <v>85CE72FD-3610-E511-A3A7-80C16E075108</v>
          </cell>
          <cell r="E1906">
            <v>400</v>
          </cell>
        </row>
        <row r="1907">
          <cell r="A1907" t="str">
            <v>ARARAQUARA</v>
          </cell>
          <cell r="C1907" t="str">
            <v>RESIDENCIAL ÁSTER</v>
          </cell>
          <cell r="D1907" t="str">
            <v>3CCB9323-7B78-E711-BF37-005056856B6C</v>
          </cell>
          <cell r="E1907">
            <v>256</v>
          </cell>
        </row>
        <row r="1908">
          <cell r="A1908" t="str">
            <v>ARARAQUARA</v>
          </cell>
          <cell r="C1908" t="str">
            <v>RESIDENCIAL ASTÚRIAS</v>
          </cell>
          <cell r="D1908" t="str">
            <v>083852E2-2217-EC11-B501-005056856B6C</v>
          </cell>
          <cell r="E1908">
            <v>320</v>
          </cell>
        </row>
        <row r="1909">
          <cell r="A1909" t="str">
            <v>ARARAQUARA</v>
          </cell>
          <cell r="C1909" t="str">
            <v>RESIDENCIAL ATALAIA</v>
          </cell>
          <cell r="D1909" t="str">
            <v>FA0363F8-3826-E811-BCAC-80C16E075108</v>
          </cell>
          <cell r="E1909">
            <v>112</v>
          </cell>
        </row>
        <row r="1910">
          <cell r="A1910" t="str">
            <v>SÃO PAULO</v>
          </cell>
          <cell r="C1910" t="str">
            <v>RESIDENCIAL AZALEIA</v>
          </cell>
          <cell r="D1910" t="str">
            <v>0DA83E2B-81CD-ED11-9510-005056856875</v>
          </cell>
          <cell r="E1910">
            <v>0</v>
          </cell>
        </row>
        <row r="1911">
          <cell r="A1911" t="str">
            <v>PALHOÇA</v>
          </cell>
          <cell r="C1911" t="str">
            <v>RESIDENCIAL AZALÉIAS</v>
          </cell>
          <cell r="D1911" t="str">
            <v>EEFC5482-8C21-E411-8EFB-009C02B0CB58</v>
          </cell>
          <cell r="E1911">
            <v>500</v>
          </cell>
        </row>
        <row r="1912">
          <cell r="A1912" t="str">
            <v>BLUMENAU</v>
          </cell>
          <cell r="C1912" t="str">
            <v>RESIDENCIAL BACH</v>
          </cell>
          <cell r="D1912" t="str">
            <v>558B4019-61D9-ED11-9510-005056856875</v>
          </cell>
          <cell r="E1912">
            <v>0</v>
          </cell>
        </row>
        <row r="1913">
          <cell r="A1913" t="str">
            <v>BLUMENAU</v>
          </cell>
          <cell r="C1913" t="str">
            <v>RESIDENCIAL BADEN</v>
          </cell>
          <cell r="D1913" t="str">
            <v>E8ED0BA1-8C67-E911-90BB-80C16E075108</v>
          </cell>
          <cell r="E1913">
            <v>192</v>
          </cell>
        </row>
        <row r="1914">
          <cell r="A1914" t="str">
            <v>BELO HORIZONTE</v>
          </cell>
          <cell r="C1914" t="str">
            <v>RESIDENCIAL BAHAMAS</v>
          </cell>
          <cell r="D1914" t="str">
            <v>FB42FAD1-4C8A-DD11-8A4F-001B78B9D994</v>
          </cell>
          <cell r="E1914">
            <v>70</v>
          </cell>
        </row>
        <row r="1915">
          <cell r="A1915" t="str">
            <v>CAMPINAS</v>
          </cell>
          <cell r="C1915" t="str">
            <v>RESIDENCIAL BARBARA</v>
          </cell>
          <cell r="D1915" t="str">
            <v>84A50932-D2E3-DD11-BD2B-001B78B9D994</v>
          </cell>
          <cell r="E1915">
            <v>0</v>
          </cell>
        </row>
        <row r="1916">
          <cell r="A1916" t="str">
            <v>BELO HORIZONTE</v>
          </cell>
          <cell r="C1916" t="str">
            <v>RESIDENCIAL BARCELLOS</v>
          </cell>
          <cell r="D1916" t="str">
            <v>53713AE3-C2E7-DC11-ABD0-001B7845B4A6</v>
          </cell>
          <cell r="E1916">
            <v>106</v>
          </cell>
        </row>
        <row r="1917">
          <cell r="A1917" t="str">
            <v>BAURU</v>
          </cell>
          <cell r="C1917" t="str">
            <v>RESIDENCIAL BARCHI</v>
          </cell>
          <cell r="D1917" t="str">
            <v>2CF90708-7EF1-E811-B773-80C16E075108</v>
          </cell>
          <cell r="E1917">
            <v>140</v>
          </cell>
        </row>
        <row r="1918">
          <cell r="A1918" t="str">
            <v>BLUMENAU</v>
          </cell>
          <cell r="C1918" t="str">
            <v>RESIDENCIAL BAUMGARTEN</v>
          </cell>
          <cell r="D1918" t="str">
            <v>9D840729-F8A6-ED11-9E0C-00505685534B</v>
          </cell>
          <cell r="E1918">
            <v>0</v>
          </cell>
        </row>
        <row r="1919">
          <cell r="A1919" t="str">
            <v>BELO HORIZONTE</v>
          </cell>
          <cell r="C1919" t="str">
            <v>RESIDENCIAL BAVIERA</v>
          </cell>
          <cell r="D1919" t="str">
            <v>E51637E8-E03F-E211-BF28-009C02B0CB58</v>
          </cell>
          <cell r="E1919">
            <v>0</v>
          </cell>
        </row>
        <row r="1920">
          <cell r="A1920" t="str">
            <v>BLUMENAU</v>
          </cell>
          <cell r="C1920" t="str">
            <v>RESIDENCIAL BELA VISTA</v>
          </cell>
          <cell r="D1920" t="str">
            <v>46AA834B-2A55-E811-8D3F-80C16E075108</v>
          </cell>
          <cell r="E1920">
            <v>240</v>
          </cell>
        </row>
        <row r="1921">
          <cell r="A1921" t="str">
            <v>BELO HORIZONTE</v>
          </cell>
          <cell r="C1921" t="str">
            <v>RESIDENCIAL BELAS ILHAS</v>
          </cell>
          <cell r="D1921" t="str">
            <v>15C1C7BF-A2EB-DC11-A2F9-001B7845B4A6</v>
          </cell>
          <cell r="E1921">
            <v>96</v>
          </cell>
        </row>
        <row r="1922">
          <cell r="A1922" t="str">
            <v>BOTUCATU</v>
          </cell>
          <cell r="C1922" t="str">
            <v>RESIDENCIAL BELLA ÁUSTRIA</v>
          </cell>
          <cell r="D1922" t="str">
            <v>4EAB49E0-F796-E711-8E92-009C02B0CB58</v>
          </cell>
          <cell r="E1922">
            <v>192</v>
          </cell>
        </row>
        <row r="1923">
          <cell r="A1923" t="str">
            <v>BOTUCATU</v>
          </cell>
          <cell r="C1923" t="str">
            <v>RESIDENCIAL BELLA ITÁLIA</v>
          </cell>
          <cell r="D1923" t="str">
            <v>A7870B7D-5B41-E711-8CD7-009C02B0CB58</v>
          </cell>
          <cell r="E1923">
            <v>200</v>
          </cell>
        </row>
        <row r="1924">
          <cell r="A1924" t="str">
            <v>BOTUCATU</v>
          </cell>
          <cell r="C1924" t="str">
            <v>RESIDENCIAL BELLA TURQUIA</v>
          </cell>
          <cell r="D1924" t="str">
            <v>E88BC78C-5058-E811-8D3F-80C16E075108</v>
          </cell>
          <cell r="E1924">
            <v>180</v>
          </cell>
        </row>
        <row r="1925">
          <cell r="A1925" t="str">
            <v>BELO HORIZONTE</v>
          </cell>
          <cell r="C1925" t="str">
            <v>RESIDENCIAL BELMONTE</v>
          </cell>
          <cell r="D1925" t="str">
            <v>E1586E62-C5DB-DC11-ABCF-001B7845B4A6</v>
          </cell>
          <cell r="E1925">
            <v>150</v>
          </cell>
        </row>
        <row r="1926">
          <cell r="A1926" t="str">
            <v>RIBEIRÃO PRETO</v>
          </cell>
          <cell r="C1926" t="str">
            <v>RESIDENCIAL BELVEDER TOWERS</v>
          </cell>
          <cell r="D1926" t="str">
            <v>27115BAC-933B-E911-810A-80C16E075108</v>
          </cell>
          <cell r="E1926">
            <v>192</v>
          </cell>
        </row>
        <row r="1927">
          <cell r="A1927" t="str">
            <v>RIO DE JANEIRO</v>
          </cell>
          <cell r="C1927" t="str">
            <v>RESIDENCIAL BERLIM</v>
          </cell>
          <cell r="D1927" t="str">
            <v>7751ABBD-3610-E511-A3A7-80C16E075108</v>
          </cell>
          <cell r="E1927">
            <v>480</v>
          </cell>
        </row>
        <row r="1928">
          <cell r="A1928" t="str">
            <v>BELO HORIZONTE</v>
          </cell>
          <cell r="C1928" t="str">
            <v>RESIDENCIAL BILBAO</v>
          </cell>
          <cell r="D1928" t="str">
            <v>AC3B4011-704E-E611-A62F-80C16E075108</v>
          </cell>
          <cell r="E1928">
            <v>0</v>
          </cell>
        </row>
        <row r="1929">
          <cell r="A1929" t="str">
            <v>GOIÂNIA</v>
          </cell>
          <cell r="C1929" t="str">
            <v>RESIDENCIAL BITTENCOURT</v>
          </cell>
          <cell r="D1929" t="str">
            <v>176727AD-6568-E911-B8F1-009C02B0CB58</v>
          </cell>
          <cell r="E1929">
            <v>260</v>
          </cell>
        </row>
        <row r="1930">
          <cell r="A1930" t="str">
            <v>BLUMENAU</v>
          </cell>
          <cell r="C1930" t="str">
            <v>RESIDENCIAL BLUMEN</v>
          </cell>
          <cell r="D1930" t="str">
            <v>9E3C8180-E718-ED11-B1AD-005056856875</v>
          </cell>
          <cell r="E1930">
            <v>0</v>
          </cell>
        </row>
        <row r="1931">
          <cell r="A1931" t="str">
            <v>FORTALEZA</v>
          </cell>
          <cell r="C1931" t="str">
            <v>RESIDENCIAL BOA VENTURA</v>
          </cell>
          <cell r="D1931" t="str">
            <v>DC0DC0C4-2F10-EE11-9510-005056856875</v>
          </cell>
          <cell r="E1931">
            <v>0</v>
          </cell>
        </row>
        <row r="1932">
          <cell r="A1932" t="str">
            <v>BAURU</v>
          </cell>
          <cell r="C1932" t="str">
            <v>RESIDENCIAL BOLÍVAR</v>
          </cell>
          <cell r="D1932" t="str">
            <v>34EFC6B2-CCBD-E811-944D-009C02B0CB58</v>
          </cell>
          <cell r="E1932">
            <v>180</v>
          </cell>
        </row>
        <row r="1933">
          <cell r="A1933" t="str">
            <v>CONTAGEM</v>
          </cell>
          <cell r="C1933" t="str">
            <v>RESIDENCIAL BOSQUE DAS ÁGUAS</v>
          </cell>
          <cell r="D1933" t="str">
            <v>95B91EE8-9463-E411-9DC0-80C16E075108</v>
          </cell>
          <cell r="E1933">
            <v>208</v>
          </cell>
        </row>
        <row r="1934">
          <cell r="A1934" t="str">
            <v>CONTAGEM</v>
          </cell>
          <cell r="C1934" t="str">
            <v>RESIDENCIAL BOSQUE DAS MARGARIDAS</v>
          </cell>
          <cell r="D1934" t="str">
            <v>5ED93755-CB2A-E311-BEFC-80C16E075108</v>
          </cell>
          <cell r="E1934">
            <v>128</v>
          </cell>
        </row>
        <row r="1935">
          <cell r="A1935" t="str">
            <v>BELO HORIZONTE</v>
          </cell>
          <cell r="C1935" t="str">
            <v>RESIDENCIAL BRAGANÇA</v>
          </cell>
          <cell r="D1935" t="str">
            <v>81836237-E804-DF11-89FA-001F2909E810</v>
          </cell>
          <cell r="E1935">
            <v>68</v>
          </cell>
        </row>
        <row r="1936">
          <cell r="A1936" t="str">
            <v>BAURU</v>
          </cell>
          <cell r="C1936" t="str">
            <v>RESIDENCIAL BRANZI</v>
          </cell>
          <cell r="D1936" t="str">
            <v>F9EF85E1-59B5-E611-ABB6-80C16E075108</v>
          </cell>
          <cell r="E1936">
            <v>100</v>
          </cell>
        </row>
        <row r="1937">
          <cell r="A1937" t="str">
            <v>RIO DE JANEIRO</v>
          </cell>
          <cell r="C1937" t="str">
            <v>RESIDENCIAL BROMÉLIAS</v>
          </cell>
          <cell r="D1937" t="str">
            <v>4B674B8D-F04B-EE11-9510-005056856875</v>
          </cell>
          <cell r="E1937">
            <v>0</v>
          </cell>
        </row>
        <row r="1938">
          <cell r="A1938" t="str">
            <v>CAMPINAS</v>
          </cell>
          <cell r="C1938" t="str">
            <v>RESIDENCIAL BRUNA</v>
          </cell>
          <cell r="D1938" t="str">
            <v>2561AD94-6AC2-DF11-B20E-001F2909E810</v>
          </cell>
          <cell r="E1938">
            <v>8</v>
          </cell>
        </row>
        <row r="1939">
          <cell r="A1939" t="str">
            <v>BOTUCATU</v>
          </cell>
          <cell r="C1939" t="str">
            <v>RESIDENCIAL BRUNELLO</v>
          </cell>
          <cell r="D1939" t="str">
            <v>7F1CBA6C-0437-E711-B3B8-009C02B0CB58</v>
          </cell>
          <cell r="E1939">
            <v>320</v>
          </cell>
        </row>
        <row r="1940">
          <cell r="A1940" t="str">
            <v>BLUMENAU</v>
          </cell>
          <cell r="C1940" t="str">
            <v>RESIDENCIAL BRUNNEN</v>
          </cell>
          <cell r="D1940" t="str">
            <v>4BA004DC-F231-E811-8CE7-80C16E075108</v>
          </cell>
          <cell r="E1940">
            <v>288</v>
          </cell>
        </row>
        <row r="1941">
          <cell r="A1941" t="str">
            <v>BELO HORIZONTE</v>
          </cell>
          <cell r="C1941" t="str">
            <v>RESIDENCIAL BRUXELAS</v>
          </cell>
          <cell r="D1941" t="str">
            <v>0C9F87C1-D714-DF11-83FF-001F2909E810</v>
          </cell>
          <cell r="E1941">
            <v>120</v>
          </cell>
        </row>
        <row r="1942">
          <cell r="A1942" t="str">
            <v>BOTUCATU</v>
          </cell>
          <cell r="C1942" t="str">
            <v>RESIDENCIAL BULGÁRIA</v>
          </cell>
          <cell r="D1942" t="str">
            <v>CC82CE35-0537-E711-B3B8-009C02B0CB58</v>
          </cell>
          <cell r="E1942">
            <v>200</v>
          </cell>
        </row>
        <row r="1943">
          <cell r="A1943" t="str">
            <v>BELO HORIZONTE</v>
          </cell>
          <cell r="C1943" t="str">
            <v>RESIDENCIAL CABO FRIO</v>
          </cell>
          <cell r="D1943" t="str">
            <v>9BF58CE5-3F86-E611-ABB6-80C16E075108</v>
          </cell>
          <cell r="E1943">
            <v>0</v>
          </cell>
        </row>
        <row r="1944">
          <cell r="A1944" t="str">
            <v>SALVADOR</v>
          </cell>
          <cell r="C1944" t="str">
            <v>RESIDENCIAL CAJAZEIRAS</v>
          </cell>
          <cell r="D1944" t="str">
            <v>03698438-4C39-EF11-9143-80C16E075108</v>
          </cell>
          <cell r="E1944">
            <v>0</v>
          </cell>
        </row>
        <row r="1945">
          <cell r="A1945" t="str">
            <v>CAUCAIA</v>
          </cell>
          <cell r="C1945" t="str">
            <v>RESIDENCIAL CAJUEIRO</v>
          </cell>
          <cell r="D1945" t="str">
            <v>8EB1BBAF-EF81-EF11-B65C-009C02B0CB58</v>
          </cell>
          <cell r="E1945">
            <v>0</v>
          </cell>
        </row>
        <row r="1946">
          <cell r="A1946" t="str">
            <v>BELO HORIZONTE</v>
          </cell>
          <cell r="C1946" t="str">
            <v>RESIDENCIAL CALIFORNIA</v>
          </cell>
          <cell r="D1946" t="str">
            <v>655D3947-FF3C-DF11-9F9A-001F2909E810</v>
          </cell>
          <cell r="E1946">
            <v>64</v>
          </cell>
        </row>
        <row r="1947">
          <cell r="A1947" t="str">
            <v>RIO DE JANEIRO</v>
          </cell>
          <cell r="C1947" t="str">
            <v>RESIDENCIAL CAMBOATÁ</v>
          </cell>
          <cell r="D1947" t="str">
            <v>502ECF3F-F34B-EE11-9510-005056856875</v>
          </cell>
          <cell r="E1947">
            <v>0</v>
          </cell>
        </row>
        <row r="1948">
          <cell r="A1948" t="str">
            <v>BELO HORIZONTE</v>
          </cell>
          <cell r="C1948" t="str">
            <v>RESIDENCIAL CAMBORIU</v>
          </cell>
          <cell r="D1948" t="str">
            <v>8A6D2C6B-9FAD-E211-8F8C-009C02B0CB58</v>
          </cell>
          <cell r="E1948">
            <v>0</v>
          </cell>
        </row>
        <row r="1949">
          <cell r="A1949" t="str">
            <v>BELO HORIZONTE</v>
          </cell>
          <cell r="C1949" t="str">
            <v>RESIDENCIAL CAMBRIDGE</v>
          </cell>
          <cell r="D1949" t="str">
            <v>54FCE08C-F600-E211-9E30-001F2909E810</v>
          </cell>
          <cell r="E1949">
            <v>52</v>
          </cell>
        </row>
        <row r="1950">
          <cell r="A1950" t="str">
            <v>CAMPINAS</v>
          </cell>
          <cell r="C1950" t="str">
            <v>RESIDENCIAL CAMIM</v>
          </cell>
          <cell r="D1950" t="str">
            <v>10F74BE5-8BDE-EB11-930A-0050568AA20F</v>
          </cell>
          <cell r="E1950">
            <v>0</v>
          </cell>
        </row>
        <row r="1951">
          <cell r="A1951" t="str">
            <v>SÃO JOSÉ DOS CAMPOS</v>
          </cell>
          <cell r="C1951" t="str">
            <v>RESIDENCIAL CAMINHO DAS AMOREIRAS</v>
          </cell>
          <cell r="D1951" t="str">
            <v>22B73244-AD6A-E911-90BB-80C16E075108</v>
          </cell>
          <cell r="E1951">
            <v>288</v>
          </cell>
        </row>
        <row r="1952">
          <cell r="A1952" t="str">
            <v>SÃO JOSÉ DOS CAMPOS</v>
          </cell>
          <cell r="C1952" t="str">
            <v>RESIDENCIAL CAMINHO DOS ALECRINS</v>
          </cell>
          <cell r="D1952" t="str">
            <v>026641C3-AF6A-E911-90BB-80C16E075108</v>
          </cell>
          <cell r="E1952">
            <v>288</v>
          </cell>
        </row>
        <row r="1953">
          <cell r="A1953" t="str">
            <v>SÃO JOSÉ DOS CAMPOS</v>
          </cell>
          <cell r="C1953" t="str">
            <v>RESIDENCIAL CAMPO DA MATA</v>
          </cell>
          <cell r="D1953" t="str">
            <v>1ADF9A90-F4CD-E711-B989-80C16E075108</v>
          </cell>
          <cell r="E1953">
            <v>288</v>
          </cell>
        </row>
        <row r="1954">
          <cell r="A1954" t="str">
            <v>SÃO JOSÉ DOS CAMPOS</v>
          </cell>
          <cell r="C1954" t="str">
            <v>RESIDENCIAL CAMPO DAS FLORES</v>
          </cell>
          <cell r="D1954" t="str">
            <v>E3C78301-EDCD-E711-B989-80C16E075108</v>
          </cell>
          <cell r="E1954">
            <v>288</v>
          </cell>
        </row>
        <row r="1955">
          <cell r="A1955" t="str">
            <v>SÃO JOSÉ DOS CAMPOS</v>
          </cell>
          <cell r="C1955" t="str">
            <v>RESIDENCIAL CAMPO DAS OLIVEIRAS</v>
          </cell>
          <cell r="D1955" t="str">
            <v>45F319B5-4A8A-DD11-8A4F-001B78B9D994</v>
          </cell>
          <cell r="E1955">
            <v>18</v>
          </cell>
        </row>
        <row r="1956">
          <cell r="A1956" t="str">
            <v>SÃO JOSÉ DOS CAMPOS</v>
          </cell>
          <cell r="C1956" t="str">
            <v>RESIDENCIAL CAMPO DAS TULIPAS</v>
          </cell>
          <cell r="D1956" t="str">
            <v>648E31F8-DCCD-E711-B989-80C16E075108</v>
          </cell>
          <cell r="E1956">
            <v>288</v>
          </cell>
        </row>
        <row r="1957">
          <cell r="A1957" t="str">
            <v>SÃO JOSÉ DOS CAMPOS</v>
          </cell>
          <cell r="C1957" t="str">
            <v>RESIDENCIAL CAMPO DAS TURQUESAS</v>
          </cell>
          <cell r="D1957" t="str">
            <v>25C3792D-8322-EF11-9E4D-009C02B0CB58</v>
          </cell>
          <cell r="E1957">
            <v>0</v>
          </cell>
        </row>
        <row r="1958">
          <cell r="A1958" t="str">
            <v>SÃO JOSÉ DOS CAMPOS</v>
          </cell>
          <cell r="C1958" t="str">
            <v>RESIDENCIAL CAMPO DE VENEZA</v>
          </cell>
          <cell r="D1958" t="str">
            <v>34D5F517-7022-EF11-9E4D-009C02B0CB58</v>
          </cell>
          <cell r="E1958">
            <v>0</v>
          </cell>
        </row>
        <row r="1959">
          <cell r="A1959" t="str">
            <v>SÃO JOSÉ DOS CAMPOS</v>
          </cell>
          <cell r="C1959" t="str">
            <v>RESIDENCIAL CAMPO DI FLORENÇA</v>
          </cell>
          <cell r="D1959" t="str">
            <v>995E138A-AD77-E711-91B2-80C16E075108</v>
          </cell>
          <cell r="E1959">
            <v>160</v>
          </cell>
        </row>
        <row r="1960">
          <cell r="A1960" t="str">
            <v>SÃO JOSÉ DOS CAMPOS</v>
          </cell>
          <cell r="C1960" t="str">
            <v>RESIDENCIAL CAMPO DI FORTINI</v>
          </cell>
          <cell r="D1960" t="str">
            <v>BF0EC21C-9161-EB11-AA45-005056856875</v>
          </cell>
          <cell r="E1960">
            <v>272</v>
          </cell>
        </row>
        <row r="1961">
          <cell r="A1961" t="str">
            <v>SÃO JOSÉ DOS CAMPOS</v>
          </cell>
          <cell r="C1961" t="str">
            <v>RESIDENCIAL CAMPO DI NÁPOLI</v>
          </cell>
          <cell r="D1961" t="str">
            <v>3CD8231D-52E3-E811-B773-80C16E075108</v>
          </cell>
          <cell r="E1961">
            <v>256</v>
          </cell>
        </row>
        <row r="1962">
          <cell r="A1962" t="str">
            <v>SÃO JOSÉ DOS CAMPOS</v>
          </cell>
          <cell r="C1962" t="str">
            <v>RESIDENCIAL CAMPO DI ROMA</v>
          </cell>
          <cell r="D1962" t="str">
            <v>4E02024A-51E3-E811-B773-80C16E075108</v>
          </cell>
          <cell r="E1962">
            <v>192</v>
          </cell>
        </row>
        <row r="1963">
          <cell r="A1963" t="str">
            <v>SÃO JOSÉ DOS CAMPOS</v>
          </cell>
          <cell r="C1963" t="str">
            <v>RESIDENCIAL CAMPOS ALTOS</v>
          </cell>
          <cell r="D1963" t="str">
            <v>487110BF-9D70-E211-8F8C-009C02B0CB58</v>
          </cell>
          <cell r="E1963">
            <v>0</v>
          </cell>
        </row>
        <row r="1964">
          <cell r="A1964" t="str">
            <v>BELO HORIZONTE</v>
          </cell>
          <cell r="C1964" t="str">
            <v>RESIDENCIAL CAMPOS ELÍSEOS</v>
          </cell>
          <cell r="D1964" t="str">
            <v>B94284DF-1ADD-DF11-B242-001F2909E810</v>
          </cell>
          <cell r="E1964">
            <v>6</v>
          </cell>
        </row>
        <row r="1965">
          <cell r="A1965" t="str">
            <v>CURITIBA</v>
          </cell>
          <cell r="C1965" t="str">
            <v>RESIDENCIAL CANELLI</v>
          </cell>
          <cell r="D1965" t="str">
            <v>968BCE3C-8666-E911-90BB-80C16E075108</v>
          </cell>
          <cell r="E1965">
            <v>175</v>
          </cell>
        </row>
        <row r="1966">
          <cell r="A1966" t="str">
            <v>ARAUCÁRIA</v>
          </cell>
          <cell r="C1966" t="str">
            <v>RESIDENCIAL CANTO DO UIRAPURU</v>
          </cell>
          <cell r="D1966" t="str">
            <v>544A2135-A885-EA11-B686-005056856875</v>
          </cell>
          <cell r="E1966">
            <v>160</v>
          </cell>
        </row>
        <row r="1967">
          <cell r="A1967" t="str">
            <v>RIBEIRÃO PRETO</v>
          </cell>
          <cell r="C1967" t="str">
            <v>RESIDENCIAL CANTO DOS SABIÁS</v>
          </cell>
          <cell r="D1967" t="str">
            <v>F4615A04-857B-EB11-8864-0050568AA20F</v>
          </cell>
          <cell r="E1967">
            <v>0</v>
          </cell>
        </row>
        <row r="1968">
          <cell r="A1968" t="str">
            <v>ARAUCÁRIA</v>
          </cell>
          <cell r="C1968" t="str">
            <v>RESIDENCIAL CARDINALI</v>
          </cell>
          <cell r="D1968" t="str">
            <v>F66E971F-456B-E811-8D3F-80C16E075108</v>
          </cell>
          <cell r="E1968">
            <v>96</v>
          </cell>
        </row>
        <row r="1969">
          <cell r="A1969" t="str">
            <v>CURITIBA</v>
          </cell>
          <cell r="C1969" t="str">
            <v>RESIDENCIAL CARDUCCI</v>
          </cell>
          <cell r="D1969" t="str">
            <v>E5788F31-D31A-E711-AC8C-80C16E075108</v>
          </cell>
          <cell r="E1969">
            <v>208</v>
          </cell>
        </row>
        <row r="1970">
          <cell r="A1970" t="str">
            <v>CAMPINAS</v>
          </cell>
          <cell r="C1970" t="str">
            <v>RESIDENCIAL CARINA</v>
          </cell>
          <cell r="D1970" t="str">
            <v>670B89D5-468A-DD11-8A4F-001B78B9D994</v>
          </cell>
          <cell r="E1970">
            <v>100</v>
          </cell>
        </row>
        <row r="1971">
          <cell r="A1971" t="str">
            <v>ARAUCÁRIA</v>
          </cell>
          <cell r="C1971" t="str">
            <v>RESIDENCIAL CARMELO</v>
          </cell>
          <cell r="D1971" t="str">
            <v>1AB85D9E-392E-E911-8C00-80C16E075108</v>
          </cell>
          <cell r="E1971">
            <v>128</v>
          </cell>
        </row>
        <row r="1972">
          <cell r="A1972" t="str">
            <v>AMERICANA</v>
          </cell>
          <cell r="C1972" t="str">
            <v>RESIDENCIAL CAROLINA</v>
          </cell>
          <cell r="D1972" t="str">
            <v>B0D57334-17FC-E111-94E9-001B78B9D994</v>
          </cell>
          <cell r="E1972">
            <v>0</v>
          </cell>
        </row>
        <row r="1973">
          <cell r="A1973" t="str">
            <v>RIO DE JANEIRO</v>
          </cell>
          <cell r="C1973" t="str">
            <v>RESIDENCIAL CASTANHEIRAS</v>
          </cell>
          <cell r="D1973" t="str">
            <v>7A0DE93A-6172-E911-B1CD-009C02B0CB58</v>
          </cell>
          <cell r="E1973">
            <v>360</v>
          </cell>
        </row>
        <row r="1974">
          <cell r="A1974" t="str">
            <v>CURITIBA</v>
          </cell>
          <cell r="C1974" t="str">
            <v>RESIDENCIAL CASTELLANA</v>
          </cell>
          <cell r="D1974" t="str">
            <v>DA9C8722-8566-E911-90BB-80C16E075108</v>
          </cell>
          <cell r="E1974">
            <v>144</v>
          </cell>
        </row>
        <row r="1975">
          <cell r="A1975" t="str">
            <v>CAMPINAS</v>
          </cell>
          <cell r="C1975" t="str">
            <v>RESIDENCIAL CEDRO</v>
          </cell>
          <cell r="D1975" t="str">
            <v>A6491F68-8BDE-EB11-930A-0050568AA20F</v>
          </cell>
          <cell r="E1975">
            <v>0</v>
          </cell>
        </row>
        <row r="1976">
          <cell r="A1976" t="str">
            <v>RIO DE JANEIRO</v>
          </cell>
          <cell r="C1976" t="str">
            <v>RESIDENCIAL CEDRO BRANCO</v>
          </cell>
          <cell r="D1976" t="str">
            <v>AE4E6C7C-6672-E911-B1CD-009C02B0CB58</v>
          </cell>
          <cell r="E1976">
            <v>340</v>
          </cell>
        </row>
        <row r="1977">
          <cell r="A1977" t="str">
            <v>RIO DE JANEIRO</v>
          </cell>
          <cell r="C1977" t="str">
            <v>RESIDENCIAL CEDRO ROSA</v>
          </cell>
          <cell r="D1977" t="str">
            <v>ED670CC2-E596-E611-B1E9-009C02B0CB58</v>
          </cell>
          <cell r="E1977">
            <v>500</v>
          </cell>
        </row>
        <row r="1978">
          <cell r="A1978" t="str">
            <v>BELO HORIZONTE</v>
          </cell>
          <cell r="C1978" t="str">
            <v>RESIDENCIAL CENTAURUS</v>
          </cell>
          <cell r="D1978" t="str">
            <v>9DE6CC7F-7F48-E211-83E6-80C16E075108</v>
          </cell>
          <cell r="E1978">
            <v>0</v>
          </cell>
        </row>
        <row r="1979">
          <cell r="A1979" t="str">
            <v>CURITIBA</v>
          </cell>
          <cell r="C1979" t="str">
            <v>RESIDENCIAL CHANCELLOR</v>
          </cell>
          <cell r="D1979" t="str">
            <v>F0EF29D2-66C8-E711-B989-80C16E075108</v>
          </cell>
          <cell r="E1979">
            <v>128</v>
          </cell>
        </row>
        <row r="1980">
          <cell r="A1980" t="str">
            <v>CURITIBA</v>
          </cell>
          <cell r="C1980" t="str">
            <v>RESIDENCIAL CHÂTEAU BELVEDERE</v>
          </cell>
          <cell r="D1980" t="str">
            <v>0B9240F1-8780-E811-8D3F-80C16E075108</v>
          </cell>
          <cell r="E1980">
            <v>96</v>
          </cell>
        </row>
        <row r="1981">
          <cell r="A1981" t="str">
            <v>CURITIBA</v>
          </cell>
          <cell r="C1981" t="str">
            <v>RESIDENCIAL CHÂTEAU BOULEVARD</v>
          </cell>
          <cell r="D1981" t="str">
            <v>6773F6BF-8C72-E911-B1CD-009C02B0CB58</v>
          </cell>
          <cell r="E1981">
            <v>96</v>
          </cell>
        </row>
        <row r="1982">
          <cell r="A1982" t="str">
            <v>NATAL</v>
          </cell>
          <cell r="C1982" t="str">
            <v>RESIDENCIAL CIDADE DO LITORAL</v>
          </cell>
          <cell r="D1982" t="str">
            <v>0126D961-2328-EF11-9143-80C16E075108</v>
          </cell>
          <cell r="E1982">
            <v>0</v>
          </cell>
        </row>
        <row r="1983">
          <cell r="A1983" t="str">
            <v>NATAL</v>
          </cell>
          <cell r="C1983" t="str">
            <v>RESIDENCIAL CIDADE DO SOL</v>
          </cell>
          <cell r="D1983" t="str">
            <v>AD3AD578-E421-EF11-9E4D-009C02B0CB58</v>
          </cell>
          <cell r="E1983">
            <v>0</v>
          </cell>
        </row>
        <row r="1984">
          <cell r="A1984" t="str">
            <v>CAMPINAS</v>
          </cell>
          <cell r="C1984" t="str">
            <v>RESIDENCIAL CIPRESTE</v>
          </cell>
          <cell r="D1984" t="str">
            <v>FD091061-218C-ED11-9E0C-00505685534B</v>
          </cell>
          <cell r="E1984">
            <v>0</v>
          </cell>
        </row>
        <row r="1985">
          <cell r="A1985" t="str">
            <v>CAMPINAS</v>
          </cell>
          <cell r="C1985" t="str">
            <v>RESIDENCIAL CITÁ</v>
          </cell>
          <cell r="D1985" t="str">
            <v>C374E066-2202-E911-B773-80C16E075108</v>
          </cell>
          <cell r="E1985">
            <v>100</v>
          </cell>
        </row>
        <row r="1986">
          <cell r="A1986" t="str">
            <v>ARAUCÁRIA</v>
          </cell>
          <cell r="C1986" t="str">
            <v>RESIDENCIAL CLARET</v>
          </cell>
          <cell r="D1986" t="str">
            <v>46A40ED1-8FAB-E811-944B-009C02B0CB58</v>
          </cell>
          <cell r="E1986">
            <v>176</v>
          </cell>
        </row>
        <row r="1987">
          <cell r="A1987" t="str">
            <v>CAMPINAS</v>
          </cell>
          <cell r="C1987" t="str">
            <v>RESIDENCIAL CLARICE</v>
          </cell>
          <cell r="D1987" t="str">
            <v>30672793-618A-DD11-8A4F-001B78B9D994</v>
          </cell>
          <cell r="E1987">
            <v>0</v>
          </cell>
        </row>
        <row r="1988">
          <cell r="A1988" t="str">
            <v>CAMPINAS</v>
          </cell>
          <cell r="C1988" t="str">
            <v>RESIDENCIAL COLINAS DE MÔNACO</v>
          </cell>
          <cell r="D1988" t="str">
            <v>C19D92FE-BFFA-E711-B989-80C16E075108</v>
          </cell>
          <cell r="E1988">
            <v>340</v>
          </cell>
        </row>
        <row r="1989">
          <cell r="A1989" t="str">
            <v>CAMPINAS</v>
          </cell>
          <cell r="C1989" t="str">
            <v>RESIDENCIAL COLINAS DE NAPOLES</v>
          </cell>
          <cell r="D1989" t="str">
            <v>F220AAAD-C0FA-E711-B989-80C16E075108</v>
          </cell>
          <cell r="E1989">
            <v>260</v>
          </cell>
        </row>
        <row r="1990">
          <cell r="A1990" t="str">
            <v>CAMPINAS</v>
          </cell>
          <cell r="C1990" t="str">
            <v>RESIDENCIAL COLINAS DE ROMA</v>
          </cell>
          <cell r="D1990" t="str">
            <v>9BFCB048-C0FA-E711-B989-80C16E075108</v>
          </cell>
          <cell r="E1990">
            <v>360</v>
          </cell>
        </row>
        <row r="1991">
          <cell r="A1991" t="str">
            <v>CAMPINAS</v>
          </cell>
          <cell r="C1991" t="str">
            <v>RESIDENCIAL COLUMBIA</v>
          </cell>
          <cell r="D1991" t="str">
            <v>E9E03936-59C2-DF11-B20E-001F2909E810</v>
          </cell>
          <cell r="E1991">
            <v>11</v>
          </cell>
        </row>
        <row r="1992">
          <cell r="A1992" t="str">
            <v>RIO DE JANEIRO</v>
          </cell>
          <cell r="C1992" t="str">
            <v>RESIDENCIAL COPENHAGUE</v>
          </cell>
          <cell r="D1992" t="str">
            <v>6FA4C0A9-E72D-E811-A00D-009C02B0CB58</v>
          </cell>
          <cell r="E1992">
            <v>340</v>
          </cell>
        </row>
        <row r="1993">
          <cell r="A1993" t="str">
            <v>CURITIBA</v>
          </cell>
          <cell r="C1993" t="str">
            <v>RESIDENCIAL CORES DO MAR</v>
          </cell>
          <cell r="D1993" t="str">
            <v>836A0022-5C98-E911-B807-005056856875</v>
          </cell>
          <cell r="E1993">
            <v>392</v>
          </cell>
        </row>
        <row r="1994">
          <cell r="A1994" t="str">
            <v>CURITIBA</v>
          </cell>
          <cell r="C1994" t="str">
            <v>RESIDENCIAL CORES DO SOL</v>
          </cell>
          <cell r="D1994" t="str">
            <v>27C65D5E-5C98-E911-B807-005056856875</v>
          </cell>
          <cell r="E1994">
            <v>392</v>
          </cell>
        </row>
        <row r="1995">
          <cell r="A1995" t="str">
            <v>SÃO JOSÉ DOS PINHAIS</v>
          </cell>
          <cell r="C1995" t="str">
            <v>RESIDENCIAL COSTA DA PRATA</v>
          </cell>
          <cell r="D1995" t="str">
            <v>C6948532-D39B-E811-B96E-009C02B0CB58</v>
          </cell>
          <cell r="E1995">
            <v>112</v>
          </cell>
        </row>
        <row r="1996">
          <cell r="A1996" t="str">
            <v>BELO HORIZONTE</v>
          </cell>
          <cell r="C1996" t="str">
            <v>RESIDENCIAL COSTA DO MARFIM</v>
          </cell>
          <cell r="D1996" t="str">
            <v>E1195B6C-784E-E611-A62F-80C16E075108</v>
          </cell>
          <cell r="E1996">
            <v>0</v>
          </cell>
        </row>
        <row r="1997">
          <cell r="A1997" t="str">
            <v>SÃO JOSÉ DOS PINHAIS</v>
          </cell>
          <cell r="C1997" t="str">
            <v>RESIDENCIAL COSTA DOURADA</v>
          </cell>
          <cell r="D1997" t="str">
            <v>51B46A31-EB76-E711-BF37-005056856B6C</v>
          </cell>
          <cell r="E1997">
            <v>192</v>
          </cell>
        </row>
        <row r="1998">
          <cell r="A1998" t="str">
            <v>SÃO JOSÉ DOS PINHAIS</v>
          </cell>
          <cell r="C1998" t="str">
            <v>RESIDENCIAL COSTA ESMERALDA</v>
          </cell>
          <cell r="D1998" t="str">
            <v>B60F5EFD-00D3-E911-941D-005056856875</v>
          </cell>
          <cell r="E1998">
            <v>128</v>
          </cell>
        </row>
        <row r="1999">
          <cell r="A1999" t="str">
            <v>CAMPINAS</v>
          </cell>
          <cell r="C1999" t="str">
            <v>RESIDENCIAL COSTA LAGUNA</v>
          </cell>
          <cell r="D1999" t="str">
            <v>CA870A04-C58A-E811-8D3F-80C16E075108</v>
          </cell>
          <cell r="E1999">
            <v>160</v>
          </cell>
        </row>
        <row r="2000">
          <cell r="A2000" t="str">
            <v>CAMPINAS</v>
          </cell>
          <cell r="C2000" t="str">
            <v>RESIDENCIAL COSTA REAL</v>
          </cell>
          <cell r="D2000" t="str">
            <v>03F70CDF-17D6-E911-B027-0050568AA20F</v>
          </cell>
          <cell r="E2000">
            <v>200</v>
          </cell>
        </row>
        <row r="2001">
          <cell r="A2001" t="str">
            <v>VESPASIANO</v>
          </cell>
          <cell r="C2001" t="str">
            <v>RESIDENCIAL COSTA VERDE</v>
          </cell>
          <cell r="D2001" t="str">
            <v>DA08A091-F6F9-E211-83E6-80C16E075108</v>
          </cell>
          <cell r="E2001">
            <v>144</v>
          </cell>
        </row>
        <row r="2002">
          <cell r="A2002" t="str">
            <v>CAMPINA GRANDE</v>
          </cell>
          <cell r="C2002" t="str">
            <v>RESIDENCIAL DALLAS PARK</v>
          </cell>
          <cell r="D2002" t="str">
            <v>52BD8870-4AED-E111-8ECD-001F2909E810</v>
          </cell>
          <cell r="E2002">
            <v>864</v>
          </cell>
        </row>
        <row r="2003">
          <cell r="A2003" t="str">
            <v>SANTA BÁRBARA D'OESTE</v>
          </cell>
          <cell r="C2003" t="str">
            <v>RESIDENCIAL DAS ÁGUAS</v>
          </cell>
          <cell r="D2003" t="str">
            <v>A6A7B51A-BA2E-E911-8C00-80C16E075108</v>
          </cell>
          <cell r="E2003">
            <v>200</v>
          </cell>
        </row>
        <row r="2004">
          <cell r="A2004" t="str">
            <v>CAMPO GRANDE</v>
          </cell>
          <cell r="C2004" t="str">
            <v>RESIDENCIAL DE MONTALCINO</v>
          </cell>
          <cell r="D2004" t="str">
            <v>E7C324E2-A6BB-E611-ABB6-80C16E075108</v>
          </cell>
          <cell r="E2004">
            <v>192</v>
          </cell>
        </row>
        <row r="2005">
          <cell r="A2005" t="str">
            <v>CAMPO GRANDE</v>
          </cell>
          <cell r="C2005" t="str">
            <v>RESIDENCIAL DE RAVENA</v>
          </cell>
          <cell r="D2005" t="str">
            <v>3A49CFDC-A5BB-E611-ABB6-80C16E075108</v>
          </cell>
          <cell r="E2005">
            <v>96</v>
          </cell>
        </row>
        <row r="2006">
          <cell r="A2006" t="str">
            <v>BAURU</v>
          </cell>
          <cell r="C2006" t="str">
            <v>RESIDENCIAL DIANA</v>
          </cell>
          <cell r="D2006" t="str">
            <v>97C291FB-7F48-E211-83E6-80C16E075108</v>
          </cell>
          <cell r="E2006">
            <v>40</v>
          </cell>
        </row>
        <row r="2007">
          <cell r="A2007" t="str">
            <v>CONTAGEM</v>
          </cell>
          <cell r="C2007" t="str">
            <v>RESIDENCIAL DINISA</v>
          </cell>
          <cell r="D2007" t="str">
            <v>AF581CCD-013D-DF11-9F9A-001F2909E810</v>
          </cell>
          <cell r="E2007">
            <v>0</v>
          </cell>
        </row>
        <row r="2008">
          <cell r="A2008" t="str">
            <v>BELO HORIZONTE</v>
          </cell>
          <cell r="C2008" t="str">
            <v>RESIDENCIAL DON GIOVANNI</v>
          </cell>
          <cell r="D2008" t="str">
            <v>F8B26D37-BA6F-E611-B1E9-009C02B0CB58</v>
          </cell>
          <cell r="E2008">
            <v>0</v>
          </cell>
        </row>
        <row r="2009">
          <cell r="A2009" t="str">
            <v>LIMEIRA</v>
          </cell>
          <cell r="C2009" t="str">
            <v>RESIDENCIAL DOS LÍRIOS</v>
          </cell>
          <cell r="D2009" t="str">
            <v>7A1AD3D6-4990-E811-B96E-009C02B0CB58</v>
          </cell>
          <cell r="E2009">
            <v>320</v>
          </cell>
        </row>
        <row r="2010">
          <cell r="A2010" t="str">
            <v>DUQUE DE CAXIAS</v>
          </cell>
          <cell r="C2010" t="str">
            <v>RESIDENCIAL DUCCIO</v>
          </cell>
          <cell r="D2010" t="str">
            <v>8BAF9DD8-0044-E811-A00D-009C02B0CB58</v>
          </cell>
          <cell r="E2010">
            <v>492</v>
          </cell>
        </row>
        <row r="2011">
          <cell r="A2011" t="str">
            <v>BELO HORIZONTE</v>
          </cell>
          <cell r="C2011" t="str">
            <v>RESIDENCIAL EDIMBURGO</v>
          </cell>
          <cell r="D2011" t="str">
            <v>8BBBE971-EAE6-DC11-ABD0-001B7845B4A6</v>
          </cell>
          <cell r="E2011">
            <v>80</v>
          </cell>
        </row>
        <row r="2012">
          <cell r="A2012" t="str">
            <v>SÃO PAULO</v>
          </cell>
          <cell r="C2012" t="str">
            <v>RESIDENCIAL EMPATIA</v>
          </cell>
          <cell r="D2012" t="str">
            <v>DC0F9F67-7D66-E911-B8F1-009C02B0CB58</v>
          </cell>
          <cell r="E2012">
            <v>626</v>
          </cell>
        </row>
        <row r="2013">
          <cell r="A2013" t="str">
            <v>RIO DE JANEIRO</v>
          </cell>
          <cell r="C2013" t="str">
            <v>RESIDENCIAL ENCANTOS DOS SONHOS</v>
          </cell>
          <cell r="D2013" t="str">
            <v>654D446B-2006-EF11-9143-80C16E075108</v>
          </cell>
          <cell r="E2013">
            <v>0</v>
          </cell>
        </row>
        <row r="2014">
          <cell r="A2014" t="str">
            <v>BELO HORIZONTE</v>
          </cell>
          <cell r="C2014" t="str">
            <v>RESIDENCIAL ESCOCIA</v>
          </cell>
          <cell r="D2014" t="str">
            <v>DD5CED53-FA3C-DF11-9F9A-001F2909E810</v>
          </cell>
          <cell r="E2014">
            <v>15</v>
          </cell>
        </row>
        <row r="2015">
          <cell r="A2015" t="str">
            <v>SÃO PAULO</v>
          </cell>
          <cell r="C2015" t="str">
            <v>RESIDENCIAL ESPERANÇA</v>
          </cell>
          <cell r="D2015" t="str">
            <v>46775A46-7E66-E911-B8F1-009C02B0CB58</v>
          </cell>
          <cell r="E2015">
            <v>425</v>
          </cell>
        </row>
        <row r="2016">
          <cell r="A2016" t="str">
            <v>RIO DE JANEIRO</v>
          </cell>
          <cell r="C2016" t="str">
            <v>RESIDENCIAL ESTOCOLMO</v>
          </cell>
          <cell r="D2016" t="str">
            <v>D5F80489-3710-E511-A3A7-80C16E075108</v>
          </cell>
          <cell r="E2016">
            <v>420</v>
          </cell>
        </row>
        <row r="2017">
          <cell r="A2017" t="str">
            <v>FEIRA DE SANTANA</v>
          </cell>
          <cell r="C2017" t="str">
            <v>RESIDENCIAL FEIRA PARK</v>
          </cell>
          <cell r="D2017" t="str">
            <v>87C39E9A-445B-E711-BB04-DB6828735DB2</v>
          </cell>
          <cell r="E2017">
            <v>324</v>
          </cell>
        </row>
        <row r="2018">
          <cell r="A2018" t="str">
            <v>UBERLÂNDIA</v>
          </cell>
          <cell r="C2018" t="str">
            <v>RESIDENCIAL FLAMBOYANT</v>
          </cell>
          <cell r="D2018" t="str">
            <v>82B6DA81-3AAD-DE11-8D16-001F2909E810</v>
          </cell>
          <cell r="E2018">
            <v>368</v>
          </cell>
        </row>
        <row r="2019">
          <cell r="A2019" t="str">
            <v>RIO DE JANEIRO</v>
          </cell>
          <cell r="C2019" t="str">
            <v>RESIDENCIAL FLOR DE LARANJEIRA</v>
          </cell>
          <cell r="D2019" t="str">
            <v>B0243285-F5C8-E411-9DC0-80C16E075108</v>
          </cell>
          <cell r="E2019">
            <v>500</v>
          </cell>
        </row>
        <row r="2020">
          <cell r="A2020" t="str">
            <v>FRANCA</v>
          </cell>
          <cell r="C2020" t="str">
            <v>RESIDENCIAL FLORADAS DA SERRA</v>
          </cell>
          <cell r="D2020" t="str">
            <v>76E16C0F-68FC-DD11-B30A-001B78B9D994</v>
          </cell>
          <cell r="E2020">
            <v>40</v>
          </cell>
        </row>
        <row r="2021">
          <cell r="A2021" t="str">
            <v>SÃO JOSÉ</v>
          </cell>
          <cell r="C2021" t="str">
            <v>RESIDENCIAL FLORES DE LISSE</v>
          </cell>
          <cell r="D2021" t="str">
            <v>D5DC9C35-B66D-EE11-8E2D-009C02B0CB58</v>
          </cell>
          <cell r="E2021">
            <v>0</v>
          </cell>
        </row>
        <row r="2022">
          <cell r="A2022" t="str">
            <v>SÃO JOSÉ</v>
          </cell>
          <cell r="C2022" t="str">
            <v>RESIDENCIAL FLORES DE MONTSERRAT</v>
          </cell>
          <cell r="D2022" t="str">
            <v>2CC5D35A-2690-ED11-9E0C-00505685534B</v>
          </cell>
          <cell r="E2022">
            <v>0</v>
          </cell>
        </row>
        <row r="2023">
          <cell r="A2023" t="str">
            <v>SÃO JOSÉ</v>
          </cell>
          <cell r="C2023" t="str">
            <v>RESIDENCIAL FLORES DE OLIVA</v>
          </cell>
          <cell r="D2023" t="str">
            <v>37277B0B-F371-EE11-8ACD-80C16E075108</v>
          </cell>
          <cell r="E2023">
            <v>0</v>
          </cell>
        </row>
        <row r="2024">
          <cell r="A2024" t="str">
            <v>GOIÂNIA</v>
          </cell>
          <cell r="C2024" t="str">
            <v>RESIDENCIAL FONTENELLE</v>
          </cell>
          <cell r="D2024" t="str">
            <v>E308160C-6568-E911-B8F1-009C02B0CB58</v>
          </cell>
          <cell r="E2024">
            <v>260</v>
          </cell>
        </row>
        <row r="2025">
          <cell r="A2025" t="str">
            <v>BELO HORIZONTE</v>
          </cell>
          <cell r="C2025" t="str">
            <v>RESIDENCIAL FORTALEZA</v>
          </cell>
          <cell r="D2025" t="str">
            <v>54D6C39E-31EA-DE11-89FA-001F2909E810</v>
          </cell>
          <cell r="E2025">
            <v>0</v>
          </cell>
        </row>
        <row r="2026">
          <cell r="A2026" t="str">
            <v>CONTAGEM</v>
          </cell>
          <cell r="C2026" t="str">
            <v>RESIDENCIAL GEMINI</v>
          </cell>
          <cell r="D2026" t="str">
            <v>88309AB6-BCE8-DD11-BD2B-001B78B9D994</v>
          </cell>
          <cell r="E2026">
            <v>160</v>
          </cell>
        </row>
        <row r="2027">
          <cell r="A2027" t="str">
            <v>RIO DE JANEIRO</v>
          </cell>
          <cell r="C2027" t="str">
            <v>RESIDENCIAL GENEBRA</v>
          </cell>
          <cell r="D2027" t="str">
            <v>1D3ED8DB-7C80-E911-A828-005056856875</v>
          </cell>
          <cell r="E2027">
            <v>300</v>
          </cell>
        </row>
        <row r="2028">
          <cell r="A2028" t="str">
            <v>RIBEIRÃO DAS NEVES</v>
          </cell>
          <cell r="C2028" t="str">
            <v>RESIDENCIAL GEÓRGIA</v>
          </cell>
          <cell r="D2028" t="str">
            <v>7D389165-1A6A-E611-B1E9-009C02B0CB58</v>
          </cell>
          <cell r="E2028">
            <v>0</v>
          </cell>
        </row>
        <row r="2029">
          <cell r="A2029" t="str">
            <v>SÃO JOSÉ DO RIO PRETO</v>
          </cell>
          <cell r="C2029" t="str">
            <v>RESIDENCIAL GIOVANA</v>
          </cell>
          <cell r="D2029" t="str">
            <v>2DBD1B2D-BBB2-DE11-8D16-001F2909E810</v>
          </cell>
          <cell r="E2029">
            <v>56</v>
          </cell>
        </row>
        <row r="2030">
          <cell r="A2030" t="str">
            <v>GUARULHOS</v>
          </cell>
          <cell r="C2030" t="str">
            <v>RESIDENCIAL GOLDEN PLAZA</v>
          </cell>
          <cell r="D2030" t="str">
            <v>DB271DB6-E8BC-E811-944D-009C02B0CB58</v>
          </cell>
          <cell r="E2030">
            <v>740</v>
          </cell>
        </row>
        <row r="2031">
          <cell r="A2031" t="str">
            <v>BELO HORIZONTE</v>
          </cell>
          <cell r="C2031" t="str">
            <v>RESIDENCIAL GRANDES LAGOS</v>
          </cell>
          <cell r="D2031" t="str">
            <v>716E0E51-368A-DD11-8A4F-001B78B9D994</v>
          </cell>
          <cell r="E2031">
            <v>32</v>
          </cell>
        </row>
        <row r="2032">
          <cell r="A2032" t="str">
            <v>GOIÂNIA</v>
          </cell>
          <cell r="C2032" t="str">
            <v>RESIDENCIAL GREENPORT</v>
          </cell>
          <cell r="D2032" t="str">
            <v>A529DD30-66BB-E811-944D-009C02B0CB58</v>
          </cell>
          <cell r="E2032">
            <v>176</v>
          </cell>
        </row>
        <row r="2033">
          <cell r="A2033" t="str">
            <v>RIO DE JANEIRO</v>
          </cell>
          <cell r="C2033" t="str">
            <v>RESIDENCIAL GUARATIBA</v>
          </cell>
          <cell r="D2033" t="str">
            <v>DAE35317-C2E5-E711-A541-009C02B0CB58</v>
          </cell>
          <cell r="E2033">
            <v>500</v>
          </cell>
        </row>
        <row r="2034">
          <cell r="A2034" t="str">
            <v>BELO HORIZONTE</v>
          </cell>
          <cell r="C2034" t="str">
            <v>RESIDENCIAL GUARUJÁ</v>
          </cell>
          <cell r="D2034" t="str">
            <v>E83E8675-C978-E111-A73F-001F2909E810</v>
          </cell>
          <cell r="E2034">
            <v>0</v>
          </cell>
        </row>
        <row r="2035">
          <cell r="A2035" t="str">
            <v>RIO DE JANEIRO</v>
          </cell>
          <cell r="C2035" t="str">
            <v>RESIDENCIAL HAMBURGO</v>
          </cell>
          <cell r="D2035" t="str">
            <v>AE670048-7D80-E911-A828-005056856875</v>
          </cell>
          <cell r="E2035">
            <v>440</v>
          </cell>
        </row>
        <row r="2036">
          <cell r="A2036" t="str">
            <v>BELO HORIZONTE</v>
          </cell>
          <cell r="C2036" t="str">
            <v>RESIDENCIAL HANNOVER</v>
          </cell>
          <cell r="D2036" t="str">
            <v>CA089632-F768-DF11-9F9A-001F2909E810</v>
          </cell>
          <cell r="E2036">
            <v>64</v>
          </cell>
        </row>
        <row r="2037">
          <cell r="A2037" t="str">
            <v>BELO HORIZONTE</v>
          </cell>
          <cell r="C2037" t="str">
            <v>RESIDENCIAL IBIZA</v>
          </cell>
          <cell r="D2037" t="str">
            <v>EAC90EA3-4760-E911-B8F1-009C02B0CB58</v>
          </cell>
          <cell r="E2037">
            <v>0</v>
          </cell>
        </row>
        <row r="2038">
          <cell r="A2038" t="str">
            <v>SÃO PAULO</v>
          </cell>
          <cell r="C2038" t="str">
            <v>RESIDENCIAL IGUALDADE</v>
          </cell>
          <cell r="D2038" t="str">
            <v>251DA861-5FFA-E811-B773-80C16E075108</v>
          </cell>
          <cell r="E2038">
            <v>340</v>
          </cell>
        </row>
        <row r="2039">
          <cell r="A2039" t="str">
            <v>RIO DE JANEIRO</v>
          </cell>
          <cell r="C2039" t="str">
            <v>RESIDENCIAL ILHA DA MADEIRA</v>
          </cell>
          <cell r="D2039" t="str">
            <v>9DE575B9-C0E5-E711-A541-009C02B0CB58</v>
          </cell>
          <cell r="E2039">
            <v>500</v>
          </cell>
        </row>
        <row r="2040">
          <cell r="A2040" t="str">
            <v>ITÚ</v>
          </cell>
          <cell r="C2040" t="str">
            <v>RESIDENCIAL ILHA DE BALI</v>
          </cell>
          <cell r="D2040" t="str">
            <v>BF431571-AC6A-E911-90BB-80C16E075108</v>
          </cell>
          <cell r="E2040">
            <v>192</v>
          </cell>
        </row>
        <row r="2041">
          <cell r="A2041" t="str">
            <v>MACEIÓ</v>
          </cell>
          <cell r="C2041" t="str">
            <v>RESIDENCIAL ILHA DE JADE</v>
          </cell>
          <cell r="D2041" t="str">
            <v>6E9DE5CD-C03F-EF11-9143-80C16E075108</v>
          </cell>
          <cell r="E2041">
            <v>0</v>
          </cell>
        </row>
        <row r="2042">
          <cell r="A2042" t="str">
            <v>MACEIÓ</v>
          </cell>
          <cell r="C2042" t="str">
            <v>RESIDENCIAL ILHA DOS CRISTAIS</v>
          </cell>
          <cell r="D2042" t="str">
            <v>3D49DF99-C03F-EF11-9143-80C16E075108</v>
          </cell>
          <cell r="E2042">
            <v>0</v>
          </cell>
        </row>
        <row r="2043">
          <cell r="A2043" t="str">
            <v>RIO DE JANEIRO</v>
          </cell>
          <cell r="C2043" t="str">
            <v>RESIDENCIAL ILHA GRANDE</v>
          </cell>
          <cell r="D2043" t="str">
            <v>68A02FDF-BEE5-E711-A541-009C02B0CB58</v>
          </cell>
          <cell r="E2043">
            <v>500</v>
          </cell>
        </row>
        <row r="2044">
          <cell r="A2044" t="str">
            <v>MACEIÓ</v>
          </cell>
          <cell r="C2044" t="str">
            <v>ILHA DE SAFIRA</v>
          </cell>
          <cell r="D2044" t="str">
            <v>73087B95-E537-EF11-9E4D-009C02B0CB58</v>
          </cell>
          <cell r="E2044">
            <v>384</v>
          </cell>
        </row>
        <row r="2045">
          <cell r="A2045" t="str">
            <v>ITÚ</v>
          </cell>
          <cell r="C2045" t="str">
            <v>RESIDENCIAL IMPÉRIO LA CASTELLE</v>
          </cell>
          <cell r="D2045" t="str">
            <v>87C65626-2931-E911-8C00-80C16E075108</v>
          </cell>
          <cell r="E2045">
            <v>220</v>
          </cell>
        </row>
        <row r="2046">
          <cell r="A2046" t="str">
            <v>RIO DE JANEIRO</v>
          </cell>
          <cell r="C2046" t="str">
            <v>RESIDENCIAL IPÊ BRANCO</v>
          </cell>
          <cell r="D2046" t="str">
            <v>FAE7D466-6272-E911-B1CD-009C02B0CB58</v>
          </cell>
          <cell r="E2046">
            <v>340</v>
          </cell>
        </row>
        <row r="2047">
          <cell r="A2047" t="str">
            <v>RIO DE JANEIRO</v>
          </cell>
          <cell r="C2047" t="str">
            <v>RESIDENCIAL IPÊ ROSA</v>
          </cell>
          <cell r="D2047" t="str">
            <v>4833E7BB-6272-E911-B1CD-009C02B0CB58</v>
          </cell>
          <cell r="E2047">
            <v>340</v>
          </cell>
        </row>
        <row r="2048">
          <cell r="A2048" t="str">
            <v>RIO DE JANEIRO</v>
          </cell>
          <cell r="C2048" t="str">
            <v>RESIDENCIAL IPÊ ROXO</v>
          </cell>
          <cell r="D2048" t="str">
            <v>FE153510-6272-E911-B1CD-009C02B0CB58</v>
          </cell>
          <cell r="E2048">
            <v>360</v>
          </cell>
        </row>
        <row r="2049">
          <cell r="A2049" t="str">
            <v>AMERICANA</v>
          </cell>
          <cell r="C2049" t="str">
            <v>RESIDENCIAL ISABELA</v>
          </cell>
          <cell r="D2049" t="str">
            <v>304F028E-FFC0-DF11-B20E-001F2909E810</v>
          </cell>
          <cell r="E2049">
            <v>4</v>
          </cell>
        </row>
        <row r="2050">
          <cell r="A2050" t="str">
            <v>BELO HORIZONTE</v>
          </cell>
          <cell r="C2050" t="str">
            <v>RESIDENCIAL ITAIPAVA</v>
          </cell>
          <cell r="D2050" t="str">
            <v>91298C22-398A-DD11-8A4F-001B78B9D994</v>
          </cell>
          <cell r="E2050">
            <v>18</v>
          </cell>
        </row>
        <row r="2051">
          <cell r="A2051" t="str">
            <v>RIO DE JANEIRO</v>
          </cell>
          <cell r="C2051" t="str">
            <v>RESIDENCIAL JABOTÁ</v>
          </cell>
          <cell r="D2051" t="str">
            <v>7BA2A3A8-EF4B-EE11-9510-005056856875</v>
          </cell>
          <cell r="E2051">
            <v>0</v>
          </cell>
        </row>
        <row r="2052">
          <cell r="A2052" t="str">
            <v>RIO DE JANEIRO</v>
          </cell>
          <cell r="C2052" t="str">
            <v>RESIDENCIAL JACARANDÁS</v>
          </cell>
          <cell r="D2052" t="str">
            <v>1A5E1A16-6672-E911-B1CD-009C02B0CB58</v>
          </cell>
          <cell r="E2052">
            <v>340</v>
          </cell>
        </row>
        <row r="2053">
          <cell r="A2053" t="str">
            <v>RIBEIRÃO PRETO</v>
          </cell>
          <cell r="C2053" t="str">
            <v>RESIDENCIAL JACQUELINE</v>
          </cell>
          <cell r="D2053" t="str">
            <v>8A3ABDF6-93BB-E511-9CC2-009C02B0CB58</v>
          </cell>
          <cell r="E2053">
            <v>0</v>
          </cell>
        </row>
        <row r="2054">
          <cell r="A2054" t="str">
            <v>JUNDIAÍ</v>
          </cell>
          <cell r="C2054" t="str">
            <v>RESIDENCIAL JADE</v>
          </cell>
          <cell r="D2054" t="str">
            <v>CDA8F695-CB59-EB11-AC7F-005056856875</v>
          </cell>
          <cell r="E2054">
            <v>0</v>
          </cell>
        </row>
        <row r="2055">
          <cell r="A2055" t="str">
            <v>JACAREÍ</v>
          </cell>
          <cell r="C2055" t="str">
            <v>RESIDENCIAL JAGUARI</v>
          </cell>
          <cell r="D2055" t="str">
            <v>95266004-53FE-ED11-98D9-009C02B0CB58</v>
          </cell>
          <cell r="E2055">
            <v>0</v>
          </cell>
        </row>
        <row r="2056">
          <cell r="A2056" t="str">
            <v>JUNDIAÍ</v>
          </cell>
          <cell r="C2056" t="str">
            <v>RESIDENCIAL JANAINA</v>
          </cell>
          <cell r="D2056" t="str">
            <v>E0C5DD6F-408A-DD11-8A4F-001B78B9D994</v>
          </cell>
          <cell r="E2056">
            <v>5</v>
          </cell>
        </row>
        <row r="2057">
          <cell r="A2057" t="str">
            <v>JUNDIAÍ</v>
          </cell>
          <cell r="C2057" t="str">
            <v>RESIDENCIAL JANE</v>
          </cell>
          <cell r="D2057" t="str">
            <v>B6754242-95E2-DF11-B242-001F2909E810</v>
          </cell>
          <cell r="E2057">
            <v>12</v>
          </cell>
        </row>
        <row r="2058">
          <cell r="A2058" t="str">
            <v>JARAGUÁ DO SUL</v>
          </cell>
          <cell r="C2058" t="str">
            <v>RESIDENCIAL JARDIM DI GÊNOVA</v>
          </cell>
          <cell r="D2058" t="str">
            <v>76F60206-E0C8-E811-944D-009C02B0CB58</v>
          </cell>
          <cell r="E2058">
            <v>240</v>
          </cell>
        </row>
        <row r="2059">
          <cell r="A2059" t="str">
            <v>NOVA IGUAÇU</v>
          </cell>
          <cell r="C2059" t="str">
            <v>RESIDENCIAL JARDIM DO ATALAIA</v>
          </cell>
          <cell r="D2059" t="str">
            <v>10D84C10-F64F-E911-810A-80C16E075108</v>
          </cell>
          <cell r="E2059">
            <v>440</v>
          </cell>
        </row>
        <row r="2060">
          <cell r="A2060" t="str">
            <v>JUIZ DE FORA</v>
          </cell>
          <cell r="C2060" t="str">
            <v>RESIDENCIAL JARDIM DO OURO</v>
          </cell>
          <cell r="D2060" t="str">
            <v>89002D5F-E172-EC11-A871-005056895191</v>
          </cell>
          <cell r="E2060">
            <v>0</v>
          </cell>
        </row>
        <row r="2061">
          <cell r="A2061" t="str">
            <v>SÃO JOSÉ DO RIO PRETO</v>
          </cell>
          <cell r="C2061" t="str">
            <v>RESIDENCIAL JARDIM DOS GIRASSÓIS</v>
          </cell>
          <cell r="D2061" t="str">
            <v>BF335408-835E-EC11-B501-005056856B6C</v>
          </cell>
          <cell r="E2061">
            <v>368</v>
          </cell>
        </row>
        <row r="2062">
          <cell r="A2062" t="str">
            <v>JUIZ DE FORA</v>
          </cell>
          <cell r="C2062" t="str">
            <v>RESIDENCIAL JARDIM DOS INCONFIDENTES</v>
          </cell>
          <cell r="D2062" t="str">
            <v>CF7AC084-888A-E811-B96E-009C02B0CB58</v>
          </cell>
          <cell r="E2062">
            <v>288</v>
          </cell>
        </row>
        <row r="2063">
          <cell r="A2063" t="str">
            <v>RIO DE JANEIRO</v>
          </cell>
          <cell r="C2063" t="str">
            <v>RESIDENCIAL JEQUITIBÁ ROSA</v>
          </cell>
          <cell r="D2063" t="str">
            <v>D65D4C98-F24B-EE11-9510-005056856875</v>
          </cell>
          <cell r="E2063">
            <v>0</v>
          </cell>
        </row>
        <row r="2064">
          <cell r="A2064" t="str">
            <v>JUNDIAÍ</v>
          </cell>
          <cell r="C2064" t="str">
            <v>RESIDENCIAL JOANA</v>
          </cell>
          <cell r="D2064" t="str">
            <v>CEE9E2F1-97E2-DF11-B242-001F2909E810</v>
          </cell>
          <cell r="E2064">
            <v>10</v>
          </cell>
        </row>
        <row r="2065">
          <cell r="A2065" t="str">
            <v>JUNDIAÍ</v>
          </cell>
          <cell r="C2065" t="str">
            <v>RESIDENCIAL JULIA</v>
          </cell>
          <cell r="D2065" t="str">
            <v>9619E823-51E7-DF11-B242-001F2909E810</v>
          </cell>
          <cell r="E2065">
            <v>12</v>
          </cell>
        </row>
        <row r="2066">
          <cell r="A2066" t="str">
            <v>JOINVILLE</v>
          </cell>
          <cell r="C2066" t="str">
            <v>RESIDENCIAL JÚLIO VERNE</v>
          </cell>
          <cell r="D2066" t="str">
            <v>51EAAD13-92C2-DF11-B20E-001F2909E810</v>
          </cell>
          <cell r="E2066">
            <v>34</v>
          </cell>
        </row>
        <row r="2067">
          <cell r="A2067" t="str">
            <v>JUNDIAÍ</v>
          </cell>
          <cell r="C2067" t="str">
            <v>RESIDENCIAL JUNIA</v>
          </cell>
          <cell r="D2067" t="str">
            <v>05C27FD8-F6EC-DF11-B242-001F2909E810</v>
          </cell>
          <cell r="E2067">
            <v>12</v>
          </cell>
        </row>
        <row r="2068">
          <cell r="A2068" t="str">
            <v>MANAUS</v>
          </cell>
          <cell r="C2068" t="str">
            <v>RESIDENCIAL KYOTO</v>
          </cell>
          <cell r="D2068" t="str">
            <v>6F20CA06-2618-ED11-BA45-005056890018</v>
          </cell>
          <cell r="E2068">
            <v>0</v>
          </cell>
        </row>
        <row r="2069">
          <cell r="A2069" t="str">
            <v>LONDRINA</v>
          </cell>
          <cell r="C2069" t="str">
            <v>RESIDENCIAL LA BERNARDI</v>
          </cell>
          <cell r="D2069" t="str">
            <v>A5462790-7280-E811-B96E-009C02B0CB58</v>
          </cell>
          <cell r="E2069">
            <v>140</v>
          </cell>
        </row>
        <row r="2070">
          <cell r="A2070" t="str">
            <v>LONDRINA</v>
          </cell>
          <cell r="C2070" t="str">
            <v>RESIDENCIAL LA COLINE</v>
          </cell>
          <cell r="D2070" t="str">
            <v>D98B3F4D-613E-EC11-B501-005056856B6C</v>
          </cell>
          <cell r="E2070">
            <v>288</v>
          </cell>
        </row>
        <row r="2071">
          <cell r="A2071" t="str">
            <v>CAMBÉ</v>
          </cell>
          <cell r="C2071" t="str">
            <v>RESIDENCIAL LA FIORE</v>
          </cell>
          <cell r="D2071" t="str">
            <v>F9D5ED6F-01AB-E811-9B20-80C16E075108</v>
          </cell>
          <cell r="E2071">
            <v>132</v>
          </cell>
        </row>
        <row r="2072">
          <cell r="A2072" t="str">
            <v>BELO HORIZONTE</v>
          </cell>
          <cell r="C2072" t="str">
            <v>RESIDENCIAL LA ROCHELLE</v>
          </cell>
          <cell r="D2072" t="str">
            <v>985E1B23-638A-DD11-8A4F-001B78B9D994</v>
          </cell>
          <cell r="E2072">
            <v>128</v>
          </cell>
        </row>
        <row r="2073">
          <cell r="A2073" t="str">
            <v>CAMBÉ</v>
          </cell>
          <cell r="C2073" t="str">
            <v>RESIDENCIAL LA SENA</v>
          </cell>
          <cell r="D2073" t="str">
            <v>EEB04599-D79B-E811-8D3F-80C16E075108</v>
          </cell>
          <cell r="E2073">
            <v>132</v>
          </cell>
        </row>
        <row r="2074">
          <cell r="A2074" t="str">
            <v>LONDRINA</v>
          </cell>
          <cell r="C2074" t="str">
            <v>RESIDENCIAL LA SPEZIA</v>
          </cell>
          <cell r="D2074" t="str">
            <v>1288ED15-7CB9-E711-B989-80C16E075108</v>
          </cell>
          <cell r="E2074">
            <v>192</v>
          </cell>
        </row>
        <row r="2075">
          <cell r="A2075" t="str">
            <v>LONDRINA</v>
          </cell>
          <cell r="C2075" t="str">
            <v>RESIDENCIAL LA VIE</v>
          </cell>
          <cell r="D2075" t="str">
            <v>DD4CEE16-4D28-EB11-85D0-005056856875</v>
          </cell>
          <cell r="E2075">
            <v>164</v>
          </cell>
        </row>
        <row r="2076">
          <cell r="A2076" t="str">
            <v>SOROCABA</v>
          </cell>
          <cell r="C2076" t="str">
            <v>RESIDENCIAL LAGO DE AMARANTE</v>
          </cell>
          <cell r="D2076" t="str">
            <v>D98A594C-C3AA-E711-8E92-009C02B0CB58</v>
          </cell>
          <cell r="E2076">
            <v>336</v>
          </cell>
        </row>
        <row r="2077">
          <cell r="A2077" t="str">
            <v>SOROCABA</v>
          </cell>
          <cell r="C2077" t="str">
            <v>RESIDENCIAL LAGO DE LISSE</v>
          </cell>
          <cell r="D2077" t="str">
            <v>7E49B4C2-C3AA-E711-8E92-009C02B0CB58</v>
          </cell>
          <cell r="E2077">
            <v>504</v>
          </cell>
        </row>
        <row r="2078">
          <cell r="A2078" t="str">
            <v>SOROCABA</v>
          </cell>
          <cell r="C2078" t="str">
            <v>RESIDENCIAL LAGO DE TOULON</v>
          </cell>
          <cell r="D2078" t="str">
            <v>308427B4-C2AA-E711-8E92-009C02B0CB58</v>
          </cell>
          <cell r="E2078">
            <v>448</v>
          </cell>
        </row>
        <row r="2079">
          <cell r="A2079" t="str">
            <v>LONDRINA</v>
          </cell>
          <cell r="C2079" t="str">
            <v>RESIDENCIAL LAGO DI BIENNA</v>
          </cell>
          <cell r="D2079" t="str">
            <v>5851B840-748C-E011-BDCF-001F2909E810</v>
          </cell>
          <cell r="E2079">
            <v>288</v>
          </cell>
        </row>
        <row r="2080">
          <cell r="A2080" t="str">
            <v>LONDRINA</v>
          </cell>
          <cell r="C2080" t="str">
            <v>RESIDENCIAL LAGO DI GARDA</v>
          </cell>
          <cell r="D2080" t="str">
            <v>600D4E71-09AB-DF11-B20E-001F2909E810</v>
          </cell>
          <cell r="E2080">
            <v>192</v>
          </cell>
        </row>
        <row r="2081">
          <cell r="A2081" t="str">
            <v>LONDRINA</v>
          </cell>
          <cell r="C2081" t="str">
            <v>RESIDENCIAL LAGO DI LUCERNA</v>
          </cell>
          <cell r="D2081" t="str">
            <v>A9CB8853-D271-E011-BDCF-001F2909E810</v>
          </cell>
          <cell r="E2081">
            <v>176</v>
          </cell>
        </row>
        <row r="2082">
          <cell r="A2082" t="str">
            <v>LONDRINA</v>
          </cell>
          <cell r="C2082" t="str">
            <v>RESIDENCIAL LAGO DI LUGANO</v>
          </cell>
          <cell r="D2082" t="str">
            <v>BA55661B-748C-E011-BDCF-001F2909E810</v>
          </cell>
          <cell r="E2082">
            <v>192</v>
          </cell>
        </row>
        <row r="2083">
          <cell r="A2083" t="str">
            <v>LONDRINA</v>
          </cell>
          <cell r="C2083" t="str">
            <v>RESIDENCIAL LAGO MAGGIORE</v>
          </cell>
          <cell r="D2083" t="str">
            <v>0896811A-D271-E011-BDCF-001F2909E810</v>
          </cell>
          <cell r="E2083">
            <v>256</v>
          </cell>
        </row>
        <row r="2084">
          <cell r="A2084" t="str">
            <v>LONDRINA</v>
          </cell>
          <cell r="C2084" t="str">
            <v>RESIDENCIAL LAGO MELVILLE</v>
          </cell>
          <cell r="D2084" t="str">
            <v>38575B38-D271-E011-BDCF-001F2909E810</v>
          </cell>
          <cell r="E2084">
            <v>128</v>
          </cell>
        </row>
        <row r="2085">
          <cell r="A2085" t="str">
            <v>GOIÂNIA</v>
          </cell>
          <cell r="C2085" t="str">
            <v>RESIDENCIAL LAMOUNIER</v>
          </cell>
          <cell r="D2085" t="str">
            <v>71D74F70-6568-E911-B8F1-009C02B0CB58</v>
          </cell>
          <cell r="E2085">
            <v>360</v>
          </cell>
        </row>
        <row r="2086">
          <cell r="A2086" t="str">
            <v>LONDRINA</v>
          </cell>
          <cell r="C2086" t="str">
            <v>RESIDENCIAL LANCASTER</v>
          </cell>
          <cell r="D2086" t="str">
            <v>F21B7943-9BC2-DF11-B20E-001F2909E810</v>
          </cell>
          <cell r="E2086">
            <v>0</v>
          </cell>
        </row>
        <row r="2087">
          <cell r="A2087" t="str">
            <v>CAMBÉ</v>
          </cell>
          <cell r="C2087" t="str">
            <v>RESIDENCIAL LANÍN</v>
          </cell>
          <cell r="D2087" t="str">
            <v>7482AF01-2896-E611-ABB6-80C16E075108</v>
          </cell>
          <cell r="E2087">
            <v>400</v>
          </cell>
        </row>
        <row r="2088">
          <cell r="A2088" t="str">
            <v>LONDRINA</v>
          </cell>
          <cell r="C2088" t="str">
            <v>RESIDENCIAL LE CIEL</v>
          </cell>
          <cell r="D2088" t="str">
            <v>C862B7CC-1CB4-EB11-94B3-005056856875</v>
          </cell>
          <cell r="E2088">
            <v>300</v>
          </cell>
        </row>
        <row r="2089">
          <cell r="A2089" t="str">
            <v>SÃO PAULO</v>
          </cell>
          <cell r="C2089" t="str">
            <v>RESIDENCIAL LE MANS</v>
          </cell>
          <cell r="D2089" t="str">
            <v>E58047EF-2683-EB11-AA45-005056856875</v>
          </cell>
          <cell r="E2089">
            <v>432</v>
          </cell>
        </row>
        <row r="2090">
          <cell r="A2090" t="str">
            <v>BAURU</v>
          </cell>
          <cell r="C2090" t="str">
            <v>RESIDENCIAL LEILA</v>
          </cell>
          <cell r="D2090" t="str">
            <v>4DA59890-6E43-E111-9FA8-001F2909E810</v>
          </cell>
          <cell r="E2090">
            <v>48</v>
          </cell>
        </row>
        <row r="2091">
          <cell r="A2091" t="str">
            <v>BELO HORIZONTE</v>
          </cell>
          <cell r="C2091" t="str">
            <v>RESIDENCIAL LETÍCIA</v>
          </cell>
          <cell r="D2091" t="str">
            <v>D62202A8-7F81-E611-ABB6-80C16E075108</v>
          </cell>
          <cell r="E2091">
            <v>0</v>
          </cell>
        </row>
        <row r="2092">
          <cell r="A2092" t="str">
            <v>CONTAGEM</v>
          </cell>
          <cell r="C2092" t="str">
            <v>RESIDENCIAL LIBRA</v>
          </cell>
          <cell r="D2092" t="str">
            <v>F0A47BDB-9363-E411-9DC0-80C16E075108</v>
          </cell>
          <cell r="E2092">
            <v>272</v>
          </cell>
        </row>
        <row r="2093">
          <cell r="A2093" t="str">
            <v>LIMEIRA</v>
          </cell>
          <cell r="C2093" t="str">
            <v>RESIDENCIAL LIVERPOOL</v>
          </cell>
          <cell r="D2093" t="str">
            <v>9E970C10-C4AB-E811-944B-009C02B0CB58</v>
          </cell>
          <cell r="E2093">
            <v>320</v>
          </cell>
        </row>
        <row r="2094">
          <cell r="A2094" t="str">
            <v>BELO HORIZONTE</v>
          </cell>
          <cell r="C2094" t="str">
            <v>RESIDENCIAL LONDRES</v>
          </cell>
          <cell r="D2094" t="str">
            <v>644B54CF-86A5-E411-B5D2-009C02B0CB58</v>
          </cell>
          <cell r="E2094">
            <v>0</v>
          </cell>
        </row>
        <row r="2095">
          <cell r="A2095" t="str">
            <v>BELO HORIZONTE</v>
          </cell>
          <cell r="C2095" t="str">
            <v>RESIDENCIAL LOS ANGELES</v>
          </cell>
          <cell r="D2095" t="str">
            <v>290BF7EB-A085-E611-ABB6-80C16E075108</v>
          </cell>
          <cell r="E2095">
            <v>0</v>
          </cell>
        </row>
        <row r="2096">
          <cell r="A2096" t="str">
            <v>LONDRINA</v>
          </cell>
          <cell r="C2096" t="str">
            <v>RESIDENCIAL LOS CABOS</v>
          </cell>
          <cell r="D2096" t="str">
            <v>B7E27DF1-FEFE-EC11-BA45-005056890018</v>
          </cell>
          <cell r="E2096">
            <v>288</v>
          </cell>
        </row>
        <row r="2097">
          <cell r="A2097" t="str">
            <v>LONDRINA</v>
          </cell>
          <cell r="C2097" t="str">
            <v>RESIDENCIAL LUÍZA</v>
          </cell>
          <cell r="D2097" t="str">
            <v>C544D968-8102-DD11-8284-001B7845B4A6</v>
          </cell>
          <cell r="E2097">
            <v>64</v>
          </cell>
        </row>
        <row r="2098">
          <cell r="A2098" t="str">
            <v>LIMEIRA</v>
          </cell>
          <cell r="C2098" t="str">
            <v>RESIDENCIAL LUZ DO VALE</v>
          </cell>
          <cell r="D2098" t="str">
            <v>65FCE803-600C-EF11-9143-80C16E075108</v>
          </cell>
          <cell r="E2098">
            <v>0</v>
          </cell>
        </row>
        <row r="2099">
          <cell r="A2099" t="str">
            <v>BELO HORIZONTE</v>
          </cell>
          <cell r="C2099" t="str">
            <v>RESIDENCIAL MADRID</v>
          </cell>
          <cell r="D2099" t="str">
            <v>2B9EFBE5-9B85-E611-ABB6-80C16E075108</v>
          </cell>
          <cell r="E2099">
            <v>0</v>
          </cell>
        </row>
        <row r="2100">
          <cell r="A2100" t="str">
            <v>RIO DE JANEIRO</v>
          </cell>
          <cell r="C2100" t="str">
            <v>RESIDENCIAL MAGNÓLIAS</v>
          </cell>
          <cell r="D2100" t="str">
            <v>0B7A9FEB-6472-E911-B1CD-009C02B0CB58</v>
          </cell>
          <cell r="E2100">
            <v>340</v>
          </cell>
        </row>
        <row r="2101">
          <cell r="A2101" t="str">
            <v>MOGI DAS CRUZES</v>
          </cell>
          <cell r="C2101" t="str">
            <v>RESIDENCIAL MANATELLO</v>
          </cell>
          <cell r="D2101" t="str">
            <v>D3D709B8-A7D1-EF11-AB5A-80C16E075108</v>
          </cell>
          <cell r="E2101">
            <v>0</v>
          </cell>
        </row>
        <row r="2102">
          <cell r="A2102" t="str">
            <v>BELO HORIZONTE</v>
          </cell>
          <cell r="C2102" t="str">
            <v>RESIDENCIAL MANCHESTER</v>
          </cell>
          <cell r="D2102" t="str">
            <v>4CB2B141-714E-E611-A62F-80C16E075108</v>
          </cell>
          <cell r="E2102">
            <v>0</v>
          </cell>
        </row>
        <row r="2103">
          <cell r="A2103" t="str">
            <v>MOGI DAS CRUZES</v>
          </cell>
          <cell r="C2103" t="str">
            <v>RESIDENCIAL MANTTOVANI</v>
          </cell>
          <cell r="D2103" t="str">
            <v>E11638BD-D622-E811-9E99-009C02B0CB58</v>
          </cell>
          <cell r="E2103">
            <v>0</v>
          </cell>
        </row>
        <row r="2104">
          <cell r="A2104" t="str">
            <v>SÃO GONÇALO</v>
          </cell>
          <cell r="C2104" t="str">
            <v>RESIDENCIAL MAR DE ANGRA</v>
          </cell>
          <cell r="D2104" t="str">
            <v>DE549D3C-A053-E811-A558-009C02B0CB58</v>
          </cell>
          <cell r="E2104">
            <v>320</v>
          </cell>
        </row>
        <row r="2105">
          <cell r="A2105" t="str">
            <v>SÃO GONÇALO</v>
          </cell>
          <cell r="C2105" t="str">
            <v>RESIDENCIAL MAR DE PARATY</v>
          </cell>
          <cell r="D2105" t="str">
            <v>E464D52B-9F53-E811-A558-009C02B0CB58</v>
          </cell>
          <cell r="E2105">
            <v>504</v>
          </cell>
        </row>
        <row r="2106">
          <cell r="A2106" t="str">
            <v>BELO HORIZONTE</v>
          </cell>
          <cell r="C2106" t="str">
            <v>RESIDENCIAL MAR DEL PLATA</v>
          </cell>
          <cell r="D2106" t="str">
            <v>114A10BF-8481-E611-ABB6-80C16E075108</v>
          </cell>
          <cell r="E2106">
            <v>0</v>
          </cell>
        </row>
        <row r="2107">
          <cell r="A2107" t="str">
            <v>CONTAGEM</v>
          </cell>
          <cell r="C2107" t="str">
            <v>RESIDENCIAL MARAJÓ</v>
          </cell>
          <cell r="D2107" t="str">
            <v>8085AA0F-BB84-DD11-8A4F-001B78B9D994</v>
          </cell>
          <cell r="E2107">
            <v>48</v>
          </cell>
        </row>
        <row r="2108">
          <cell r="A2108" t="str">
            <v>BELO HORIZONTE</v>
          </cell>
          <cell r="C2108" t="str">
            <v>RESIDENCIAL MARATAIZES</v>
          </cell>
          <cell r="D2108" t="str">
            <v>D37F16C3-B5FB-DE11-89FA-001F2909E810</v>
          </cell>
          <cell r="E2108">
            <v>100</v>
          </cell>
        </row>
        <row r="2109">
          <cell r="A2109" t="str">
            <v>RIO DE JANEIRO</v>
          </cell>
          <cell r="C2109" t="str">
            <v>RESIDENCIAL MARAVILHA CARIOCA</v>
          </cell>
          <cell r="D2109" t="str">
            <v>884DFF1D-D294-E811-B96E-009C02B0CB58</v>
          </cell>
          <cell r="E2109">
            <v>180</v>
          </cell>
        </row>
        <row r="2110">
          <cell r="A2110" t="str">
            <v>MARINGÁ</v>
          </cell>
          <cell r="C2110" t="str">
            <v>RESIDENCIAL MARCHETTI</v>
          </cell>
          <cell r="D2110" t="str">
            <v>CB03B0BA-3CC9-E711-B989-80C16E075108</v>
          </cell>
          <cell r="E2110">
            <v>256</v>
          </cell>
        </row>
        <row r="2111">
          <cell r="A2111" t="str">
            <v>MARINGÁ</v>
          </cell>
          <cell r="C2111" t="str">
            <v>RESIDENCIAL MARSANNE</v>
          </cell>
          <cell r="D2111" t="str">
            <v>3CFFD02D-20D5-E711-B989-80C16E075108</v>
          </cell>
          <cell r="E2111">
            <v>96</v>
          </cell>
        </row>
        <row r="2112">
          <cell r="A2112" t="str">
            <v>MARINGÁ</v>
          </cell>
          <cell r="C2112" t="str">
            <v>RESIDENCIAL MARTINELLI</v>
          </cell>
          <cell r="D2112" t="str">
            <v>D8594384-CFBD-E811-A4F5-80C16E075108</v>
          </cell>
          <cell r="E2112">
            <v>304</v>
          </cell>
        </row>
        <row r="2113">
          <cell r="A2113" t="str">
            <v>MACEIÓ</v>
          </cell>
          <cell r="C2113" t="str">
            <v>RESIDENCIAL MATA DAS AROEIRAS</v>
          </cell>
          <cell r="D2113" t="str">
            <v>A7039747-1DB1-EC11-B1AD-005056856875</v>
          </cell>
          <cell r="E2113">
            <v>384</v>
          </cell>
        </row>
        <row r="2114">
          <cell r="A2114" t="str">
            <v>MACEIÓ</v>
          </cell>
          <cell r="C2114" t="str">
            <v>RESIDENCIAL MATA DOS COLIBRIS</v>
          </cell>
          <cell r="D2114" t="str">
            <v>B1D91A0C-CB60-E311-B03C-80C16E075108</v>
          </cell>
          <cell r="E2114">
            <v>192</v>
          </cell>
        </row>
        <row r="2115">
          <cell r="A2115" t="str">
            <v>MACEIÓ</v>
          </cell>
          <cell r="C2115" t="str">
            <v>RESIDENCIAL MATA DOS SABIÁS</v>
          </cell>
          <cell r="D2115" t="str">
            <v>903605D6-6578-E311-B03C-80C16E075108</v>
          </cell>
          <cell r="E2115">
            <v>224</v>
          </cell>
        </row>
        <row r="2116">
          <cell r="A2116" t="str">
            <v>BAURU</v>
          </cell>
          <cell r="C2116" t="str">
            <v>RESIDENCIAL MIRANTE DA AURORA</v>
          </cell>
          <cell r="D2116" t="str">
            <v>2D48C03A-A178-E911-A7AC-80C16E075108</v>
          </cell>
          <cell r="E2116">
            <v>300</v>
          </cell>
        </row>
        <row r="2117">
          <cell r="A2117" t="str">
            <v>ITAQUAQUECETUBA</v>
          </cell>
          <cell r="C2117" t="str">
            <v>RESIDENCIAL MIRANTE DOS PÁSSAROS</v>
          </cell>
          <cell r="D2117" t="str">
            <v>16E5C573-F6B1-E811-944D-009C02B0CB58</v>
          </cell>
          <cell r="E2117">
            <v>140</v>
          </cell>
        </row>
        <row r="2118">
          <cell r="A2118" t="str">
            <v>BAURU</v>
          </cell>
          <cell r="C2118" t="str">
            <v>RESIDENCIAL MISTRAL</v>
          </cell>
          <cell r="D2118" t="str">
            <v>DB63B02F-AF32-ED11-BA45-005056890018</v>
          </cell>
          <cell r="E2118">
            <v>0</v>
          </cell>
        </row>
        <row r="2119">
          <cell r="A2119" t="str">
            <v>BELO HORIZONTE</v>
          </cell>
          <cell r="C2119" t="str">
            <v>RESIDENCIAL MÔNACO</v>
          </cell>
          <cell r="D2119" t="str">
            <v>6B78883B-A513-E211-94E9-001B78B9D994</v>
          </cell>
          <cell r="E2119">
            <v>0</v>
          </cell>
        </row>
        <row r="2120">
          <cell r="A2120" t="str">
            <v>MARINGÁ</v>
          </cell>
          <cell r="C2120" t="str">
            <v>RESIDENCIAL MONTALBÁN</v>
          </cell>
          <cell r="D2120" t="str">
            <v>DE5944D9-4E55-E811-A558-009C02B0CB58</v>
          </cell>
          <cell r="E2120">
            <v>128</v>
          </cell>
        </row>
        <row r="2121">
          <cell r="A2121" t="str">
            <v>SÃO CARLOS</v>
          </cell>
          <cell r="C2121" t="str">
            <v>RESIDENCIAL MONTE BERLIM</v>
          </cell>
          <cell r="D2121" t="str">
            <v>967BB0B0-4D4C-E711-8CD7-009C02B0CB58</v>
          </cell>
          <cell r="E2121">
            <v>320</v>
          </cell>
        </row>
        <row r="2122">
          <cell r="A2122" t="str">
            <v>BELO HORIZONTE</v>
          </cell>
          <cell r="C2122" t="str">
            <v>RESIDENCIAL MONTE CARLO</v>
          </cell>
          <cell r="D2122" t="str">
            <v>4A76BC76-08A6-E311-B03C-80C16E075108</v>
          </cell>
          <cell r="E2122">
            <v>1</v>
          </cell>
        </row>
        <row r="2123">
          <cell r="A2123" t="str">
            <v>SÃO CARLOS</v>
          </cell>
          <cell r="C2123" t="str">
            <v>RESIDENCIAL MONTE DAS AROEIRAS</v>
          </cell>
          <cell r="D2123" t="str">
            <v>96205F65-B249-EA11-BA0A-0050568AA20F</v>
          </cell>
          <cell r="E2123">
            <v>256</v>
          </cell>
        </row>
        <row r="2124">
          <cell r="A2124" t="str">
            <v>SÃO CARLOS</v>
          </cell>
          <cell r="C2124" t="str">
            <v>RESIDENCIAL MONTE DAS CASTANHEIRAS</v>
          </cell>
          <cell r="D2124" t="str">
            <v>2EA45FFC-B249-EA11-BA0A-0050568AA20F</v>
          </cell>
          <cell r="E2124">
            <v>304</v>
          </cell>
        </row>
        <row r="2125">
          <cell r="A2125" t="str">
            <v>SÃO CARLOS</v>
          </cell>
          <cell r="C2125" t="str">
            <v>RESIDENCIAL MONTE DAS OLIVEIRAS</v>
          </cell>
          <cell r="D2125" t="str">
            <v>E0498EC5-B349-EA11-BA0A-0050568AA20F</v>
          </cell>
          <cell r="E2125">
            <v>216</v>
          </cell>
        </row>
        <row r="2126">
          <cell r="A2126" t="str">
            <v>SÃO CARLOS</v>
          </cell>
          <cell r="C2126" t="str">
            <v>RESIDENCIAL MONTE DOS IPÊS</v>
          </cell>
          <cell r="D2126" t="str">
            <v>39C74231-B449-EA11-BA0A-0050568AA20F</v>
          </cell>
          <cell r="E2126">
            <v>272</v>
          </cell>
        </row>
        <row r="2127">
          <cell r="A2127" t="str">
            <v>FRANCA</v>
          </cell>
          <cell r="C2127" t="str">
            <v>RESIDENCIAL MONTE PARNASO</v>
          </cell>
          <cell r="D2127" t="str">
            <v>0CF0289F-C4FE-DD11-B30A-001B78B9D994</v>
          </cell>
          <cell r="E2127">
            <v>64</v>
          </cell>
        </row>
        <row r="2128">
          <cell r="A2128" t="str">
            <v>VESPASIANO</v>
          </cell>
          <cell r="C2128" t="str">
            <v>RESIDENCIAL MONTE VERDE</v>
          </cell>
          <cell r="D2128" t="str">
            <v>CECFE4CC-F6F9-E211-83E6-80C16E075108</v>
          </cell>
          <cell r="E2128">
            <v>144</v>
          </cell>
        </row>
        <row r="2129">
          <cell r="A2129" t="str">
            <v>BELO HORIZONTE</v>
          </cell>
          <cell r="C2129" t="str">
            <v>RESIDENCIAL MONTEARAGON</v>
          </cell>
          <cell r="D2129" t="str">
            <v>235BC65B-C3E7-DC11-ABD0-001B7845B4A6</v>
          </cell>
          <cell r="E2129">
            <v>114</v>
          </cell>
        </row>
        <row r="2130">
          <cell r="A2130" t="str">
            <v>BELO HORIZONTE</v>
          </cell>
          <cell r="C2130" t="str">
            <v>RESIDENCIAL MONTJARDIM</v>
          </cell>
          <cell r="D2130" t="str">
            <v>486A4A26-C3E7-DC11-ABD0-001B7845B4A6</v>
          </cell>
          <cell r="E2130">
            <v>238</v>
          </cell>
        </row>
        <row r="2131">
          <cell r="A2131" t="str">
            <v>SÃO JOSÉ DO RIO PRETO</v>
          </cell>
          <cell r="C2131" t="str">
            <v>RESIDENCIAL MONTREAL</v>
          </cell>
          <cell r="D2131" t="str">
            <v>DC309FA1-7F5E-EC11-B501-005056856B6C</v>
          </cell>
          <cell r="E2131">
            <v>424</v>
          </cell>
        </row>
        <row r="2132">
          <cell r="A2132" t="str">
            <v>SÃO PAULO</v>
          </cell>
          <cell r="C2132" t="str">
            <v>RESIDENCIAL MONZA</v>
          </cell>
          <cell r="D2132" t="str">
            <v>ADFF2C05-2AE9-EA11-BEEB-005056856875</v>
          </cell>
          <cell r="E2132">
            <v>432</v>
          </cell>
        </row>
        <row r="2133">
          <cell r="A2133" t="str">
            <v>MAUÁ</v>
          </cell>
          <cell r="C2133" t="str">
            <v>RESIDENCIAL MORADA NOVA</v>
          </cell>
          <cell r="D2133" t="str">
            <v>46837E35-46B0-E711-8E92-009C02B0CB58</v>
          </cell>
          <cell r="E2133">
            <v>864</v>
          </cell>
        </row>
        <row r="2134">
          <cell r="A2134" t="str">
            <v>SETE LAGOAS</v>
          </cell>
          <cell r="C2134" t="str">
            <v>RESIDENCIAL MORADAS DO VALE</v>
          </cell>
          <cell r="D2134" t="str">
            <v>CFDA6F8E-DE18-E411-8EFB-009C02B0CB58</v>
          </cell>
          <cell r="E2134">
            <v>174</v>
          </cell>
        </row>
        <row r="2135">
          <cell r="A2135" t="str">
            <v>MOGI DAS CRUZES</v>
          </cell>
          <cell r="C2135" t="str">
            <v>RESIDENCIAL MORELLO</v>
          </cell>
          <cell r="D2135" t="str">
            <v>7E3AFC72-FCA7-EF11-AAAE-005056856875</v>
          </cell>
          <cell r="E2135">
            <v>0</v>
          </cell>
        </row>
        <row r="2136">
          <cell r="A2136" t="str">
            <v>MARINGÁ</v>
          </cell>
          <cell r="C2136" t="str">
            <v>RESIDENCIAL MOZART</v>
          </cell>
          <cell r="D2136" t="str">
            <v>E9999A3F-4BA8-DE11-8D16-001F2909E810</v>
          </cell>
          <cell r="E2136">
            <v>4</v>
          </cell>
        </row>
        <row r="2137">
          <cell r="A2137" t="str">
            <v>RIO DE JANEIRO</v>
          </cell>
          <cell r="C2137" t="str">
            <v>RESIDENCIAL MUNIQUE</v>
          </cell>
          <cell r="D2137" t="str">
            <v>08EBD7CC-7A80-E911-A828-005056856875</v>
          </cell>
          <cell r="E2137">
            <v>440</v>
          </cell>
        </row>
        <row r="2138">
          <cell r="A2138" t="str">
            <v>SÃO PAULO</v>
          </cell>
          <cell r="C2138" t="str">
            <v>RESIDENCIAL NASCENTE DAS BORBOLETAS</v>
          </cell>
          <cell r="D2138" t="str">
            <v>76D4AF64-5B62-EB11-AA45-005056856875</v>
          </cell>
          <cell r="E2138">
            <v>80</v>
          </cell>
        </row>
        <row r="2139">
          <cell r="A2139" t="str">
            <v>SÃO PAULO</v>
          </cell>
          <cell r="C2139" t="str">
            <v>RESIDENCIAL NASCENTE DAS ESMERALDAS</v>
          </cell>
          <cell r="D2139" t="str">
            <v>E3A2AF46-5F62-EB11-AA45-005056856875</v>
          </cell>
          <cell r="E2139">
            <v>320</v>
          </cell>
        </row>
        <row r="2140">
          <cell r="A2140" t="str">
            <v>SÃO PAULO</v>
          </cell>
          <cell r="C2140" t="str">
            <v>RESIDENCIAL NASCENTE DAS FIGUEIRAS</v>
          </cell>
          <cell r="D2140" t="str">
            <v>24D82D8E-6462-EB11-AA45-005056856875</v>
          </cell>
          <cell r="E2140">
            <v>360</v>
          </cell>
        </row>
        <row r="2141">
          <cell r="A2141" t="str">
            <v>SÃO PAULO</v>
          </cell>
          <cell r="C2141" t="str">
            <v>RESIDENCIAL NASCENTE DAS PAINEIRAS</v>
          </cell>
          <cell r="D2141" t="str">
            <v>2BF8669E-6062-EB11-AA45-005056856875</v>
          </cell>
          <cell r="E2141">
            <v>320</v>
          </cell>
        </row>
        <row r="2142">
          <cell r="A2142" t="str">
            <v>SÃO PAULO</v>
          </cell>
          <cell r="C2142" t="str">
            <v>RESIDENCIAL NASCENTE DOS JACARANDÁS</v>
          </cell>
          <cell r="D2142" t="str">
            <v>C390DBAA-6E62-EB11-AA45-005056856875</v>
          </cell>
          <cell r="E2142">
            <v>264</v>
          </cell>
        </row>
        <row r="2143">
          <cell r="A2143" t="str">
            <v>MACEIÓ</v>
          </cell>
          <cell r="C2143" t="str">
            <v>RESIDENCIAL NICE</v>
          </cell>
          <cell r="D2143" t="str">
            <v>41247C65-CC1D-EA11-BA0A-0050568AA20F</v>
          </cell>
          <cell r="E2143">
            <v>352</v>
          </cell>
        </row>
        <row r="2144">
          <cell r="A2144" t="str">
            <v>BELO HORIZONTE</v>
          </cell>
          <cell r="C2144" t="str">
            <v>RESIDENCIAL NORMANDIA</v>
          </cell>
          <cell r="D2144" t="str">
            <v>B0D39884-3D8A-DD11-8A4F-001B78B9D994</v>
          </cell>
          <cell r="E2144">
            <v>10</v>
          </cell>
        </row>
        <row r="2145">
          <cell r="A2145" t="str">
            <v>CAMPINAS</v>
          </cell>
          <cell r="C2145" t="str">
            <v>RESIDENCIAL OLGA</v>
          </cell>
          <cell r="D2145" t="str">
            <v>9037D370-65C2-DF11-B20E-001F2909E810</v>
          </cell>
          <cell r="E2145">
            <v>9</v>
          </cell>
        </row>
        <row r="2146">
          <cell r="A2146" t="str">
            <v>CAMPINAS</v>
          </cell>
          <cell r="C2146" t="str">
            <v>RESIDENCIAL OLINDA</v>
          </cell>
          <cell r="D2146" t="str">
            <v>9A0B1788-E034-E311-9AA3-009C02B0CB58</v>
          </cell>
          <cell r="E2146">
            <v>1</v>
          </cell>
        </row>
        <row r="2147">
          <cell r="A2147" t="str">
            <v>RIO DE JANEIRO</v>
          </cell>
          <cell r="C2147" t="str">
            <v>RESIDENCIAL OLIVEIRAS</v>
          </cell>
          <cell r="D2147" t="str">
            <v>F70CB559-6572-E911-B1CD-009C02B0CB58</v>
          </cell>
          <cell r="E2147">
            <v>340</v>
          </cell>
        </row>
        <row r="2148">
          <cell r="A2148" t="str">
            <v>BELO HORIZONTE</v>
          </cell>
          <cell r="C2148" t="str">
            <v>RESIDENCIAL ORLEANS</v>
          </cell>
          <cell r="D2148" t="str">
            <v>33C46DE9-538B-E211-8F8C-009C02B0CB58</v>
          </cell>
          <cell r="E2148">
            <v>0</v>
          </cell>
        </row>
        <row r="2149">
          <cell r="A2149" t="str">
            <v>PALHOÇA</v>
          </cell>
          <cell r="C2149" t="str">
            <v>RESIDENCIAL ORQUÍDEAS</v>
          </cell>
          <cell r="D2149" t="str">
            <v>91ACAC7D-37E8-E311-8EFB-009C02B0CB58</v>
          </cell>
          <cell r="E2149">
            <v>340</v>
          </cell>
        </row>
        <row r="2150">
          <cell r="A2150" t="str">
            <v>RIO DE JANEIRO</v>
          </cell>
          <cell r="C2150" t="str">
            <v>RESIDENCIAL OSLO</v>
          </cell>
          <cell r="D2150" t="str">
            <v>BBA90D4D-3710-E511-A3A7-80C16E075108</v>
          </cell>
          <cell r="E2150">
            <v>320</v>
          </cell>
        </row>
        <row r="2151">
          <cell r="A2151" t="str">
            <v>BELO HORIZONTE</v>
          </cell>
          <cell r="C2151" t="str">
            <v>RESIDENCIAL PANAMÁ</v>
          </cell>
          <cell r="D2151" t="str">
            <v>FFA51E2A-3D86-E611-ABB6-80C16E075108</v>
          </cell>
          <cell r="E2151">
            <v>0</v>
          </cell>
        </row>
        <row r="2152">
          <cell r="A2152" t="str">
            <v>PIRACICABA</v>
          </cell>
          <cell r="C2152" t="str">
            <v>RESIDENCIAL PAOLA</v>
          </cell>
          <cell r="D2152" t="str">
            <v>92C90AAC-00C1-DF11-B20E-001F2909E810</v>
          </cell>
          <cell r="E2152">
            <v>8</v>
          </cell>
        </row>
        <row r="2153">
          <cell r="A2153" t="str">
            <v>BELO HORIZONTE</v>
          </cell>
          <cell r="C2153" t="str">
            <v>RESIDENCIAL PARATI</v>
          </cell>
          <cell r="D2153" t="str">
            <v>C2DBCE96-4486-E611-ABB6-80C16E075108</v>
          </cell>
          <cell r="E2153">
            <v>0</v>
          </cell>
        </row>
        <row r="2154">
          <cell r="A2154" t="str">
            <v>SÃO GONÇALO</v>
          </cell>
          <cell r="C2154" t="str">
            <v>RESIDENCIAL PARQUE DAS GAIVOTAS</v>
          </cell>
          <cell r="D2154" t="str">
            <v>892D65D3-B862-DF11-9F9A-001F2909E810</v>
          </cell>
          <cell r="E2154">
            <v>1</v>
          </cell>
        </row>
        <row r="2155">
          <cell r="A2155" t="str">
            <v>BELO HORIZONTE</v>
          </cell>
          <cell r="C2155" t="str">
            <v>RESIDENCIAL PARQUE DOS BANDEIRANTES</v>
          </cell>
          <cell r="D2155" t="str">
            <v>32A3032A-00E5-DE11-89FA-001F2909E810</v>
          </cell>
          <cell r="E2155">
            <v>10</v>
          </cell>
        </row>
        <row r="2156">
          <cell r="A2156" t="str">
            <v>SÃO GONÇALO</v>
          </cell>
          <cell r="C2156" t="str">
            <v>RESIDENCIAL PARQUE DOS BEM TI VIS</v>
          </cell>
          <cell r="D2156" t="str">
            <v>12D17A7C-B862-DF11-9F9A-001F2909E810</v>
          </cell>
          <cell r="E2156">
            <v>1</v>
          </cell>
        </row>
        <row r="2157">
          <cell r="A2157" t="str">
            <v>SÃO GONÇALO</v>
          </cell>
          <cell r="C2157" t="str">
            <v>RESIDENCIAL PARQUE DOS SABIÁS</v>
          </cell>
          <cell r="D2157" t="str">
            <v>A46E7914-3B63-DF11-9F9A-001F2909E810</v>
          </cell>
          <cell r="E2157">
            <v>1</v>
          </cell>
        </row>
        <row r="2158">
          <cell r="A2158" t="str">
            <v>UBERABA</v>
          </cell>
          <cell r="C2158" t="str">
            <v>RESIDENCIAL PARQUE UMUARAMA</v>
          </cell>
          <cell r="D2158" t="str">
            <v>247B6374-A3EC-DD11-998E-001B78B9D994</v>
          </cell>
          <cell r="E2158">
            <v>48</v>
          </cell>
        </row>
        <row r="2159">
          <cell r="A2159" t="str">
            <v>VESPASIANO</v>
          </cell>
          <cell r="C2159" t="str">
            <v>RESIDENCIAL PARQUE VERDE</v>
          </cell>
          <cell r="D2159" t="str">
            <v>E12BA724-93E8-E211-83E6-80C16E075108</v>
          </cell>
          <cell r="E2159">
            <v>144</v>
          </cell>
        </row>
        <row r="2160">
          <cell r="A2160" t="str">
            <v>VITÓRIA DA CONQUISTA</v>
          </cell>
          <cell r="C2160" t="str">
            <v>RESIDENCIAL PARQUE VITÓRIA BOA VISTA</v>
          </cell>
          <cell r="D2160" t="str">
            <v>578892CE-9A2D-E611-A5BB-009C02B0CB58</v>
          </cell>
          <cell r="E2160">
            <v>400</v>
          </cell>
        </row>
        <row r="2161">
          <cell r="A2161" t="str">
            <v>VESPASIANO</v>
          </cell>
          <cell r="C2161" t="str">
            <v>RESIDENCIAL PÁSSARO VERDE</v>
          </cell>
          <cell r="D2161" t="str">
            <v>A1CEDC23-F7F9-E211-83E6-80C16E075108</v>
          </cell>
          <cell r="E2161">
            <v>160</v>
          </cell>
        </row>
        <row r="2162">
          <cell r="A2162" t="str">
            <v>PAULISTA</v>
          </cell>
          <cell r="C2162" t="str">
            <v>RESIDENCIAL PAULISTA</v>
          </cell>
          <cell r="D2162" t="str">
            <v>2A005EA5-1479-E711-91B2-80C16E075108</v>
          </cell>
          <cell r="E2162">
            <v>464</v>
          </cell>
        </row>
        <row r="2163">
          <cell r="A2163" t="str">
            <v>ITABORAÍ</v>
          </cell>
          <cell r="C2163" t="str">
            <v>RESIDENCIAL PEDRA BELA</v>
          </cell>
          <cell r="D2163" t="str">
            <v>7786E21B-B172-E511-A9EE-009C02B0CB58</v>
          </cell>
          <cell r="E2163">
            <v>319</v>
          </cell>
        </row>
        <row r="2164">
          <cell r="A2164" t="str">
            <v>ITABORAÍ</v>
          </cell>
          <cell r="C2164" t="str">
            <v>RESIDENCIAL PEDRA IMPERIAL</v>
          </cell>
          <cell r="D2164" t="str">
            <v>7CC507F1-9EF3-E611-ABB6-80C16E075108</v>
          </cell>
          <cell r="E2164">
            <v>351</v>
          </cell>
        </row>
        <row r="2165">
          <cell r="A2165" t="str">
            <v>ITABORAÍ</v>
          </cell>
          <cell r="C2165" t="str">
            <v>RESIDENCIAL PEDRA REAL</v>
          </cell>
          <cell r="D2165" t="str">
            <v>16CA34E9-B072-E511-A9EE-009C02B0CB58</v>
          </cell>
          <cell r="E2165">
            <v>223</v>
          </cell>
        </row>
        <row r="2166">
          <cell r="A2166" t="str">
            <v>PIRACICABA</v>
          </cell>
          <cell r="C2166" t="str">
            <v>RESIDENCIAL PIAZZA PLATINA</v>
          </cell>
          <cell r="D2166" t="str">
            <v>8301969D-C4A2-E611-ABB6-80C16E075108</v>
          </cell>
          <cell r="E2166">
            <v>420</v>
          </cell>
        </row>
        <row r="2167">
          <cell r="A2167" t="str">
            <v>PIRACICABA</v>
          </cell>
          <cell r="C2167" t="str">
            <v>RESIDENCIAL PIAZZA VENETO</v>
          </cell>
          <cell r="D2167" t="str">
            <v>62F047ED-11A7-E911-A878-0050568AA20F</v>
          </cell>
          <cell r="E2167">
            <v>400</v>
          </cell>
        </row>
        <row r="2168">
          <cell r="A2168" t="str">
            <v>RIBEIRÃO PRETO</v>
          </cell>
          <cell r="C2168" t="str">
            <v>RESIDENCIAL PLATINA</v>
          </cell>
          <cell r="D2168" t="str">
            <v>74686596-3795-E611-ABB6-80C16E075108</v>
          </cell>
          <cell r="E2168">
            <v>500</v>
          </cell>
        </row>
        <row r="2169">
          <cell r="A2169" t="str">
            <v>BELO HORIZONTE</v>
          </cell>
          <cell r="C2169" t="str">
            <v>RESIDENCIAL PLAZA MAYOR</v>
          </cell>
          <cell r="D2169" t="str">
            <v>2FBA94D3-E5E6-DC11-ABD0-001B7845B4A6</v>
          </cell>
          <cell r="E2169">
            <v>780</v>
          </cell>
        </row>
        <row r="2170">
          <cell r="A2170" t="str">
            <v>SÃO PAULO</v>
          </cell>
          <cell r="C2170" t="str">
            <v>RESIDENCIAL POENTE DO MANDACARÚ</v>
          </cell>
          <cell r="D2170" t="str">
            <v>A4BD79F7-6C62-EB11-AA45-005056856875</v>
          </cell>
          <cell r="E2170">
            <v>320</v>
          </cell>
        </row>
        <row r="2171">
          <cell r="A2171" t="str">
            <v>BELO HORIZONTE</v>
          </cell>
          <cell r="C2171" t="str">
            <v>RESIDENCIAL POLINÉSIA</v>
          </cell>
          <cell r="D2171" t="str">
            <v>5573519A-AD89-DD11-8A4F-001B78B9D994</v>
          </cell>
          <cell r="E2171">
            <v>114</v>
          </cell>
        </row>
        <row r="2172">
          <cell r="A2172" t="str">
            <v>PONTA GROSSA</v>
          </cell>
          <cell r="C2172" t="str">
            <v>RESIDENCIAL PONTAL DA SERRA</v>
          </cell>
          <cell r="D2172" t="str">
            <v>A7F42B2F-6CA7-E711-8E92-009C02B0CB58</v>
          </cell>
          <cell r="E2172">
            <v>336</v>
          </cell>
        </row>
        <row r="2173">
          <cell r="A2173" t="str">
            <v>RIO DE JANEIRO</v>
          </cell>
          <cell r="C2173" t="str">
            <v>RESIDENCIAL PORTLAND</v>
          </cell>
          <cell r="D2173" t="str">
            <v>F3A894D0-3710-E511-A3A7-80C16E075108</v>
          </cell>
          <cell r="E2173">
            <v>460</v>
          </cell>
        </row>
        <row r="2174">
          <cell r="A2174" t="str">
            <v>BELO HORIZONTE</v>
          </cell>
          <cell r="C2174" t="str">
            <v>RESIDENCIAL PORTO</v>
          </cell>
          <cell r="D2174" t="str">
            <v>3B9B8238-E83C-DF11-9F9A-001F2909E810</v>
          </cell>
          <cell r="E2174">
            <v>0</v>
          </cell>
        </row>
        <row r="2175">
          <cell r="A2175" t="str">
            <v>GRAVATAÍ</v>
          </cell>
          <cell r="C2175" t="str">
            <v>RESIDENCIAL PORTO AMALFI</v>
          </cell>
          <cell r="D2175" t="str">
            <v>7C5D4A4D-00A7-E811-944B-009C02B0CB58</v>
          </cell>
          <cell r="E2175">
            <v>420</v>
          </cell>
        </row>
        <row r="2176">
          <cell r="A2176" t="str">
            <v>PORTO ALEGRE</v>
          </cell>
          <cell r="C2176" t="str">
            <v>RESIDENCIAL PORTO ATACAMA</v>
          </cell>
          <cell r="D2176" t="str">
            <v>253663BF-3D62-EB11-AA45-005056856875</v>
          </cell>
          <cell r="E2176">
            <v>0</v>
          </cell>
        </row>
        <row r="2177">
          <cell r="A2177" t="str">
            <v>NOVO HAMBURGO</v>
          </cell>
          <cell r="C2177" t="str">
            <v>RESIDENCIAL PORTO BADEN</v>
          </cell>
          <cell r="D2177" t="str">
            <v>D73CF8DE-44AD-E811-944B-009C02B0CB58</v>
          </cell>
          <cell r="E2177">
            <v>300</v>
          </cell>
        </row>
        <row r="2178">
          <cell r="A2178" t="str">
            <v>PORTO ALEGRE</v>
          </cell>
          <cell r="C2178" t="str">
            <v>RESIDENCIAL PORTO DAS ANDORINHAS</v>
          </cell>
          <cell r="D2178" t="str">
            <v>5065A059-45E7-E711-B989-80C16E075108</v>
          </cell>
          <cell r="E2178">
            <v>140</v>
          </cell>
        </row>
        <row r="2179">
          <cell r="A2179" t="str">
            <v>PORTO ALEGRE</v>
          </cell>
          <cell r="C2179" t="str">
            <v>RESIDENCIAL PORTO DOM FELICIANO</v>
          </cell>
          <cell r="D2179" t="str">
            <v>2A3748C0-3FC3-E811-944D-009C02B0CB58</v>
          </cell>
          <cell r="E2179">
            <v>180</v>
          </cell>
        </row>
        <row r="2180">
          <cell r="A2180" t="str">
            <v>PORTO ALEGRE</v>
          </cell>
          <cell r="C2180" t="str">
            <v>RESIDENCIAL PORTO DOS CANÁRIOS</v>
          </cell>
          <cell r="D2180" t="str">
            <v>452F12AA-33E7-E711-B989-80C16E075108</v>
          </cell>
          <cell r="E2180">
            <v>340</v>
          </cell>
        </row>
        <row r="2181">
          <cell r="A2181" t="str">
            <v>CAXIAS DO SUL</v>
          </cell>
          <cell r="C2181" t="str">
            <v>RESIDENCIAL PORTO DOS VINHEDOS</v>
          </cell>
          <cell r="D2181" t="str">
            <v>12C7D21C-F929-E711-B3B8-009C02B0CB58</v>
          </cell>
          <cell r="E2181">
            <v>416</v>
          </cell>
        </row>
        <row r="2182">
          <cell r="A2182" t="str">
            <v>SÃO LEOPOLDO</v>
          </cell>
          <cell r="C2182" t="str">
            <v>RESIDENCIAL PORTO FRANKFURT</v>
          </cell>
          <cell r="D2182" t="str">
            <v>02CEDBF7-94B2-E711-A541-009C02B0CB58</v>
          </cell>
          <cell r="E2182">
            <v>300</v>
          </cell>
        </row>
        <row r="2183">
          <cell r="A2183" t="str">
            <v>VIAMÃO</v>
          </cell>
          <cell r="C2183" t="str">
            <v>RESIDENCIAL PORTO ITAPUÃ</v>
          </cell>
          <cell r="D2183" t="str">
            <v>F0128B17-EDD5-E711-B989-80C16E075108</v>
          </cell>
          <cell r="E2183">
            <v>752</v>
          </cell>
        </row>
        <row r="2184">
          <cell r="A2184" t="str">
            <v>CANOAS</v>
          </cell>
          <cell r="C2184" t="str">
            <v>RESIDENCIAL PORTO LISBOA</v>
          </cell>
          <cell r="D2184" t="str">
            <v>8AFA61EB-875C-EA11-B686-005056856875</v>
          </cell>
          <cell r="E2184">
            <v>200</v>
          </cell>
        </row>
        <row r="2185">
          <cell r="A2185" t="str">
            <v>PORTO ALEGRE</v>
          </cell>
          <cell r="C2185" t="str">
            <v>RESIDENCIAL PORTO LOS ANDES</v>
          </cell>
          <cell r="D2185" t="str">
            <v>E8E29750-CACB-E711-B989-80C16E075108</v>
          </cell>
          <cell r="E2185">
            <v>192</v>
          </cell>
        </row>
        <row r="2186">
          <cell r="A2186" t="str">
            <v>CANOAS</v>
          </cell>
          <cell r="C2186" t="str">
            <v>RESIDENCIAL PORTO SAN DIEGO</v>
          </cell>
          <cell r="D2186" t="str">
            <v>DB60C11C-A00D-E811-B989-80C16E075108</v>
          </cell>
          <cell r="E2186">
            <v>320</v>
          </cell>
        </row>
        <row r="2187">
          <cell r="A2187" t="str">
            <v>PORTO ALEGRE</v>
          </cell>
          <cell r="C2187" t="str">
            <v>RESIDENCIAL PORTO SANTIAGO</v>
          </cell>
          <cell r="D2187" t="str">
            <v>662B093D-7AA8-E711-91B2-80C16E075108</v>
          </cell>
          <cell r="E2187">
            <v>288</v>
          </cell>
        </row>
        <row r="2188">
          <cell r="A2188" t="str">
            <v>PORTO ALEGRE</v>
          </cell>
          <cell r="C2188" t="str">
            <v>RESIDENCIAL PORTO SÃO GABRIEL</v>
          </cell>
          <cell r="D2188" t="str">
            <v>B7CA03F3-E2FD-E611-B3B7-009C02B0CB58</v>
          </cell>
          <cell r="E2188">
            <v>575</v>
          </cell>
        </row>
        <row r="2189">
          <cell r="A2189" t="str">
            <v>NATAL</v>
          </cell>
          <cell r="C2189" t="str">
            <v>RESIDENCIAL POTENGI</v>
          </cell>
          <cell r="D2189" t="str">
            <v>DB34602B-4E4E-EE11-8ACD-80C16E075108</v>
          </cell>
          <cell r="E2189">
            <v>320</v>
          </cell>
        </row>
        <row r="2190">
          <cell r="A2190" t="str">
            <v>NATAL</v>
          </cell>
          <cell r="C2190" t="str">
            <v>RESIDENCIAL PRAIA DE GENIPABU</v>
          </cell>
          <cell r="D2190" t="str">
            <v>82989BDB-D3DF-E911-A6A0-005056856875</v>
          </cell>
          <cell r="E2190">
            <v>0</v>
          </cell>
        </row>
        <row r="2191">
          <cell r="A2191" t="str">
            <v>NATAL</v>
          </cell>
          <cell r="C2191" t="str">
            <v>RESIDENCIAL PRAIA DE JACUMÃ</v>
          </cell>
          <cell r="D2191" t="str">
            <v>5F448C1B-D4DF-E911-A6A0-005056856875</v>
          </cell>
          <cell r="E2191">
            <v>0</v>
          </cell>
        </row>
        <row r="2192">
          <cell r="A2192" t="str">
            <v>NATAL</v>
          </cell>
          <cell r="C2192" t="str">
            <v>RESIDENCIAL PRAIA DE MURIÚ</v>
          </cell>
          <cell r="D2192" t="str">
            <v>4011BF97-D2DF-E911-A6A0-005056856875</v>
          </cell>
          <cell r="E2192">
            <v>0</v>
          </cell>
        </row>
        <row r="2193">
          <cell r="A2193" t="str">
            <v>NATAL</v>
          </cell>
          <cell r="C2193" t="str">
            <v>RESIDENCIAL PRAIA DE PIRANGI</v>
          </cell>
          <cell r="D2193" t="str">
            <v>9238195A-D4DF-E911-A6A0-005056856875</v>
          </cell>
          <cell r="E2193">
            <v>0</v>
          </cell>
        </row>
        <row r="2194">
          <cell r="A2194" t="str">
            <v>NATAL</v>
          </cell>
          <cell r="C2194" t="str">
            <v>RESIDENCIAL PRAIA DE PITANGUI</v>
          </cell>
          <cell r="D2194" t="str">
            <v>C112B67E-D3DF-E911-A6A0-005056856875</v>
          </cell>
          <cell r="E2194">
            <v>0</v>
          </cell>
        </row>
        <row r="2195">
          <cell r="A2195" t="str">
            <v>RIBEIRÃO PRETO</v>
          </cell>
          <cell r="C2195" t="str">
            <v>RESIDENCIAL PRATA</v>
          </cell>
          <cell r="D2195" t="str">
            <v>52D74B22-3895-E611-ABB6-80C16E075108</v>
          </cell>
          <cell r="E2195">
            <v>336</v>
          </cell>
        </row>
        <row r="2196">
          <cell r="A2196" t="str">
            <v>PINDAMONHANGABA</v>
          </cell>
          <cell r="C2196" t="str">
            <v>RESIDENCIAL PRINCESA CECÍLIA</v>
          </cell>
          <cell r="D2196" t="str">
            <v>4CB43EAE-0ED1-E711-B989-80C16E075108</v>
          </cell>
          <cell r="E2196">
            <v>384</v>
          </cell>
        </row>
        <row r="2197">
          <cell r="A2197" t="str">
            <v>PINDAMONHANGABA</v>
          </cell>
          <cell r="C2197" t="str">
            <v>RESIDENCIAL PRINCESA DIANA</v>
          </cell>
          <cell r="D2197" t="str">
            <v>7BD7565A-11D1-E711-B989-80C16E075108</v>
          </cell>
          <cell r="E2197">
            <v>240</v>
          </cell>
        </row>
        <row r="2198">
          <cell r="A2198" t="str">
            <v>PRESIDENTE PRUDENTE</v>
          </cell>
          <cell r="C2198" t="str">
            <v>RESIDENCIAL PRÍNCIPE DA NORUEGA</v>
          </cell>
          <cell r="D2198" t="str">
            <v>AA91D29D-38A1-EB11-94B3-005056856875</v>
          </cell>
          <cell r="E2198">
            <v>416</v>
          </cell>
        </row>
        <row r="2199">
          <cell r="A2199" t="str">
            <v>PRESIDENTE PRUDENTE</v>
          </cell>
          <cell r="C2199" t="str">
            <v>RESIDENCIAL PRÍNCIPE DE MALTA</v>
          </cell>
          <cell r="D2199" t="str">
            <v>FB7F8E56-FF26-E811-BCAC-80C16E075108</v>
          </cell>
          <cell r="E2199">
            <v>192</v>
          </cell>
        </row>
        <row r="2200">
          <cell r="A2200" t="str">
            <v>PIRACICABA</v>
          </cell>
          <cell r="C2200" t="str">
            <v>RESIDENCIAL PRISCILA</v>
          </cell>
          <cell r="D2200" t="str">
            <v>8B8E8153-00C1-DF11-B20E-001F2909E810</v>
          </cell>
          <cell r="E2200">
            <v>9</v>
          </cell>
        </row>
        <row r="2201">
          <cell r="A2201" t="str">
            <v>BELO HORIZONTE</v>
          </cell>
          <cell r="C2201" t="str">
            <v>RESIDENCIAL QUEBEC</v>
          </cell>
          <cell r="D2201" t="str">
            <v>64B8A21D-9F85-E611-ABB6-80C16E075108</v>
          </cell>
          <cell r="E2201">
            <v>0</v>
          </cell>
        </row>
        <row r="2202">
          <cell r="A2202" t="str">
            <v>AMERICANA</v>
          </cell>
          <cell r="C2202" t="str">
            <v>RESIDENCIAL RAFAELA</v>
          </cell>
          <cell r="D2202" t="str">
            <v>3A2B58B8-25A9-E211-8F8C-009C02B0CB58</v>
          </cell>
          <cell r="E2202">
            <v>0</v>
          </cell>
        </row>
        <row r="2203">
          <cell r="A2203" t="str">
            <v>RIBEIRÃO PRETO</v>
          </cell>
          <cell r="C2203" t="str">
            <v>RESIDENCIAL RAQUEL</v>
          </cell>
          <cell r="D2203" t="str">
            <v>8A884C53-69FC-DD11-B30A-001B78B9D994</v>
          </cell>
          <cell r="E2203">
            <v>48</v>
          </cell>
        </row>
        <row r="2204">
          <cell r="A2204" t="str">
            <v>CONTAGEM</v>
          </cell>
          <cell r="C2204" t="str">
            <v>RESIDENCIAL RECANTO ALVORADA</v>
          </cell>
          <cell r="D2204" t="str">
            <v>5334EB10-8697-E611-B1E9-009C02B0CB58</v>
          </cell>
          <cell r="E2204">
            <v>80</v>
          </cell>
        </row>
        <row r="2205">
          <cell r="A2205" t="str">
            <v>JABOATÃO DOS GUARARAPES</v>
          </cell>
          <cell r="C2205" t="str">
            <v>RESIDENCIAL RECANTO DAS GARÇAS</v>
          </cell>
          <cell r="D2205" t="str">
            <v>53FE28C4-8496-E011-BDCF-001F2909E810</v>
          </cell>
          <cell r="E2205">
            <v>240</v>
          </cell>
        </row>
        <row r="2206">
          <cell r="A2206" t="str">
            <v>RIBEIRÃO PRETO</v>
          </cell>
          <cell r="C2206" t="str">
            <v>RESIDENCIAL REGENCY TOWERS</v>
          </cell>
          <cell r="D2206" t="str">
            <v>048832C9-943B-E911-810A-80C16E075108</v>
          </cell>
          <cell r="E2206">
            <v>176</v>
          </cell>
        </row>
        <row r="2207">
          <cell r="A2207" t="str">
            <v>CURITIBA</v>
          </cell>
          <cell r="C2207" t="str">
            <v>RESIDENCIAL REMBRANDT</v>
          </cell>
          <cell r="D2207" t="str">
            <v>89BADD9E-8CC2-DF11-B20E-001F2909E810</v>
          </cell>
          <cell r="E2207">
            <v>0</v>
          </cell>
        </row>
        <row r="2208">
          <cell r="A2208" t="str">
            <v>RIBEIRÃO PRETO</v>
          </cell>
          <cell r="C2208" t="str">
            <v>RESIDENCIAL RENO</v>
          </cell>
          <cell r="D2208" t="str">
            <v>7E0D8FB3-428A-DD11-8A4F-001B78B9D994</v>
          </cell>
          <cell r="E2208">
            <v>52</v>
          </cell>
        </row>
        <row r="2209">
          <cell r="A2209" t="str">
            <v>RIO DE JANEIRO</v>
          </cell>
          <cell r="C2209" t="str">
            <v>RESIDENCIAL RESERVA DO SAHY</v>
          </cell>
          <cell r="D2209" t="str">
            <v>8A7AC392-BFE5-E711-A541-009C02B0CB58</v>
          </cell>
          <cell r="E2209">
            <v>500</v>
          </cell>
        </row>
        <row r="2210">
          <cell r="A2210" t="str">
            <v>VESPASIANO</v>
          </cell>
          <cell r="C2210" t="str">
            <v>RESIDENCIAL RIACHO VERDE</v>
          </cell>
          <cell r="D2210" t="str">
            <v>A545A56B-F7F9-E211-83E6-80C16E075108</v>
          </cell>
          <cell r="E2210">
            <v>384</v>
          </cell>
        </row>
        <row r="2211">
          <cell r="A2211" t="str">
            <v>RIO DE JANEIRO</v>
          </cell>
          <cell r="C2211" t="str">
            <v>RESIDENCIAL RIO BLUES</v>
          </cell>
          <cell r="D2211" t="str">
            <v>8D8FB3EC-5733-E811-A00D-009C02B0CB58</v>
          </cell>
          <cell r="E2211">
            <v>260</v>
          </cell>
        </row>
        <row r="2212">
          <cell r="A2212" t="str">
            <v>RIO DE JANEIRO</v>
          </cell>
          <cell r="C2212" t="str">
            <v>RESIDENCIAL RIO BOSSA NOVA</v>
          </cell>
          <cell r="D2212" t="str">
            <v>B1505C51-EB4F-E511-834F-80C16E075108</v>
          </cell>
          <cell r="E2212">
            <v>256</v>
          </cell>
        </row>
        <row r="2213">
          <cell r="A2213" t="str">
            <v>SÃO JOSÉ DO RIO PRETO</v>
          </cell>
          <cell r="C2213" t="str">
            <v>RESIDENCIAL RIO DOS CRISTAIS</v>
          </cell>
          <cell r="D2213" t="str">
            <v>E986339B-256E-EC11-A871-005056895191</v>
          </cell>
          <cell r="E2213">
            <v>480</v>
          </cell>
        </row>
        <row r="2214">
          <cell r="A2214" t="str">
            <v>SÃO JOSÉ DO RIO PRETO</v>
          </cell>
          <cell r="C2214" t="str">
            <v>RESIDENCIAL RIO DOS DIAMANTES</v>
          </cell>
          <cell r="D2214" t="str">
            <v>14A2BAA4-3079-EC11-B501-005056856B6C</v>
          </cell>
          <cell r="E2214">
            <v>448</v>
          </cell>
        </row>
        <row r="2215">
          <cell r="A2215" t="str">
            <v>NOVA IGUAÇU</v>
          </cell>
          <cell r="C2215" t="str">
            <v>RESIDENCIAL RIO D'OURO</v>
          </cell>
          <cell r="D2215" t="str">
            <v>8328C162-558D-EE11-8E2D-009C02B0CB58</v>
          </cell>
          <cell r="E2215">
            <v>0</v>
          </cell>
        </row>
        <row r="2216">
          <cell r="A2216" t="str">
            <v>RIO DE JANEIRO</v>
          </cell>
          <cell r="C2216" t="str">
            <v>RESIDENCIAL RIO JAZZ</v>
          </cell>
          <cell r="D2216" t="str">
            <v>5987BBB7-EB4F-E511-834F-80C16E075108</v>
          </cell>
          <cell r="E2216">
            <v>400</v>
          </cell>
        </row>
        <row r="2217">
          <cell r="A2217" t="str">
            <v>RIO DE JANEIRO</v>
          </cell>
          <cell r="C2217" t="str">
            <v>RESIDENCIAL RIO ROCK</v>
          </cell>
          <cell r="D2217" t="str">
            <v>B2DEADF5-075E-E511-834F-80C16E075108</v>
          </cell>
          <cell r="E2217">
            <v>260</v>
          </cell>
        </row>
        <row r="2218">
          <cell r="A2218" t="str">
            <v>RIO DE JANEIRO</v>
          </cell>
          <cell r="C2218" t="str">
            <v>RESIDENCIAL RIO SAMBA</v>
          </cell>
          <cell r="D2218" t="str">
            <v>4A39348B-EB4F-E511-834F-80C16E075108</v>
          </cell>
          <cell r="E2218">
            <v>400</v>
          </cell>
        </row>
        <row r="2219">
          <cell r="A2219" t="str">
            <v>SÃO JOSÉ DO RIO PRETO</v>
          </cell>
          <cell r="C2219" t="str">
            <v>RESIDENCIAL RIOS DI SPAGNA_PARQUE RIO EBRO</v>
          </cell>
          <cell r="D2219" t="str">
            <v>AD64EEE7-354C-E011-BDCF-001F2909E810</v>
          </cell>
          <cell r="E2219">
            <v>368</v>
          </cell>
        </row>
        <row r="2220">
          <cell r="A2220" t="str">
            <v>SÃO JOSÉ DO RIO PRETO</v>
          </cell>
          <cell r="C2220" t="str">
            <v>RESIDENCIAL RIOS DI SPAGNA_PARQUE RIO LIMA</v>
          </cell>
          <cell r="D2220" t="str">
            <v>478DDBA8-D81F-E011-8C0C-001B78B9D994</v>
          </cell>
          <cell r="E2220">
            <v>320</v>
          </cell>
        </row>
        <row r="2221">
          <cell r="A2221" t="str">
            <v>RIO DE JANEIRO</v>
          </cell>
          <cell r="C2221" t="str">
            <v>RESIDENCIAL RITMOS DE PILARES</v>
          </cell>
          <cell r="D2221" t="str">
            <v>82E8A323-6C98-EF11-B65C-009C02B0CB58</v>
          </cell>
          <cell r="E2221">
            <v>380</v>
          </cell>
        </row>
        <row r="2222">
          <cell r="A2222" t="str">
            <v>BELO HORIZONTE</v>
          </cell>
          <cell r="C2222" t="str">
            <v>RESIDENCIAL ROBERTA</v>
          </cell>
          <cell r="D2222" t="str">
            <v>43A084F5-DA49-E211-8F8C-009C02B0CB58</v>
          </cell>
          <cell r="E2222">
            <v>0</v>
          </cell>
        </row>
        <row r="2223">
          <cell r="A2223" t="str">
            <v>RIBEIRÃO PRETO</v>
          </cell>
          <cell r="C2223" t="str">
            <v>RESIDENCIAL ROYAL PARK</v>
          </cell>
          <cell r="D2223" t="str">
            <v>EC66F1AA-5CFF-DD11-A3FF-001B78B9D994</v>
          </cell>
          <cell r="E2223">
            <v>48</v>
          </cell>
        </row>
        <row r="2224">
          <cell r="A2224" t="str">
            <v>RIBEIRÃO PRETO</v>
          </cell>
          <cell r="C2224" t="str">
            <v>RESIDENCIAL RUTH</v>
          </cell>
          <cell r="D2224" t="str">
            <v>704825DA-3A8A-DD11-8A4F-001B78B9D994</v>
          </cell>
          <cell r="E2224">
            <v>48</v>
          </cell>
        </row>
        <row r="2225">
          <cell r="A2225" t="str">
            <v>SALTO</v>
          </cell>
          <cell r="C2225" t="str">
            <v>RESIDENCIAL SABINE</v>
          </cell>
          <cell r="D2225" t="str">
            <v>89940105-016D-E911-B1CD-009C02B0CB58</v>
          </cell>
          <cell r="E2225">
            <v>200</v>
          </cell>
        </row>
        <row r="2226">
          <cell r="A2226" t="str">
            <v>RIO DE JANEIRO</v>
          </cell>
          <cell r="C2226" t="str">
            <v>RESIDENCIAL SACRAMENTO</v>
          </cell>
          <cell r="D2226" t="str">
            <v>B4443F69-7E80-E911-A828-005056856875</v>
          </cell>
          <cell r="E2226">
            <v>400</v>
          </cell>
        </row>
        <row r="2227">
          <cell r="A2227" t="str">
            <v>SUZANO</v>
          </cell>
          <cell r="C2227" t="str">
            <v>RESIDENCIAL SALINAS DO CEARÁ</v>
          </cell>
          <cell r="D2227" t="str">
            <v>2E7B36FC-BD31-E811-8CE7-80C16E075108</v>
          </cell>
          <cell r="E2227">
            <v>496</v>
          </cell>
        </row>
        <row r="2228">
          <cell r="A2228" t="str">
            <v>SUZANO</v>
          </cell>
          <cell r="C2228" t="str">
            <v>RESIDENCIAL SALINAS DO MARANHÃO</v>
          </cell>
          <cell r="D2228" t="str">
            <v>145232A4-BD31-E811-8CE7-80C16E075108</v>
          </cell>
          <cell r="E2228">
            <v>496</v>
          </cell>
        </row>
        <row r="2229">
          <cell r="A2229" t="str">
            <v>SUZANO</v>
          </cell>
          <cell r="C2229" t="str">
            <v>RESIDENCIAL SALINAS DO PARÁ</v>
          </cell>
          <cell r="D2229" t="str">
            <v>D105BD2D-BD31-E811-8CE7-80C16E075108</v>
          </cell>
          <cell r="E2229">
            <v>320</v>
          </cell>
        </row>
        <row r="2230">
          <cell r="A2230" t="str">
            <v>SUZANO</v>
          </cell>
          <cell r="C2230" t="str">
            <v>RESIDENCIAL SÁLVIA</v>
          </cell>
          <cell r="D2230" t="str">
            <v>AA83AD55-7DF2-E411-A3A7-80C16E075108</v>
          </cell>
          <cell r="E2230">
            <v>384</v>
          </cell>
        </row>
        <row r="2231">
          <cell r="A2231" t="str">
            <v>BELO HORIZONTE</v>
          </cell>
          <cell r="C2231" t="str">
            <v>RESIDENCIAL SAN FRANCISCO</v>
          </cell>
          <cell r="D2231" t="str">
            <v>2BE35723-87FB-DE11-89FA-001F2909E810</v>
          </cell>
          <cell r="E2231">
            <v>0</v>
          </cell>
        </row>
        <row r="2232">
          <cell r="A2232" t="str">
            <v>SOROCABA</v>
          </cell>
          <cell r="C2232" t="str">
            <v>RESIDENCIAL SAN LOURENÇO</v>
          </cell>
          <cell r="D2232" t="str">
            <v>D45D8F27-9406-EC11-AC3B-005056856B6C</v>
          </cell>
          <cell r="E2232">
            <v>336</v>
          </cell>
        </row>
        <row r="2233">
          <cell r="A2233" t="str">
            <v>GUARULHOS</v>
          </cell>
          <cell r="C2233" t="str">
            <v>RESIDENCIAL SANTA SOFIA</v>
          </cell>
          <cell r="D2233" t="str">
            <v>665CFE0E-5F72-E911-B1CD-009C02B0CB58</v>
          </cell>
          <cell r="E2233">
            <v>240</v>
          </cell>
        </row>
        <row r="2234">
          <cell r="A2234" t="str">
            <v>SOROCABA</v>
          </cell>
          <cell r="C2234" t="str">
            <v>RESIDENCIAL SANTORO</v>
          </cell>
          <cell r="D2234" t="str">
            <v>F7DC6BA7-D77E-E711-9B04-005056856B6C</v>
          </cell>
          <cell r="E2234">
            <v>272</v>
          </cell>
        </row>
        <row r="2235">
          <cell r="A2235" t="str">
            <v>SOROCABA</v>
          </cell>
          <cell r="C2235" t="str">
            <v>RESIDENCIAL SATRINE</v>
          </cell>
          <cell r="D2235" t="str">
            <v>E870D082-7704-ED11-BA45-005056890018</v>
          </cell>
          <cell r="E2235">
            <v>0</v>
          </cell>
        </row>
        <row r="2236">
          <cell r="A2236" t="str">
            <v>BELO HORIZONTE</v>
          </cell>
          <cell r="C2236" t="str">
            <v>RESIDENCIAL SAVANA</v>
          </cell>
          <cell r="D2236" t="str">
            <v>CEAB2034-3A0F-DF11-89FA-001F2909E810</v>
          </cell>
          <cell r="E2236">
            <v>0</v>
          </cell>
        </row>
        <row r="2237">
          <cell r="A2237" t="str">
            <v>RIO DE JANEIRO</v>
          </cell>
          <cell r="C2237" t="str">
            <v>RESIDENCIAL SEATTLE</v>
          </cell>
          <cell r="D2237" t="str">
            <v>E7AA95CC-7E80-E911-A828-005056856875</v>
          </cell>
          <cell r="E2237">
            <v>380</v>
          </cell>
        </row>
        <row r="2238">
          <cell r="A2238" t="str">
            <v>SUZANO</v>
          </cell>
          <cell r="C2238" t="str">
            <v>RESIDENCIAL SÉFORA</v>
          </cell>
          <cell r="D2238" t="str">
            <v>028BBEBD-36C9-E711-B989-80C16E075108</v>
          </cell>
          <cell r="E2238">
            <v>384</v>
          </cell>
        </row>
        <row r="2239">
          <cell r="A2239" t="str">
            <v>SUZANO</v>
          </cell>
          <cell r="C2239" t="str">
            <v>RESIDENCIAL SENNA</v>
          </cell>
          <cell r="D2239" t="str">
            <v>AD45FC89-6FE4-E911-B137-005056856875</v>
          </cell>
          <cell r="E2239">
            <v>440</v>
          </cell>
        </row>
        <row r="2240">
          <cell r="A2240" t="str">
            <v>SOROCABA</v>
          </cell>
          <cell r="C2240" t="str">
            <v>RESIDENCIAL SION</v>
          </cell>
          <cell r="D2240" t="str">
            <v>1A17060E-30C0-E811-944D-009C02B0CB58</v>
          </cell>
          <cell r="E2240">
            <v>128</v>
          </cell>
        </row>
        <row r="2241">
          <cell r="A2241" t="str">
            <v>SUZANO</v>
          </cell>
          <cell r="C2241" t="str">
            <v>RESIDENCIAL SOBERANO</v>
          </cell>
          <cell r="D2241" t="str">
            <v>F914ACB6-ECA3-ED11-879A-80C16E075108</v>
          </cell>
          <cell r="E2241">
            <v>0</v>
          </cell>
        </row>
        <row r="2242">
          <cell r="A2242" t="str">
            <v>VOTORANTIM</v>
          </cell>
          <cell r="C2242" t="str">
            <v>RESIDENCIAL SOLANO</v>
          </cell>
          <cell r="D2242" t="str">
            <v>F428555F-C605-E811-B989-80C16E075108</v>
          </cell>
          <cell r="E2242">
            <v>220</v>
          </cell>
        </row>
        <row r="2243">
          <cell r="A2243" t="str">
            <v>SERTÃOZINHO</v>
          </cell>
          <cell r="C2243" t="str">
            <v>RESIDENCIAL SOLAR BURITIS</v>
          </cell>
          <cell r="D2243" t="str">
            <v>4D17077F-FAD6-E811-A4F5-80C16E075108</v>
          </cell>
          <cell r="E2243">
            <v>148</v>
          </cell>
        </row>
        <row r="2244">
          <cell r="A2244" t="str">
            <v>SOROCABA</v>
          </cell>
          <cell r="C2244" t="str">
            <v>RESIDENCIAL SOLAR DA COLINA</v>
          </cell>
          <cell r="D2244" t="str">
            <v>65494B82-BDFF-E811-B503-009C02B0CB58</v>
          </cell>
          <cell r="E2244">
            <v>160</v>
          </cell>
        </row>
        <row r="2245">
          <cell r="A2245" t="str">
            <v>SUZANO</v>
          </cell>
          <cell r="C2245" t="str">
            <v>RESIDENCIAL SOLAR DA SERRA</v>
          </cell>
          <cell r="D2245" t="str">
            <v>14FEF62E-536B-E911-B8F1-009C02B0CB58</v>
          </cell>
          <cell r="E2245">
            <v>300</v>
          </cell>
        </row>
        <row r="2246">
          <cell r="A2246" t="str">
            <v>SUZANO</v>
          </cell>
          <cell r="C2246" t="str">
            <v>RESIDENCIAL SOLAR DAS ANDORINHAS</v>
          </cell>
          <cell r="D2246" t="str">
            <v>59AEFF06-F7CA-E711-B989-80C16E075108</v>
          </cell>
          <cell r="E2246">
            <v>240</v>
          </cell>
        </row>
        <row r="2247">
          <cell r="A2247" t="str">
            <v>SOROCABA</v>
          </cell>
          <cell r="C2247" t="str">
            <v>RESIDENCIAL SOLAR DO VALE</v>
          </cell>
          <cell r="D2247" t="str">
            <v>C7130003-31F3-E811-B503-009C02B0CB58</v>
          </cell>
          <cell r="E2247">
            <v>148</v>
          </cell>
        </row>
        <row r="2248">
          <cell r="A2248" t="str">
            <v>SUZANO</v>
          </cell>
          <cell r="C2248" t="str">
            <v>RESIDENCIAL SOLAR DOS MONTES</v>
          </cell>
          <cell r="D2248" t="str">
            <v>D3682FA6-526B-E911-B8F1-009C02B0CB58</v>
          </cell>
          <cell r="E2248">
            <v>380</v>
          </cell>
        </row>
        <row r="2249">
          <cell r="A2249" t="str">
            <v>SUZANO</v>
          </cell>
          <cell r="C2249" t="str">
            <v>RESIDENCIAL SOLARIS</v>
          </cell>
          <cell r="D2249" t="str">
            <v>F7CFCA69-89C3-EF11-AAAE-005056856875</v>
          </cell>
          <cell r="E2249">
            <v>0</v>
          </cell>
        </row>
        <row r="2250">
          <cell r="A2250" t="str">
            <v>SALTO</v>
          </cell>
          <cell r="C2250" t="str">
            <v>RESIDENCIAL SOLLARE</v>
          </cell>
          <cell r="D2250" t="str">
            <v>8AA0B4BE-ABB2-E711-B989-80C16E075108</v>
          </cell>
          <cell r="E2250">
            <v>528</v>
          </cell>
        </row>
        <row r="2251">
          <cell r="A2251" t="str">
            <v>CAMPINAS</v>
          </cell>
          <cell r="C2251" t="str">
            <v>RESIDENCIAL SPAZIO CÁDIZ</v>
          </cell>
          <cell r="D2251" t="str">
            <v>13C4911B-E246-DD11-BC22-001B78B9D994</v>
          </cell>
          <cell r="E2251">
            <v>24</v>
          </cell>
        </row>
        <row r="2252">
          <cell r="A2252" t="str">
            <v>CAMPINAS</v>
          </cell>
          <cell r="C2252" t="str">
            <v>RESIDENCIAL SPAZIO CALÁBRIA</v>
          </cell>
          <cell r="D2252" t="str">
            <v>A33F30AA-0780-DD11-8A4F-001B78B9D994</v>
          </cell>
          <cell r="E2252">
            <v>204</v>
          </cell>
        </row>
        <row r="2253">
          <cell r="A2253" t="str">
            <v>CAMPINAS</v>
          </cell>
          <cell r="C2253" t="str">
            <v>RESIDENCIAL SPAZIO CARLOS PYLES</v>
          </cell>
          <cell r="D2253" t="str">
            <v>9827CDAF-98CE-DC11-9ED6-001B7845B4A6</v>
          </cell>
          <cell r="E2253">
            <v>42</v>
          </cell>
        </row>
        <row r="2254">
          <cell r="A2254" t="str">
            <v>CAMPINAS</v>
          </cell>
          <cell r="C2254" t="str">
            <v>RESIDENCIAL SPAZIO CLARIDGES</v>
          </cell>
          <cell r="D2254" t="str">
            <v>120967D9-A1CE-DC11-9ED6-001B7845B4A6</v>
          </cell>
          <cell r="E2254">
            <v>100</v>
          </cell>
        </row>
        <row r="2255">
          <cell r="A2255" t="str">
            <v>BELO HORIZONTE</v>
          </cell>
          <cell r="C2255" t="str">
            <v>RESIDENCIAL SPAZIO URUGUAI</v>
          </cell>
          <cell r="D2255" t="str">
            <v>110EF4B9-2A8A-E111-85AA-001B78B9D994</v>
          </cell>
          <cell r="E2255">
            <v>0</v>
          </cell>
        </row>
        <row r="2256">
          <cell r="A2256" t="str">
            <v>SOROCABA</v>
          </cell>
          <cell r="C2256" t="str">
            <v>RESIDENCIAL STEFANE</v>
          </cell>
          <cell r="D2256" t="str">
            <v>EF65D20D-96EE-DF11-B242-001F2909E810</v>
          </cell>
          <cell r="E2256">
            <v>10</v>
          </cell>
        </row>
        <row r="2257">
          <cell r="A2257" t="str">
            <v>SOROCABA</v>
          </cell>
          <cell r="C2257" t="str">
            <v>RESIDENCIAL STEFANINI</v>
          </cell>
          <cell r="D2257" t="str">
            <v>1F262BFB-7604-ED11-B1AD-005056856875</v>
          </cell>
          <cell r="E2257">
            <v>0</v>
          </cell>
        </row>
        <row r="2258">
          <cell r="A2258" t="str">
            <v>SOROCABA</v>
          </cell>
          <cell r="C2258" t="str">
            <v>RESIDENCIAL STELA</v>
          </cell>
          <cell r="D2258" t="str">
            <v>4AC248A9-ABF1-DF11-B242-001F2909E810</v>
          </cell>
          <cell r="E2258">
            <v>12</v>
          </cell>
        </row>
        <row r="2259">
          <cell r="A2259" t="str">
            <v>SÃO PAULO</v>
          </cell>
          <cell r="C2259" t="str">
            <v>RESIDENCIAL SUCESSO</v>
          </cell>
          <cell r="D2259" t="str">
            <v>7B3A0501-DB49-EB11-85D0-005056856875</v>
          </cell>
          <cell r="E2259">
            <v>401</v>
          </cell>
        </row>
        <row r="2260">
          <cell r="A2260" t="str">
            <v>UBERABA</v>
          </cell>
          <cell r="C2260" t="str">
            <v>RESIDENCIAL SUZANA</v>
          </cell>
          <cell r="D2260" t="str">
            <v>9CE516FE-8B17-E611-A62F-80C16E075108</v>
          </cell>
          <cell r="E2260">
            <v>0</v>
          </cell>
        </row>
        <row r="2261">
          <cell r="A2261" t="str">
            <v>BELO HORIZONTE</v>
          </cell>
          <cell r="C2261" t="str">
            <v>RESIDENCIAL TAMISA</v>
          </cell>
          <cell r="D2261" t="str">
            <v>660C4E7E-2C52-DF11-9F9A-001F2909E810</v>
          </cell>
          <cell r="E2261">
            <v>14</v>
          </cell>
        </row>
        <row r="2262">
          <cell r="A2262" t="str">
            <v>TAUBATÉ</v>
          </cell>
          <cell r="C2262" t="str">
            <v>RESIDENCIAL TARANTINO</v>
          </cell>
          <cell r="D2262" t="str">
            <v>1D8279CE-ABB0-EF11-AB5A-80C16E075108</v>
          </cell>
          <cell r="E2262">
            <v>0</v>
          </cell>
        </row>
        <row r="2263">
          <cell r="A2263" t="str">
            <v>CONTAGEM</v>
          </cell>
          <cell r="C2263" t="str">
            <v>RESIDENCIAL TAURUS</v>
          </cell>
          <cell r="D2263" t="str">
            <v>21397F6C-BCE8-DD11-BD2B-001B78B9D994</v>
          </cell>
          <cell r="E2263">
            <v>256</v>
          </cell>
        </row>
        <row r="2264">
          <cell r="A2264" t="str">
            <v>BELO HORIZONTE</v>
          </cell>
          <cell r="C2264" t="str">
            <v>RESIDENCIAL TEXAS</v>
          </cell>
          <cell r="D2264" t="str">
            <v>D66B5757-8E4E-E611-A62F-80C16E075108</v>
          </cell>
          <cell r="E2264">
            <v>0</v>
          </cell>
        </row>
        <row r="2265">
          <cell r="A2265" t="str">
            <v>TAUBATÉ</v>
          </cell>
          <cell r="C2265" t="str">
            <v>RESIDENCIAL THEODORE</v>
          </cell>
          <cell r="D2265" t="str">
            <v>5A287C37-08BA-EA11-BEEB-005056856875</v>
          </cell>
          <cell r="E2265">
            <v>240</v>
          </cell>
        </row>
        <row r="2266">
          <cell r="A2266" t="str">
            <v>RIO DE JANEIRO</v>
          </cell>
          <cell r="C2266" t="str">
            <v>RESIDENCIAL TORONTO</v>
          </cell>
          <cell r="D2266" t="str">
            <v>A8AAA0F5-7D80-E911-A828-005056856875</v>
          </cell>
          <cell r="E2266">
            <v>280</v>
          </cell>
        </row>
        <row r="2267">
          <cell r="A2267" t="str">
            <v>MACEIÓ</v>
          </cell>
          <cell r="C2267" t="str">
            <v>RESIDENCIAL TORRE DE LISBOA</v>
          </cell>
          <cell r="D2267" t="str">
            <v>E09415B7-BA8B-EF11-A9C6-80C16E075108</v>
          </cell>
          <cell r="E2267">
            <v>0</v>
          </cell>
        </row>
        <row r="2268">
          <cell r="A2268" t="str">
            <v>UBERABA</v>
          </cell>
          <cell r="C2268" t="str">
            <v>RESIDENCIAL TOSCANA</v>
          </cell>
          <cell r="D2268" t="str">
            <v>6EE11764-6475-E811-B96E-009C02B0CB58</v>
          </cell>
          <cell r="E2268">
            <v>160</v>
          </cell>
        </row>
        <row r="2269">
          <cell r="A2269" t="str">
            <v>RIBEIRÃO PRETO</v>
          </cell>
          <cell r="C2269" t="str">
            <v>RESIDENCIAL TRÊS MARIAS</v>
          </cell>
          <cell r="D2269" t="str">
            <v>2680C509-71FB-DC11-8284-001B7845B4A6</v>
          </cell>
          <cell r="E2269">
            <v>48</v>
          </cell>
        </row>
        <row r="2270">
          <cell r="A2270" t="str">
            <v>UBERLÂNDIA</v>
          </cell>
          <cell r="C2270" t="str">
            <v>RESIDENCIAL TRILHAS DAS ÁGUAS</v>
          </cell>
          <cell r="D2270" t="str">
            <v>48ABC704-9796-E811-8D3F-80C16E075108</v>
          </cell>
          <cell r="E2270">
            <v>324</v>
          </cell>
        </row>
        <row r="2271">
          <cell r="A2271" t="str">
            <v>UBERLÂNDIA</v>
          </cell>
          <cell r="C2271" t="str">
            <v>RESIDENCIAL TRILHAS DOS PÁSSAROS</v>
          </cell>
          <cell r="D2271" t="str">
            <v>F09EE066-9696-E811-8D3F-80C16E075108</v>
          </cell>
          <cell r="E2271">
            <v>400</v>
          </cell>
        </row>
        <row r="2272">
          <cell r="A2272" t="str">
            <v>TAUBATÉ</v>
          </cell>
          <cell r="C2272" t="str">
            <v>RESIDENCIAL TRIVIALLI</v>
          </cell>
          <cell r="D2272" t="str">
            <v>BFEC8C88-55A5-E711-91B2-80C16E075108</v>
          </cell>
          <cell r="E2272">
            <v>448</v>
          </cell>
        </row>
        <row r="2273">
          <cell r="A2273" t="str">
            <v>NOVA IGUAÇU</v>
          </cell>
          <cell r="C2273" t="str">
            <v>RESIDENCIAL TUPINAMBÁS</v>
          </cell>
          <cell r="D2273" t="str">
            <v>98E53424-73F8-E811-B773-80C16E075108</v>
          </cell>
          <cell r="E2273">
            <v>460</v>
          </cell>
        </row>
        <row r="2274">
          <cell r="A2274" t="str">
            <v>UBERABA</v>
          </cell>
          <cell r="C2274" t="str">
            <v>RESIDENCIAL TURIM</v>
          </cell>
          <cell r="D2274" t="str">
            <v>654251AF-5F8C-E811-8D3F-80C16E075108</v>
          </cell>
          <cell r="E2274">
            <v>372</v>
          </cell>
        </row>
        <row r="2275">
          <cell r="A2275" t="str">
            <v>UBERLÂNDIA</v>
          </cell>
          <cell r="C2275" t="str">
            <v>RESIDENCIAL ULISSES</v>
          </cell>
          <cell r="D2275" t="str">
            <v>FA8583C6-3BCD-DD11-B2A6-001B78B9D994</v>
          </cell>
          <cell r="E2275">
            <v>177</v>
          </cell>
        </row>
        <row r="2276">
          <cell r="A2276" t="str">
            <v>SÃO PAULO</v>
          </cell>
          <cell r="C2276" t="str">
            <v>RESIDENCIAL UNIÃO</v>
          </cell>
          <cell r="D2276" t="str">
            <v>215F39A0-D949-EB11-85D0-005056856875</v>
          </cell>
          <cell r="E2276">
            <v>130</v>
          </cell>
        </row>
        <row r="2277">
          <cell r="A2277" t="str">
            <v>ARACAJU</v>
          </cell>
          <cell r="C2277" t="str">
            <v>RESIDENCIAL VALE DAS FLORES</v>
          </cell>
          <cell r="D2277" t="str">
            <v>A20D9F3C-8DED-E811-B773-80C16E075108</v>
          </cell>
          <cell r="E2277">
            <v>360</v>
          </cell>
        </row>
        <row r="2278">
          <cell r="A2278" t="str">
            <v>ARACAJU</v>
          </cell>
          <cell r="C2278" t="str">
            <v>RESIDENCIAL VALE DO CAMPO</v>
          </cell>
          <cell r="D2278" t="str">
            <v>72FA74D9-6535-EB11-85D0-005056856875</v>
          </cell>
          <cell r="E2278">
            <v>256</v>
          </cell>
        </row>
        <row r="2279">
          <cell r="A2279" t="str">
            <v>BELO HORIZONTE</v>
          </cell>
          <cell r="C2279" t="str">
            <v>RESIDENCIAL VANCOUVER</v>
          </cell>
          <cell r="D2279" t="str">
            <v>D90CC5D3-D117-E211-94E9-001B78B9D994</v>
          </cell>
          <cell r="E2279">
            <v>0</v>
          </cell>
        </row>
        <row r="2280">
          <cell r="A2280" t="str">
            <v>SERRA</v>
          </cell>
          <cell r="C2280" t="str">
            <v>RESIDENCIAL VENICE</v>
          </cell>
          <cell r="D2280" t="str">
            <v>495BD467-9878-E811-B96E-009C02B0CB58</v>
          </cell>
          <cell r="E2280">
            <v>224</v>
          </cell>
        </row>
        <row r="2281">
          <cell r="A2281" t="str">
            <v>SÃO PAULO</v>
          </cell>
          <cell r="C2281" t="str">
            <v>RESIDENCIAL VICENTINI</v>
          </cell>
          <cell r="D2281" t="str">
            <v>36CCC873-610C-EF11-9143-80C16E075108</v>
          </cell>
          <cell r="E2281">
            <v>0</v>
          </cell>
        </row>
        <row r="2282">
          <cell r="A2282" t="str">
            <v>RIO DE JANEIRO</v>
          </cell>
          <cell r="C2282" t="str">
            <v>RESIDENCIAL VIENA</v>
          </cell>
          <cell r="D2282" t="str">
            <v>6EA09E19-7C80-E911-A828-005056856875</v>
          </cell>
          <cell r="E2282">
            <v>340</v>
          </cell>
        </row>
        <row r="2283">
          <cell r="A2283" t="str">
            <v>CARIACICA</v>
          </cell>
          <cell r="C2283" t="str">
            <v>RESIDENCIAL VILA TURQUESA</v>
          </cell>
          <cell r="D2283" t="str">
            <v>38DDE7BE-7EBA-E811-A4F5-80C16E075108</v>
          </cell>
          <cell r="E2283">
            <v>340</v>
          </cell>
        </row>
        <row r="2284">
          <cell r="A2284" t="str">
            <v>CAMPINAS</v>
          </cell>
          <cell r="C2284" t="str">
            <v>RESIDENCIAL VILLAGE CAMPANIA</v>
          </cell>
          <cell r="D2284" t="str">
            <v>2704D2C2-B37E-DD11-8A4F-001B78B9D994</v>
          </cell>
          <cell r="E2284">
            <v>21</v>
          </cell>
        </row>
        <row r="2285">
          <cell r="A2285" t="str">
            <v>CAMPINAS</v>
          </cell>
          <cell r="C2285" t="str">
            <v>RESIDENCIAL VILLAGE CAMPESTRE</v>
          </cell>
          <cell r="D2285" t="str">
            <v>9AB94A06-7B8A-DD11-8A4F-001B78B9D994</v>
          </cell>
          <cell r="E2285">
            <v>22</v>
          </cell>
        </row>
        <row r="2286">
          <cell r="A2286" t="str">
            <v>SÃO JOSÉ DOS CAMPOS</v>
          </cell>
          <cell r="C2286" t="str">
            <v>RESIDENCIAL VILLAGE CAMPO DEI FIORI</v>
          </cell>
          <cell r="D2286" t="str">
            <v>F35E0DDB-158B-DD11-917B-001B78B9D994</v>
          </cell>
          <cell r="E2286">
            <v>51</v>
          </cell>
        </row>
        <row r="2287">
          <cell r="A2287" t="str">
            <v>CAMPINAS</v>
          </cell>
          <cell r="C2287" t="str">
            <v>RESIDENCIAL VILLAGE CARRARA</v>
          </cell>
          <cell r="D2287" t="str">
            <v>D825B6E7-758A-DD11-8A4F-001B78B9D994</v>
          </cell>
          <cell r="E2287">
            <v>37</v>
          </cell>
        </row>
        <row r="2288">
          <cell r="A2288" t="str">
            <v>CAMPINAS</v>
          </cell>
          <cell r="C2288" t="str">
            <v>RESIDENCIAL VILLAGE DAS CEREJEIRAS</v>
          </cell>
          <cell r="D2288" t="str">
            <v>BF373267-99EF-DC11-A2F9-001B7845B4A6</v>
          </cell>
          <cell r="E2288">
            <v>21</v>
          </cell>
        </row>
        <row r="2289">
          <cell r="A2289" t="str">
            <v>RECIFE</v>
          </cell>
          <cell r="C2289" t="str">
            <v>RESIDENCIAL VILLE DE MONTREAL</v>
          </cell>
          <cell r="D2289" t="str">
            <v>BCEB231E-8091-EB11-AD3A-0050568AA20F</v>
          </cell>
          <cell r="E2289">
            <v>152</v>
          </cell>
        </row>
        <row r="2290">
          <cell r="A2290" t="str">
            <v>BELO HORIZONTE</v>
          </cell>
          <cell r="C2290" t="str">
            <v>RESIDENCIAL VISTA ALEGRE</v>
          </cell>
          <cell r="D2290" t="str">
            <v>D01E134C-7143-E111-9FA8-001F2909E810</v>
          </cell>
          <cell r="E2290">
            <v>0</v>
          </cell>
        </row>
        <row r="2291">
          <cell r="A2291" t="str">
            <v>TERESINA</v>
          </cell>
          <cell r="C2291" t="str">
            <v>RESIDENCIAL VITÓRIA</v>
          </cell>
          <cell r="D2291" t="str">
            <v>362F90A3-0C50-E611-B1E9-009C02B0CB58</v>
          </cell>
          <cell r="E2291">
            <v>496</v>
          </cell>
        </row>
        <row r="2292">
          <cell r="A2292" t="str">
            <v>SÃO PAULO</v>
          </cell>
          <cell r="C2292" t="str">
            <v>RESIDENCIAL VIVENCE</v>
          </cell>
          <cell r="D2292" t="str">
            <v>82FA2588-D3C4-E911-8E73-0050568AA20F</v>
          </cell>
          <cell r="E2292">
            <v>320</v>
          </cell>
        </row>
        <row r="2293">
          <cell r="A2293" t="str">
            <v>BELO HORIZONTE</v>
          </cell>
          <cell r="C2293" t="str">
            <v>RESIDENCIAL WINDSOR</v>
          </cell>
          <cell r="D2293" t="str">
            <v>56D55341-EAE6-DC11-ABD0-001B7845B4A6</v>
          </cell>
          <cell r="E2293">
            <v>144</v>
          </cell>
        </row>
        <row r="2294">
          <cell r="A2294" t="str">
            <v>MANAUS</v>
          </cell>
          <cell r="C2294" t="str">
            <v>RESIDENCIAL YOKOHAMA</v>
          </cell>
          <cell r="D2294" t="str">
            <v>71909612-B577-ED11-9E0C-00505685534B</v>
          </cell>
          <cell r="E2294">
            <v>0</v>
          </cell>
        </row>
        <row r="2295">
          <cell r="A2295" t="str">
            <v>RIO DE JANEIRO</v>
          </cell>
          <cell r="C2295" t="str">
            <v>RESIDENCIAL ZURIQUE</v>
          </cell>
          <cell r="D2295" t="str">
            <v>A3D42608-7A80-E911-A828-005056856875</v>
          </cell>
          <cell r="E2295">
            <v>300</v>
          </cell>
        </row>
        <row r="2296">
          <cell r="A2296" t="str">
            <v>NOVA IGUAÇU</v>
          </cell>
          <cell r="C2296" t="str">
            <v>RESIDENCIAL CANELAS</v>
          </cell>
          <cell r="D2296" t="str">
            <v>E38535DB-558D-EE11-8E2D-009C02B0CB58</v>
          </cell>
          <cell r="E2296">
            <v>0</v>
          </cell>
        </row>
        <row r="2297">
          <cell r="A2297" t="str">
            <v>MACAÉ</v>
          </cell>
          <cell r="C2297" t="str">
            <v>REV MAR DA FLÓRIDA</v>
          </cell>
          <cell r="D2297" t="str">
            <v>471756F8-34CF-ED11-9510-005056856875</v>
          </cell>
          <cell r="E2297">
            <v>1</v>
          </cell>
        </row>
        <row r="2298">
          <cell r="A2298" t="str">
            <v>CONTAGEM</v>
          </cell>
          <cell r="C2298" t="str">
            <v>RIACHINHO– NOVO DIAMANTINE</v>
          </cell>
          <cell r="D2298" t="str">
            <v>21511602-6B81-ED11-879A-80C16E075108</v>
          </cell>
          <cell r="E2298">
            <v>0</v>
          </cell>
        </row>
        <row r="2299">
          <cell r="A2299" t="str">
            <v>UBERABA</v>
          </cell>
          <cell r="C2299" t="str">
            <v>RICARDO PRATA EMP 01</v>
          </cell>
          <cell r="D2299" t="str">
            <v>B0523D01-ED81-EF11-B65C-009C02B0CB58</v>
          </cell>
          <cell r="E2299">
            <v>0</v>
          </cell>
        </row>
        <row r="2300">
          <cell r="A2300" t="str">
            <v>RIO DE JANEIRO</v>
          </cell>
          <cell r="C2300" t="str">
            <v>RICHMOND CONDOMÍNIO RESORT</v>
          </cell>
          <cell r="D2300" t="str">
            <v>F1F6B2B1-3549-DD11-BC22-001B78B9D994</v>
          </cell>
          <cell r="E2300">
            <v>252</v>
          </cell>
        </row>
        <row r="2301">
          <cell r="A2301" t="str">
            <v>RIO DE JANEIRO</v>
          </cell>
          <cell r="C2301" t="str">
            <v>RIO CANTAREIRA</v>
          </cell>
          <cell r="D2301" t="str">
            <v>0F419DC8-1AF9-EA11-BEEB-005056856875</v>
          </cell>
          <cell r="E2301">
            <v>400</v>
          </cell>
        </row>
        <row r="2302">
          <cell r="A2302" t="str">
            <v>RIBEIRÃO PRETO</v>
          </cell>
          <cell r="C2302" t="str">
            <v>JARDIM DOS CANÁRIOS</v>
          </cell>
          <cell r="D2302" t="str">
            <v>6D6F96D8-5A66-F011-A9C1-009C02B0CB58</v>
          </cell>
          <cell r="E2302">
            <v>426</v>
          </cell>
        </row>
        <row r="2303">
          <cell r="A2303" t="str">
            <v>RIBEIRÃO PRETO</v>
          </cell>
          <cell r="C2303" t="str">
            <v>JARDIM DOS ROUXINÓIS</v>
          </cell>
          <cell r="D2303" t="str">
            <v>9BABF6B9-FF66-F011-A9C1-009C02B0CB58</v>
          </cell>
          <cell r="E2303">
            <v>136</v>
          </cell>
        </row>
        <row r="2304">
          <cell r="A2304" t="str">
            <v>RIO DE JANEIRO</v>
          </cell>
          <cell r="C2304" t="str">
            <v>RIO ESTRELA</v>
          </cell>
          <cell r="D2304" t="str">
            <v>9868EC11-BAE0-E511-9CC2-009C02B0CB58</v>
          </cell>
          <cell r="E2304">
            <v>460</v>
          </cell>
        </row>
        <row r="2305">
          <cell r="A2305" t="str">
            <v>SÃO JOSÉ DO RIO PRETO</v>
          </cell>
          <cell r="C2305" t="str">
            <v>RIO GANDINI</v>
          </cell>
          <cell r="D2305" t="str">
            <v>10CF7537-CB5A-E811-8D3F-80C16E075108</v>
          </cell>
          <cell r="E2305">
            <v>128</v>
          </cell>
        </row>
        <row r="2306">
          <cell r="A2306" t="str">
            <v>SÃO JOSÉ DO RIO PRETO</v>
          </cell>
          <cell r="C2306" t="str">
            <v>RIO NILO</v>
          </cell>
          <cell r="D2306" t="str">
            <v>B59A5932-F1DA-DF11-B242-001F2909E810</v>
          </cell>
          <cell r="E2306">
            <v>0</v>
          </cell>
        </row>
        <row r="2307">
          <cell r="A2307" t="str">
            <v>RIO DE JANEIRO</v>
          </cell>
          <cell r="C2307" t="str">
            <v>RIO OCEANE</v>
          </cell>
          <cell r="D2307" t="str">
            <v>CA29814B-4A84-E711-8E92-009C02B0CB58</v>
          </cell>
          <cell r="E2307">
            <v>360</v>
          </cell>
        </row>
        <row r="2308">
          <cell r="A2308" t="str">
            <v>SÃO JOSÉ DO RIO PRETO</v>
          </cell>
          <cell r="C2308" t="str">
            <v>RIO PRADO</v>
          </cell>
          <cell r="D2308" t="str">
            <v>8C70728D-C9D5-E711-B989-80C16E075108</v>
          </cell>
          <cell r="E2308">
            <v>368</v>
          </cell>
        </row>
        <row r="2309">
          <cell r="A2309" t="str">
            <v>SÃO JOSÉ DO RIO PRETO</v>
          </cell>
          <cell r="C2309" t="str">
            <v>RIO URUGUAI</v>
          </cell>
          <cell r="D2309" t="str">
            <v>2D938A2C-FED1-E811-944D-009C02B0CB58</v>
          </cell>
          <cell r="E2309">
            <v>320</v>
          </cell>
        </row>
        <row r="2310">
          <cell r="A2310" t="str">
            <v>SÃO JOSÉ DO RIO PRETO</v>
          </cell>
          <cell r="C2310" t="str">
            <v>RIOS D`ITÁLIA_PARQUE RIO CANDELARO</v>
          </cell>
          <cell r="D2310" t="str">
            <v>76522AE1-326A-DE11-BFF6-001F2909E83C</v>
          </cell>
          <cell r="E2310">
            <v>512</v>
          </cell>
        </row>
        <row r="2311">
          <cell r="A2311" t="str">
            <v>SÃO JOSÉ DO RIO PRETO</v>
          </cell>
          <cell r="C2311" t="str">
            <v>RIOS D`ITÁLIA_PARQUE RIO FIORA</v>
          </cell>
          <cell r="D2311" t="str">
            <v>390E852D-957D-E011-8AF4-001B78B9D994</v>
          </cell>
          <cell r="E2311">
            <v>544</v>
          </cell>
        </row>
        <row r="2312">
          <cell r="A2312" t="str">
            <v>SÃO JOSÉ DO RIO PRETO</v>
          </cell>
          <cell r="C2312" t="str">
            <v>RIOS D`ITÁLIA_PARQUE RIO FORTORE</v>
          </cell>
          <cell r="D2312" t="str">
            <v>A0400F46-967D-E011-8AF4-001B78B9D994</v>
          </cell>
          <cell r="E2312">
            <v>628</v>
          </cell>
        </row>
        <row r="2313">
          <cell r="A2313" t="str">
            <v>SÃO JOSÉ DO RIO PRETO</v>
          </cell>
          <cell r="C2313" t="str">
            <v>RIOS D`ITÁLIA_PARQUE RIO TANARO</v>
          </cell>
          <cell r="D2313" t="str">
            <v>F04D41B0-967D-E011-8AF4-001B78B9D994</v>
          </cell>
          <cell r="E2313">
            <v>400</v>
          </cell>
        </row>
        <row r="2314">
          <cell r="A2314" t="str">
            <v>SÃO JOSÉ DO RIO PRETO</v>
          </cell>
          <cell r="C2314" t="str">
            <v>RIOS DI ITÁLIA_PARQUE RIO SALSO</v>
          </cell>
          <cell r="D2314" t="str">
            <v>2CB32AA7-957D-E011-8AF4-001B78B9D994</v>
          </cell>
          <cell r="E2314">
            <v>624</v>
          </cell>
        </row>
        <row r="2315">
          <cell r="A2315" t="str">
            <v>RIO DE JANEIRO</v>
          </cell>
          <cell r="C2315" t="str">
            <v>RIVIERA CARIOCA</v>
          </cell>
          <cell r="D2315" t="str">
            <v>7E06AA01-A6C6-E511-9CC2-009C02B0CB58</v>
          </cell>
          <cell r="E2315">
            <v>120</v>
          </cell>
        </row>
        <row r="2316">
          <cell r="A2316" t="str">
            <v>SÃO GONÇALO</v>
          </cell>
          <cell r="C2316" t="str">
            <v>ROSANE EMP 01</v>
          </cell>
          <cell r="D2316" t="str">
            <v>EBABB5A0-8A52-F011-8E0C-80C16E075108</v>
          </cell>
          <cell r="E2316">
            <v>396</v>
          </cell>
        </row>
        <row r="2317">
          <cell r="A2317" t="str">
            <v>RIBEIRÃO PRETO</v>
          </cell>
          <cell r="C2317" t="str">
            <v>ROSANGELA</v>
          </cell>
          <cell r="D2317" t="str">
            <v>9E85720D-EEDA-DF11-B242-001F2909E810</v>
          </cell>
          <cell r="E2317">
            <v>24</v>
          </cell>
        </row>
        <row r="2318">
          <cell r="A2318" t="str">
            <v>UBERABA</v>
          </cell>
          <cell r="C2318" t="str">
            <v>RUA DAS PAPOULAS EMP 01</v>
          </cell>
          <cell r="D2318" t="str">
            <v>52AE00DC-AF7A-EF11-B65C-009C02B0CB58</v>
          </cell>
          <cell r="E2318">
            <v>0</v>
          </cell>
        </row>
        <row r="2319">
          <cell r="A2319" t="str">
            <v>CAMPINAS</v>
          </cell>
          <cell r="C2319" t="str">
            <v>RUBI VILLE</v>
          </cell>
          <cell r="D2319" t="str">
            <v>EF685B5C-A1C9-DC11-8D7D-001B7845B4A6</v>
          </cell>
          <cell r="E2319">
            <v>272</v>
          </cell>
        </row>
        <row r="2320">
          <cell r="A2320" t="str">
            <v>SÃO PAULO</v>
          </cell>
          <cell r="C2320" t="str">
            <v>SAINT AGOSTINI</v>
          </cell>
          <cell r="D2320" t="str">
            <v>1CC23A91-5068-DF11-9F9A-001F2909E810</v>
          </cell>
          <cell r="E2320">
            <v>120</v>
          </cell>
        </row>
        <row r="2321">
          <cell r="A2321" t="str">
            <v>SÃO PAULO</v>
          </cell>
          <cell r="C2321" t="str">
            <v>SAINT DAVID</v>
          </cell>
          <cell r="D2321" t="str">
            <v>7FA90F22-56CB-E911-941D-005056856875</v>
          </cell>
          <cell r="E2321">
            <v>320</v>
          </cell>
        </row>
        <row r="2322">
          <cell r="A2322" t="str">
            <v>SÃO PAULO</v>
          </cell>
          <cell r="C2322" t="str">
            <v>SAINT EDUARD</v>
          </cell>
          <cell r="D2322" t="str">
            <v>AE4D04BD-4F68-DF11-9F9A-001F2909E810</v>
          </cell>
          <cell r="E2322">
            <v>60</v>
          </cell>
        </row>
        <row r="2323">
          <cell r="A2323" t="str">
            <v>SÃO PAULO</v>
          </cell>
          <cell r="C2323" t="str">
            <v>SAINT JÉROME</v>
          </cell>
          <cell r="D2323" t="str">
            <v>BB2D09DE-FA0F-DF11-89FA-001F2909E810</v>
          </cell>
          <cell r="E2323">
            <v>216</v>
          </cell>
        </row>
        <row r="2324">
          <cell r="A2324" t="str">
            <v>SANTANA DE PARNAÍBA</v>
          </cell>
          <cell r="C2324" t="str">
            <v>SAINT MARCEL</v>
          </cell>
          <cell r="D2324" t="str">
            <v>59EA4CAB-4C78-E711-91B2-80C16E075108</v>
          </cell>
          <cell r="E2324">
            <v>200</v>
          </cell>
        </row>
        <row r="2325">
          <cell r="A2325" t="str">
            <v>SÃO PAULO</v>
          </cell>
          <cell r="C2325" t="str">
            <v>SAINT MICHEL</v>
          </cell>
          <cell r="D2325" t="str">
            <v>140E6683-F7CD-DC11-9ED6-001B7845B4A6</v>
          </cell>
          <cell r="E2325">
            <v>34</v>
          </cell>
        </row>
        <row r="2326">
          <cell r="A2326" t="str">
            <v>SÃO PAULO</v>
          </cell>
          <cell r="C2326" t="str">
            <v>SAINT PAUL</v>
          </cell>
          <cell r="D2326" t="str">
            <v>EDC8D849-F9CD-DC11-9ED6-001B7845B4A6</v>
          </cell>
          <cell r="E2326">
            <v>45</v>
          </cell>
        </row>
        <row r="2327">
          <cell r="A2327" t="str">
            <v>SÃO PAULO</v>
          </cell>
          <cell r="C2327" t="str">
            <v>SAINT PETER</v>
          </cell>
          <cell r="D2327" t="str">
            <v>A4F1DE47-25E2-DC11-ABD0-001B7845B4A6</v>
          </cell>
          <cell r="E2327">
            <v>108</v>
          </cell>
        </row>
        <row r="2328">
          <cell r="A2328" t="str">
            <v>BAURU</v>
          </cell>
          <cell r="C2328" t="str">
            <v>SALVADOR FILARDI 04</v>
          </cell>
          <cell r="D2328" t="str">
            <v>1CA1ACE4-F5F8-EE11-9E4D-009C02B0CB58</v>
          </cell>
          <cell r="E2328">
            <v>0</v>
          </cell>
        </row>
        <row r="2329">
          <cell r="A2329" t="str">
            <v>BAURU</v>
          </cell>
          <cell r="C2329" t="str">
            <v>SALVADOR FILARDI EMP 01</v>
          </cell>
          <cell r="D2329" t="str">
            <v>74316917-3661-EE11-8ACD-80C16E075108</v>
          </cell>
          <cell r="E2329">
            <v>460</v>
          </cell>
        </row>
        <row r="2330">
          <cell r="A2330" t="str">
            <v>BAURU</v>
          </cell>
          <cell r="C2330" t="str">
            <v>SALVADOR FILARDI EMP 02</v>
          </cell>
          <cell r="D2330" t="str">
            <v>C1127F35-EFF8-EE11-9E4D-009C02B0CB58</v>
          </cell>
          <cell r="E2330">
            <v>0</v>
          </cell>
        </row>
        <row r="2331">
          <cell r="A2331" t="str">
            <v>BAURU</v>
          </cell>
          <cell r="C2331" t="str">
            <v>SALVADOR FILARDI EMP 03</v>
          </cell>
          <cell r="D2331" t="str">
            <v>0ABEABD9-EFF8-EE11-9E4D-009C02B0CB58</v>
          </cell>
          <cell r="E2331">
            <v>0</v>
          </cell>
        </row>
        <row r="2332">
          <cell r="A2332" t="str">
            <v>SALVADOR</v>
          </cell>
          <cell r="C2332" t="str">
            <v>SALVADOR GARDEN</v>
          </cell>
          <cell r="D2332" t="str">
            <v>9C4DA59A-796D-E711-91B2-80C16E075108</v>
          </cell>
          <cell r="E2332">
            <v>320</v>
          </cell>
        </row>
        <row r="2333">
          <cell r="A2333" t="str">
            <v>CAMPINAS</v>
          </cell>
          <cell r="C2333" t="str">
            <v>SALVE JORGE EMP 01</v>
          </cell>
          <cell r="D2333" t="str">
            <v>4B2078B7-6CCC-EF11-B65C-009C02B0CB58</v>
          </cell>
          <cell r="E2333">
            <v>0</v>
          </cell>
        </row>
        <row r="2334">
          <cell r="A2334" t="str">
            <v>RIBEIRÃO PRETO</v>
          </cell>
          <cell r="C2334" t="str">
            <v>SAMANEAMIX EMP 01</v>
          </cell>
          <cell r="D2334" t="str">
            <v>EC1EF980-CA77-EC11-B501-005056856B6C</v>
          </cell>
          <cell r="E2334">
            <v>0</v>
          </cell>
        </row>
        <row r="2335">
          <cell r="A2335" t="str">
            <v>RIBEIRÃO PRETO</v>
          </cell>
          <cell r="C2335" t="str">
            <v>SAMANEAMIX EMP 02</v>
          </cell>
          <cell r="D2335" t="str">
            <v>832C8D2E-CB77-EC11-B501-005056856B6C</v>
          </cell>
          <cell r="E2335">
            <v>0</v>
          </cell>
        </row>
        <row r="2336">
          <cell r="A2336" t="str">
            <v>RIBEIRÃO PRETO</v>
          </cell>
          <cell r="C2336" t="str">
            <v>SAMANEAMIX EMP 04</v>
          </cell>
          <cell r="D2336" t="str">
            <v>3C23738D-CB77-EC11-B501-005056856B6C</v>
          </cell>
          <cell r="E2336">
            <v>0</v>
          </cell>
        </row>
        <row r="2337">
          <cell r="A2337" t="str">
            <v>SÃO BERNARDO DO CAMPO</v>
          </cell>
          <cell r="C2337" t="str">
            <v>SAN ANDRES</v>
          </cell>
          <cell r="D2337" t="str">
            <v>C211FC09-391F-E011-B242-001F2909E810</v>
          </cell>
          <cell r="E2337">
            <v>256</v>
          </cell>
        </row>
        <row r="2338">
          <cell r="A2338" t="str">
            <v>SÃO PAULO</v>
          </cell>
          <cell r="C2338" t="str">
            <v>SAN DONATO</v>
          </cell>
          <cell r="D2338" t="str">
            <v>4A093D77-4836-E711-B3B8-009C02B0CB58</v>
          </cell>
          <cell r="E2338">
            <v>288</v>
          </cell>
        </row>
        <row r="2339">
          <cell r="A2339" t="str">
            <v>SÃO PAULO</v>
          </cell>
          <cell r="C2339" t="str">
            <v>SAN FAUZINE</v>
          </cell>
          <cell r="D2339" t="str">
            <v>586C1642-4BA1-EB11-94B3-005056856875</v>
          </cell>
          <cell r="E2339">
            <v>192</v>
          </cell>
        </row>
        <row r="2340">
          <cell r="A2340" t="str">
            <v>SÃO PAULO</v>
          </cell>
          <cell r="C2340" t="str">
            <v>SAN FELICE</v>
          </cell>
          <cell r="D2340" t="str">
            <v>DAF7DE20-86FC-EC11-B1AD-005056856875</v>
          </cell>
          <cell r="E2340">
            <v>160</v>
          </cell>
        </row>
        <row r="2341">
          <cell r="A2341" t="str">
            <v>SÃO PAULO</v>
          </cell>
          <cell r="C2341" t="str">
            <v>SAN FELIPPO</v>
          </cell>
          <cell r="D2341" t="str">
            <v>1845A1AC-B725-EA11-BA0A-0050568AA20F</v>
          </cell>
          <cell r="E2341">
            <v>160</v>
          </cell>
        </row>
        <row r="2342">
          <cell r="A2342" t="str">
            <v>SÃO PAULO</v>
          </cell>
          <cell r="C2342" t="str">
            <v>SAN FLORIANO</v>
          </cell>
          <cell r="D2342" t="str">
            <v>E48640A3-FAC0-E811-944D-009C02B0CB58</v>
          </cell>
          <cell r="E2342">
            <v>400</v>
          </cell>
        </row>
        <row r="2343">
          <cell r="A2343" t="str">
            <v>SÃO PAULO</v>
          </cell>
          <cell r="C2343" t="str">
            <v>SAN GIOVANNI</v>
          </cell>
          <cell r="D2343" t="str">
            <v>B71E8AB2-AC8A-E811-8D3F-80C16E075108</v>
          </cell>
          <cell r="E2343">
            <v>240</v>
          </cell>
        </row>
        <row r="2344">
          <cell r="A2344" t="str">
            <v>SANTO ANDRÉ</v>
          </cell>
          <cell r="C2344" t="str">
            <v>SAN ISIDORO</v>
          </cell>
          <cell r="D2344" t="str">
            <v>BD5C204F-FA63-DD11-B13B-001B78B9D994</v>
          </cell>
          <cell r="E2344">
            <v>288</v>
          </cell>
        </row>
        <row r="2345">
          <cell r="A2345" t="str">
            <v>SÃO PAULO</v>
          </cell>
          <cell r="C2345" t="str">
            <v>SAN LORENZO</v>
          </cell>
          <cell r="D2345" t="str">
            <v>3B2B1F4A-B1CE-DC11-9ED6-001B7845B4A6</v>
          </cell>
          <cell r="E2345">
            <v>13</v>
          </cell>
        </row>
        <row r="2346">
          <cell r="A2346" t="str">
            <v>SANTO ANDRÉ</v>
          </cell>
          <cell r="C2346" t="str">
            <v>SAN LUIGI</v>
          </cell>
          <cell r="D2346" t="str">
            <v>0DB821D3-F963-DD11-B13B-001B78B9D994</v>
          </cell>
          <cell r="E2346">
            <v>336</v>
          </cell>
        </row>
        <row r="2347">
          <cell r="A2347" t="str">
            <v>SANTO ANDRÉ</v>
          </cell>
          <cell r="C2347" t="str">
            <v>SAN MAGNO</v>
          </cell>
          <cell r="D2347" t="str">
            <v>BC251F78-7992-E711-91B2-80C16E075108</v>
          </cell>
          <cell r="E2347">
            <v>256</v>
          </cell>
        </row>
        <row r="2348">
          <cell r="A2348" t="str">
            <v>SÃO PAULO</v>
          </cell>
          <cell r="C2348" t="str">
            <v>SAN PABLO</v>
          </cell>
          <cell r="D2348" t="str">
            <v>A977FDE2-BBCE-DC11-9ED6-001B7845B4A6</v>
          </cell>
          <cell r="E2348">
            <v>145</v>
          </cell>
        </row>
        <row r="2349">
          <cell r="A2349" t="str">
            <v>BELO HORIZONTE</v>
          </cell>
          <cell r="C2349" t="str">
            <v>SAN REMO</v>
          </cell>
          <cell r="D2349" t="str">
            <v>84236697-45DC-DF11-B242-001F2909E810</v>
          </cell>
          <cell r="E2349">
            <v>4</v>
          </cell>
        </row>
        <row r="2350">
          <cell r="A2350" t="str">
            <v>SÃO PAULO</v>
          </cell>
          <cell r="C2350" t="str">
            <v>SAN VINCENZO</v>
          </cell>
          <cell r="D2350" t="str">
            <v>06E21E50-5436-E711-B3B8-009C02B0CB58</v>
          </cell>
          <cell r="E2350">
            <v>144</v>
          </cell>
        </row>
        <row r="2351">
          <cell r="A2351" t="str">
            <v>GUARULHOS</v>
          </cell>
          <cell r="C2351" t="str">
            <v>SANTA BEATRIZ</v>
          </cell>
          <cell r="D2351" t="str">
            <v>214EC502-FE47-E811-8CE7-80C16E075108</v>
          </cell>
          <cell r="E2351">
            <v>340</v>
          </cell>
        </row>
        <row r="2352">
          <cell r="A2352" t="str">
            <v>BELO HORIZONTE</v>
          </cell>
          <cell r="C2352" t="str">
            <v>SANTA ROSA</v>
          </cell>
          <cell r="D2352" t="str">
            <v>8CBAFCDA-45DC-DF11-B242-001F2909E810</v>
          </cell>
          <cell r="E2352">
            <v>0</v>
          </cell>
        </row>
        <row r="2353">
          <cell r="A2353" t="str">
            <v>POÁ</v>
          </cell>
          <cell r="C2353" t="str">
            <v>SÃO BENTO</v>
          </cell>
          <cell r="D2353" t="str">
            <v>A3D6738D-D588-E711-9B04-005056856B6C</v>
          </cell>
          <cell r="E2353">
            <v>500</v>
          </cell>
        </row>
        <row r="2354">
          <cell r="A2354" t="str">
            <v>SÃO PAULO</v>
          </cell>
          <cell r="C2354" t="str">
            <v>SÃO CAMILO EMP 01</v>
          </cell>
          <cell r="D2354" t="str">
            <v>6D62C7D4-4C57-F011-8E0C-80C16E075108</v>
          </cell>
          <cell r="E2354">
            <v>0</v>
          </cell>
        </row>
        <row r="2355">
          <cell r="A2355" t="str">
            <v>BELO HORIZONTE</v>
          </cell>
          <cell r="C2355" t="str">
            <v>RESIDENCIAL HORIZONTE DO PLANALTO</v>
          </cell>
          <cell r="D2355" t="str">
            <v>C3172E78-86EA-ED11-9510-005056856875</v>
          </cell>
          <cell r="E2355">
            <v>0</v>
          </cell>
        </row>
        <row r="2356">
          <cell r="A2356" t="str">
            <v>GUARULHOS</v>
          </cell>
          <cell r="C2356" t="str">
            <v>SAVEIRO FURACÃO EMP 01</v>
          </cell>
          <cell r="D2356" t="str">
            <v>FA3BC56C-99B1-EF11-AB5A-80C16E075108</v>
          </cell>
          <cell r="E2356">
            <v>0</v>
          </cell>
        </row>
        <row r="2357">
          <cell r="A2357" t="str">
            <v>SÃO PAULO</v>
          </cell>
          <cell r="C2357" t="str">
            <v>SEBASTIAN BACH</v>
          </cell>
          <cell r="D2357" t="str">
            <v>4AA96B50-19E2-DC11-ABD0-001B7845B4A6</v>
          </cell>
          <cell r="E2357">
            <v>260</v>
          </cell>
        </row>
        <row r="2358">
          <cell r="A2358" t="str">
            <v>FORTALEZA</v>
          </cell>
          <cell r="C2358" t="str">
            <v>SEFAZ CASTELÃO EMP 01</v>
          </cell>
          <cell r="D2358" t="str">
            <v>1F550FC0-4A39-EF11-9143-80C16E075108</v>
          </cell>
          <cell r="E2358">
            <v>0</v>
          </cell>
        </row>
        <row r="2359">
          <cell r="A2359" t="str">
            <v>JUNDIAÍ</v>
          </cell>
          <cell r="C2359" t="str">
            <v>SEM GLÚTEN EMP 01</v>
          </cell>
          <cell r="D2359" t="str">
            <v>C4D3476E-59AE-EF11-B65C-009C02B0CB58</v>
          </cell>
          <cell r="E2359">
            <v>0</v>
          </cell>
        </row>
        <row r="2360">
          <cell r="A2360" t="str">
            <v>BELO HORIZONTE</v>
          </cell>
          <cell r="C2360" t="str">
            <v>SENNA</v>
          </cell>
          <cell r="D2360" t="str">
            <v>DCFDF114-46DC-DF11-B242-001F2909E810</v>
          </cell>
          <cell r="E2360">
            <v>9</v>
          </cell>
        </row>
        <row r="2361">
          <cell r="A2361" t="str">
            <v>BRASÍLIA</v>
          </cell>
          <cell r="C2361" t="str">
            <v>SENSIA ÁGUAS CLARAS</v>
          </cell>
          <cell r="D2361" t="str">
            <v>EB93618B-D81A-EC11-B501-005056856B6C</v>
          </cell>
          <cell r="E2361">
            <v>0</v>
          </cell>
        </row>
        <row r="2362">
          <cell r="A2362" t="str">
            <v>RIO DE JANEIRO</v>
          </cell>
          <cell r="C2362" t="str">
            <v>SENSIA AMÉRICAS</v>
          </cell>
          <cell r="D2362" t="str">
            <v>E54F5A40-2642-EC11-B501-005056856B6C</v>
          </cell>
          <cell r="E2362">
            <v>0</v>
          </cell>
        </row>
        <row r="2363">
          <cell r="A2363" t="str">
            <v>MARINGÁ</v>
          </cell>
          <cell r="C2363" t="str">
            <v>SENSIA ARBO</v>
          </cell>
          <cell r="D2363" t="str">
            <v>D8CC8983-45F4-E611-ABB6-80C16E075108</v>
          </cell>
          <cell r="E2363">
            <v>384</v>
          </cell>
        </row>
        <row r="2364">
          <cell r="A2364" t="str">
            <v>MANAUS</v>
          </cell>
          <cell r="C2364" t="str">
            <v>SENSIA BROMÉLIAS</v>
          </cell>
          <cell r="D2364" t="str">
            <v>4C6F70AC-5947-EA11-801D-005056856875</v>
          </cell>
          <cell r="E2364">
            <v>0</v>
          </cell>
        </row>
        <row r="2365">
          <cell r="A2365" t="str">
            <v>CONTAGEM</v>
          </cell>
          <cell r="C2365" t="str">
            <v>SENSIA CABRAL</v>
          </cell>
          <cell r="D2365" t="str">
            <v>96E2ABFE-6BE9-DC11-ABD0-001B7845B4A6</v>
          </cell>
          <cell r="E2365">
            <v>0</v>
          </cell>
        </row>
        <row r="2366">
          <cell r="A2366" t="str">
            <v>SALVADOR</v>
          </cell>
          <cell r="C2366" t="str">
            <v>SENSIA COSTA AZUL</v>
          </cell>
          <cell r="D2366" t="str">
            <v>69BA1FA4-585C-EC11-B501-005056856B6C</v>
          </cell>
          <cell r="E2366">
            <v>0</v>
          </cell>
        </row>
        <row r="2367">
          <cell r="A2367" t="str">
            <v>CURITIBA</v>
          </cell>
          <cell r="C2367" t="str">
            <v>SENSIA JARDIM BOTÂNICO</v>
          </cell>
          <cell r="D2367" t="str">
            <v>9CFDE315-C277-EC11-B501-005056856B6C</v>
          </cell>
          <cell r="E2367">
            <v>256</v>
          </cell>
        </row>
        <row r="2368">
          <cell r="A2368" t="str">
            <v>RIBEIRÃO PRETO</v>
          </cell>
          <cell r="C2368" t="str">
            <v>SENSIA JARDINS</v>
          </cell>
          <cell r="D2368" t="str">
            <v>BAD63B80-6D07-EC11-A30E-0050568A2E98</v>
          </cell>
          <cell r="E2368">
            <v>0</v>
          </cell>
        </row>
        <row r="2369">
          <cell r="A2369" t="str">
            <v>LONDRINA</v>
          </cell>
          <cell r="C2369" t="str">
            <v>SENSIA PALHANO</v>
          </cell>
          <cell r="D2369" t="str">
            <v>29BED090-7B44-EB11-85D0-005056856875</v>
          </cell>
          <cell r="E2369">
            <v>160</v>
          </cell>
        </row>
        <row r="2370">
          <cell r="A2370" t="str">
            <v>BELO HORIZONTE</v>
          </cell>
          <cell r="C2370" t="str">
            <v>SERRA DA CANASTRA</v>
          </cell>
          <cell r="D2370" t="str">
            <v>0CD31A50-46DC-DF11-B242-001F2909E810</v>
          </cell>
          <cell r="E2370">
            <v>6</v>
          </cell>
        </row>
        <row r="2371">
          <cell r="A2371" t="str">
            <v>SÃO PAULO</v>
          </cell>
          <cell r="C2371" t="str">
            <v>SERRA DA CANTAREIRA</v>
          </cell>
          <cell r="D2371" t="str">
            <v>8A96E639-F4DE-E511-B93A-80C16E075108</v>
          </cell>
          <cell r="E2371">
            <v>288</v>
          </cell>
        </row>
        <row r="2372">
          <cell r="A2372" t="str">
            <v>CONTAGEM</v>
          </cell>
          <cell r="C2372" t="str">
            <v>SERRA DO CIPÓ</v>
          </cell>
          <cell r="D2372" t="str">
            <v>C54B15EF-7B65-DD11-B13B-001B78B9D994</v>
          </cell>
          <cell r="E2372">
            <v>64</v>
          </cell>
        </row>
        <row r="2373">
          <cell r="A2373" t="str">
            <v>CONTAGEM</v>
          </cell>
          <cell r="C2373" t="str">
            <v>SERRA DOS CRISTAIS</v>
          </cell>
          <cell r="D2373" t="str">
            <v>2C864321-5B33-DE11-B0E7-001F2909E83C</v>
          </cell>
          <cell r="E2373">
            <v>0</v>
          </cell>
        </row>
        <row r="2374">
          <cell r="A2374" t="str">
            <v>BELO HORIZONTE</v>
          </cell>
          <cell r="C2374" t="str">
            <v>SERRA VERDE</v>
          </cell>
          <cell r="D2374" t="str">
            <v>3D7F8391-46DC-DF11-B242-001F2909E810</v>
          </cell>
          <cell r="E2374">
            <v>0</v>
          </cell>
        </row>
        <row r="2375">
          <cell r="A2375" t="str">
            <v>SÃO PAULO</v>
          </cell>
          <cell r="C2375" t="str">
            <v>SHAKESPEARE</v>
          </cell>
          <cell r="D2375" t="str">
            <v>01D42A6E-32E2-DC11-ABD0-001B7845B4A6</v>
          </cell>
          <cell r="E2375">
            <v>120</v>
          </cell>
        </row>
        <row r="2376">
          <cell r="A2376" t="str">
            <v>SÃO JOSÉ DOS CAMPOS</v>
          </cell>
          <cell r="C2376" t="str">
            <v>SHEILA</v>
          </cell>
          <cell r="D2376" t="str">
            <v>57238CBF-C3CC-DF11-B242-001F2909E810</v>
          </cell>
          <cell r="E2376">
            <v>12</v>
          </cell>
        </row>
        <row r="2377">
          <cell r="A2377" t="str">
            <v>VOTORANTIM</v>
          </cell>
          <cell r="C2377" t="str">
            <v>SICÍLIA</v>
          </cell>
          <cell r="D2377" t="str">
            <v>6E6CCB11-CB54-DD11-BC22-001B78B9D994</v>
          </cell>
          <cell r="E2377">
            <v>1560</v>
          </cell>
        </row>
        <row r="2378">
          <cell r="A2378" t="str">
            <v>CANOAS</v>
          </cell>
          <cell r="C2378" t="str">
            <v>SIEMENS EMP 01</v>
          </cell>
          <cell r="D2378" t="str">
            <v>0425DB03-8F30-EE11-8ACD-80C16E075108</v>
          </cell>
          <cell r="E2378">
            <v>0</v>
          </cell>
        </row>
        <row r="2379">
          <cell r="A2379" t="str">
            <v>CONTAGEM</v>
          </cell>
          <cell r="C2379" t="str">
            <v>SIENA CONDOMÍNIO RESORT</v>
          </cell>
          <cell r="D2379" t="str">
            <v>7419FAD5-EFE9-DC11-ABD0-001B7845B4A6</v>
          </cell>
          <cell r="E2379">
            <v>384</v>
          </cell>
        </row>
        <row r="2380">
          <cell r="A2380" t="str">
            <v>SALVADOR</v>
          </cell>
          <cell r="C2380" t="str">
            <v>SILVESTRESTALONGE EMP 01</v>
          </cell>
          <cell r="D2380" t="str">
            <v>F5846616-5D3D-F011-AB5A-80C16E075108</v>
          </cell>
          <cell r="E2380">
            <v>0</v>
          </cell>
        </row>
        <row r="2381">
          <cell r="A2381" t="str">
            <v>PALHOÇA</v>
          </cell>
          <cell r="C2381" t="str">
            <v>RESIDENCIAL FLORATTA</v>
          </cell>
          <cell r="D2381" t="str">
            <v>4F25626F-EF0C-F011-B65C-009C02B0CB58</v>
          </cell>
          <cell r="E2381">
            <v>0</v>
          </cell>
        </row>
        <row r="2382">
          <cell r="A2382" t="str">
            <v>CAMPOS DOS GOYTACAZES</v>
          </cell>
          <cell r="C2382" t="str">
            <v>SOLAR DA BARONESA</v>
          </cell>
          <cell r="D2382" t="str">
            <v>63F9D191-7FA7-E711-91B2-80C16E075108</v>
          </cell>
          <cell r="E2382">
            <v>240</v>
          </cell>
        </row>
        <row r="2383">
          <cell r="A2383" t="str">
            <v>ARACAJU</v>
          </cell>
          <cell r="C2383" t="str">
            <v>SOLAR BELA VISTA</v>
          </cell>
          <cell r="D2383" t="str">
            <v>EE5A6AAF-F181-EF11-B65C-009C02B0CB58</v>
          </cell>
          <cell r="E2383">
            <v>0</v>
          </cell>
        </row>
        <row r="2384">
          <cell r="A2384" t="str">
            <v>ARACAJU</v>
          </cell>
          <cell r="C2384" t="str">
            <v>SOLAR BELO RIO</v>
          </cell>
          <cell r="D2384" t="str">
            <v>047B93E5-9497-EF11-B65C-009C02B0CB58</v>
          </cell>
          <cell r="E2384">
            <v>0</v>
          </cell>
        </row>
        <row r="2385">
          <cell r="A2385" t="str">
            <v>CAMAÇARI</v>
          </cell>
          <cell r="C2385" t="str">
            <v>SOLAR DA COSTA_COSTA DAS BALEIAS</v>
          </cell>
          <cell r="D2385" t="str">
            <v>DF6A5C88-9FA2-E511-B93A-80C16E075108</v>
          </cell>
          <cell r="E2385">
            <v>420</v>
          </cell>
        </row>
        <row r="2386">
          <cell r="A2386" t="str">
            <v>LAURO DE FREITAS</v>
          </cell>
          <cell r="C2386" t="str">
            <v>SOLAR DA PRAIA</v>
          </cell>
          <cell r="D2386" t="str">
            <v>1CC09A5F-DAAD-E711-91B2-80C16E075108</v>
          </cell>
          <cell r="E2386">
            <v>200</v>
          </cell>
        </row>
        <row r="2387">
          <cell r="A2387" t="str">
            <v>CAMAÇARI</v>
          </cell>
          <cell r="C2387" t="str">
            <v>SOLAR DAS AMENDOEIRAS</v>
          </cell>
          <cell r="D2387" t="str">
            <v>DDB54B14-AABA-E811-A4F5-80C16E075108</v>
          </cell>
          <cell r="E2387">
            <v>440</v>
          </cell>
        </row>
        <row r="2388">
          <cell r="A2388" t="str">
            <v>LAURO DE FREITAS</v>
          </cell>
          <cell r="C2388" t="str">
            <v>SOLAR DAS DUNAS</v>
          </cell>
          <cell r="D2388" t="str">
            <v>0D14357E-C4AD-E711-91B2-80C16E075108</v>
          </cell>
          <cell r="E2388">
            <v>400</v>
          </cell>
        </row>
        <row r="2389">
          <cell r="A2389" t="str">
            <v>LAURO DE FREITAS</v>
          </cell>
          <cell r="C2389" t="str">
            <v>SOLAR DAS FLORES</v>
          </cell>
          <cell r="D2389" t="str">
            <v>D10D7493-D6AD-E711-91B2-80C16E075108</v>
          </cell>
          <cell r="E2389">
            <v>260</v>
          </cell>
        </row>
        <row r="2390">
          <cell r="A2390" t="str">
            <v>LAURO DE FREITAS</v>
          </cell>
          <cell r="C2390" t="str">
            <v>SOLAR DAS FONTES</v>
          </cell>
          <cell r="D2390" t="str">
            <v>B71F8B47-DBAD-E711-91B2-80C16E075108</v>
          </cell>
          <cell r="E2390">
            <v>240</v>
          </cell>
        </row>
        <row r="2391">
          <cell r="A2391" t="str">
            <v>SUZANO</v>
          </cell>
          <cell r="C2391" t="str">
            <v>SOLAR DAS HORTÊNCIAS</v>
          </cell>
          <cell r="D2391" t="str">
            <v>F1C17BF2-9BC7-E211-83E6-80C16E075108</v>
          </cell>
          <cell r="E2391">
            <v>12</v>
          </cell>
        </row>
        <row r="2392">
          <cell r="A2392" t="str">
            <v>SUZANO</v>
          </cell>
          <cell r="C2392" t="str">
            <v>SOLAR DAS OLIVEIRAS</v>
          </cell>
          <cell r="D2392" t="str">
            <v>2486C837-9CC7-E211-83E6-80C16E075108</v>
          </cell>
          <cell r="E2392">
            <v>10</v>
          </cell>
        </row>
        <row r="2393">
          <cell r="A2393" t="str">
            <v>CAMAÇARI</v>
          </cell>
          <cell r="C2393" t="str">
            <v>SOLAR DE IBIZA</v>
          </cell>
          <cell r="D2393" t="str">
            <v>3814E726-9712-E811-B989-80C16E075108</v>
          </cell>
          <cell r="E2393">
            <v>320</v>
          </cell>
        </row>
        <row r="2394">
          <cell r="A2394" t="str">
            <v>CAMAÇARI</v>
          </cell>
          <cell r="C2394" t="str">
            <v>SOLAR DE MAIORCA</v>
          </cell>
          <cell r="D2394" t="str">
            <v>956232BC-9712-E811-B989-80C16E075108</v>
          </cell>
          <cell r="E2394">
            <v>440</v>
          </cell>
        </row>
        <row r="2395">
          <cell r="A2395" t="str">
            <v>SALVADOR</v>
          </cell>
          <cell r="C2395" t="str">
            <v>SOLAR DO ORIENTE</v>
          </cell>
          <cell r="D2395" t="str">
            <v>F4B36040-915C-E911-90BB-80C16E075108</v>
          </cell>
          <cell r="E2395">
            <v>200</v>
          </cell>
        </row>
        <row r="2396">
          <cell r="A2396" t="str">
            <v>LAURO DE FREITAS</v>
          </cell>
          <cell r="C2396" t="str">
            <v>SOLAR DO PORTO</v>
          </cell>
          <cell r="D2396" t="str">
            <v>75B37AB4-D0AD-E711-91B2-80C16E075108</v>
          </cell>
          <cell r="E2396">
            <v>320</v>
          </cell>
        </row>
        <row r="2397">
          <cell r="A2397" t="str">
            <v>SUZANO</v>
          </cell>
          <cell r="C2397" t="str">
            <v>SOLAR DOS ALPES</v>
          </cell>
          <cell r="D2397" t="str">
            <v>DDD8EA7B-0B48-EE11-9510-005056856875</v>
          </cell>
          <cell r="E2397">
            <v>0</v>
          </cell>
        </row>
        <row r="2398">
          <cell r="A2398" t="str">
            <v>LAURO DE FREITAS</v>
          </cell>
          <cell r="C2398" t="str">
            <v>SOLAR DOS MARES</v>
          </cell>
          <cell r="D2398" t="str">
            <v>AC1701D5-C8AD-E711-91B2-80C16E075108</v>
          </cell>
          <cell r="E2398">
            <v>320</v>
          </cell>
        </row>
        <row r="2399">
          <cell r="A2399" t="str">
            <v>SÃO PAULO</v>
          </cell>
          <cell r="C2399" t="str">
            <v>SOLARLUX EMP 01</v>
          </cell>
          <cell r="D2399" t="str">
            <v>6493B02F-E5CC-EF11-B65C-009C02B0CB58</v>
          </cell>
          <cell r="E2399">
            <v>0</v>
          </cell>
        </row>
        <row r="2400">
          <cell r="A2400" t="str">
            <v>ARARAQUARA</v>
          </cell>
          <cell r="C2400" t="str">
            <v>SPAZIO ABBOCATO</v>
          </cell>
          <cell r="D2400" t="str">
            <v>F7CA081D-0DEB-DC11-A2F9-001B7845B4A6</v>
          </cell>
          <cell r="E2400">
            <v>112</v>
          </cell>
        </row>
        <row r="2401">
          <cell r="A2401" t="str">
            <v>AMERICANA</v>
          </cell>
          <cell r="C2401" t="str">
            <v>SPAZIO ACRÓPOLIS</v>
          </cell>
          <cell r="D2401" t="str">
            <v>3836BC4B-9AEE-DC11-A2F9-001B7845B4A6</v>
          </cell>
          <cell r="E2401">
            <v>248</v>
          </cell>
        </row>
        <row r="2402">
          <cell r="A2402" t="str">
            <v>ARACAJU</v>
          </cell>
          <cell r="C2402" t="str">
            <v>SPAZIO ALAMEDA DOS IPÊS</v>
          </cell>
          <cell r="D2402" t="str">
            <v>6D80717A-264F-E411-8EFB-009C02B0CB58</v>
          </cell>
          <cell r="E2402">
            <v>400</v>
          </cell>
        </row>
        <row r="2403">
          <cell r="A2403" t="str">
            <v>ARAÇATUBA</v>
          </cell>
          <cell r="C2403" t="str">
            <v>SPAZIO ALBANY</v>
          </cell>
          <cell r="D2403" t="str">
            <v>2D631ACD-0375-DD11-8A4F-001B78B9D994</v>
          </cell>
          <cell r="E2403">
            <v>168</v>
          </cell>
        </row>
        <row r="2404">
          <cell r="A2404" t="str">
            <v>SÃO PAULO</v>
          </cell>
          <cell r="C2404" t="str">
            <v>SPAZIO ALTO DO MIRANTE</v>
          </cell>
          <cell r="D2404" t="str">
            <v>4AB6132F-8ACB-E511-B93A-80C16E075108</v>
          </cell>
          <cell r="E2404">
            <v>288</v>
          </cell>
        </row>
        <row r="2405">
          <cell r="A2405" t="str">
            <v>AMERICANA</v>
          </cell>
          <cell r="C2405" t="str">
            <v>SPAZIO AMALFI</v>
          </cell>
          <cell r="D2405" t="str">
            <v>55660AF0-68FF-DC11-8284-001B7845B4A6</v>
          </cell>
          <cell r="E2405">
            <v>72</v>
          </cell>
        </row>
        <row r="2406">
          <cell r="A2406" t="str">
            <v>AMERICANA</v>
          </cell>
          <cell r="C2406" t="str">
            <v>SPAZIO AMARETTO</v>
          </cell>
          <cell r="D2406" t="str">
            <v>AD68DDCE-6CF0-DC11-A2F9-001B7845B4A6</v>
          </cell>
          <cell r="E2406">
            <v>192</v>
          </cell>
        </row>
        <row r="2407">
          <cell r="A2407" t="str">
            <v>ARARAQUARA</v>
          </cell>
          <cell r="C2407" t="str">
            <v>SPAZIO AMENDOEIRAS</v>
          </cell>
          <cell r="D2407" t="str">
            <v>27068396-FEEA-DC11-A2F9-001B7845B4A6</v>
          </cell>
          <cell r="E2407">
            <v>40</v>
          </cell>
        </row>
        <row r="2408">
          <cell r="A2408" t="str">
            <v>ARAPONGAS</v>
          </cell>
          <cell r="C2408" t="str">
            <v>SPAZIO ARABELLA</v>
          </cell>
          <cell r="D2408" t="str">
            <v>ECC0D9E9-CAC8-E011-85C2-001F2909E810</v>
          </cell>
          <cell r="E2408">
            <v>152</v>
          </cell>
        </row>
        <row r="2409">
          <cell r="A2409" t="str">
            <v>ARARAQUARA</v>
          </cell>
          <cell r="C2409" t="str">
            <v>SPAZIO ARACAJU</v>
          </cell>
          <cell r="D2409" t="str">
            <v>162E6762-B1CA-DC11-8D7D-001B7845B4A6</v>
          </cell>
          <cell r="E2409">
            <v>48</v>
          </cell>
        </row>
        <row r="2410">
          <cell r="A2410" t="str">
            <v>ARARAQUARA</v>
          </cell>
          <cell r="C2410" t="str">
            <v>SPAZIO ARAUCARIAS</v>
          </cell>
          <cell r="D2410" t="str">
            <v>FD51A013-FEEA-DC11-A2F9-001B7845B4A6</v>
          </cell>
          <cell r="E2410">
            <v>144</v>
          </cell>
        </row>
        <row r="2411">
          <cell r="A2411" t="str">
            <v>AMERICANA</v>
          </cell>
          <cell r="C2411" t="str">
            <v>SPAZIO ARBORETO</v>
          </cell>
          <cell r="D2411" t="str">
            <v>6CF30EDB-57C8-DC11-8D7D-001B7845B4A6</v>
          </cell>
          <cell r="E2411">
            <v>48</v>
          </cell>
        </row>
        <row r="2412">
          <cell r="A2412" t="str">
            <v>AMERICANA</v>
          </cell>
          <cell r="C2412" t="str">
            <v>SPAZIO AREZZO</v>
          </cell>
          <cell r="D2412" t="str">
            <v>75444E62-3100-DD11-8284-001B7845B4A6</v>
          </cell>
          <cell r="E2412">
            <v>94</v>
          </cell>
        </row>
        <row r="2413">
          <cell r="A2413" t="str">
            <v>ARARAQUARA</v>
          </cell>
          <cell r="C2413" t="str">
            <v>SPAZIO AROEIRAS</v>
          </cell>
          <cell r="D2413" t="str">
            <v>50A268B2-C0F5-DC11-A2F9-001B7845B4A6</v>
          </cell>
          <cell r="E2413">
            <v>32</v>
          </cell>
        </row>
        <row r="2414">
          <cell r="A2414" t="str">
            <v>ARARAQUARA</v>
          </cell>
          <cell r="C2414" t="str">
            <v>SPAZIO AUREA</v>
          </cell>
          <cell r="D2414" t="str">
            <v>4CCEBCFB-C7F5-DC11-A2F9-001B7845B4A6</v>
          </cell>
          <cell r="E2414">
            <v>32</v>
          </cell>
        </row>
        <row r="2415">
          <cell r="A2415" t="str">
            <v>AMERICANA</v>
          </cell>
          <cell r="C2415" t="str">
            <v>SPAZIO AVIGNON</v>
          </cell>
          <cell r="D2415" t="str">
            <v>65021DA4-AD01-DD11-8284-001B7845B4A6</v>
          </cell>
          <cell r="E2415">
            <v>24</v>
          </cell>
        </row>
        <row r="2416">
          <cell r="A2416" t="str">
            <v>AMERICANA</v>
          </cell>
          <cell r="C2416" t="str">
            <v>SPAZIO AZURRO</v>
          </cell>
          <cell r="D2416" t="str">
            <v>2DB9E2B4-D6C8-DC11-8D7D-001B7845B4A6</v>
          </cell>
          <cell r="E2416">
            <v>40</v>
          </cell>
        </row>
        <row r="2417">
          <cell r="A2417" t="str">
            <v>SALVADOR</v>
          </cell>
          <cell r="C2417" t="str">
            <v>SPAZIO BARÃO DO RIO BRANCO</v>
          </cell>
          <cell r="D2417" t="str">
            <v>F4F8B7FA-4F7E-E911-AAF3-009C02B0CB58</v>
          </cell>
          <cell r="E2417">
            <v>264</v>
          </cell>
        </row>
        <row r="2418">
          <cell r="A2418" t="str">
            <v>BLUMENAU</v>
          </cell>
          <cell r="C2418" t="str">
            <v>SPAZIO BAUHAUS</v>
          </cell>
          <cell r="D2418" t="str">
            <v>C56A9345-8AE1-E611-B1E9-009C02B0CB58</v>
          </cell>
          <cell r="E2418">
            <v>128</v>
          </cell>
        </row>
        <row r="2419">
          <cell r="A2419" t="str">
            <v>AMERICANA</v>
          </cell>
          <cell r="C2419" t="str">
            <v>SPAZIO BEACH</v>
          </cell>
          <cell r="D2419" t="str">
            <v>58AD5948-CBFA-DE11-89FA-001F2909E810</v>
          </cell>
          <cell r="E2419">
            <v>675</v>
          </cell>
        </row>
        <row r="2420">
          <cell r="A2420" t="str">
            <v>TAGUATINGA</v>
          </cell>
          <cell r="C2420" t="str">
            <v>SPAZIO BELLA VITA</v>
          </cell>
          <cell r="D2420" t="str">
            <v>A8BAEA0B-1AB7-DD11-A0C7-001B78B9D994</v>
          </cell>
          <cell r="E2420">
            <v>0</v>
          </cell>
        </row>
        <row r="2421">
          <cell r="A2421" t="str">
            <v>BAURU</v>
          </cell>
          <cell r="C2421" t="str">
            <v>SPAZIO BELLUNO</v>
          </cell>
          <cell r="D2421" t="str">
            <v>F1F08C73-6637-DF11-B3AB-001F2909E810</v>
          </cell>
          <cell r="E2421">
            <v>450</v>
          </cell>
        </row>
        <row r="2422">
          <cell r="A2422" t="str">
            <v>BAURU</v>
          </cell>
          <cell r="C2422" t="str">
            <v>SPAZIO BENFICA</v>
          </cell>
          <cell r="D2422" t="str">
            <v>0585C6A2-3975-DD11-8A4F-001B78B9D994</v>
          </cell>
          <cell r="E2422">
            <v>200</v>
          </cell>
        </row>
        <row r="2423">
          <cell r="A2423" t="str">
            <v>SÃO PAULO</v>
          </cell>
          <cell r="C2423" t="str">
            <v>SPAZIO BOSQUE DOS JEQUITIBÁS</v>
          </cell>
          <cell r="D2423" t="str">
            <v>CB9EFA36-0204-E211-9E30-001F2909E810</v>
          </cell>
          <cell r="E2423">
            <v>288</v>
          </cell>
        </row>
        <row r="2424">
          <cell r="A2424" t="str">
            <v>BRASÍLIA</v>
          </cell>
          <cell r="C2424" t="str">
            <v>SPAZIO BOULEVARD TAGUATINGA</v>
          </cell>
          <cell r="D2424" t="str">
            <v>1C1F120E-274C-DD11-BC22-001B78B9D994</v>
          </cell>
          <cell r="E2424">
            <v>88</v>
          </cell>
        </row>
        <row r="2425">
          <cell r="A2425" t="str">
            <v>BAURU</v>
          </cell>
          <cell r="C2425" t="str">
            <v>SPAZIO BRESCIA</v>
          </cell>
          <cell r="D2425" t="str">
            <v>70F338B2-AF90-DD11-917B-001B78B9D994</v>
          </cell>
          <cell r="E2425">
            <v>168</v>
          </cell>
        </row>
        <row r="2426">
          <cell r="A2426" t="str">
            <v>TAGUATINGA</v>
          </cell>
          <cell r="C2426" t="str">
            <v>SPAZIO BRISAS DE ÁGUAS CLARAS</v>
          </cell>
          <cell r="D2426" t="str">
            <v>63F00B3E-334C-DD11-BC22-001B78B9D994</v>
          </cell>
          <cell r="E2426">
            <v>108</v>
          </cell>
        </row>
        <row r="2427">
          <cell r="A2427" t="str">
            <v>BAURU</v>
          </cell>
          <cell r="C2427" t="str">
            <v>SPAZIO BROMÉLIAS</v>
          </cell>
          <cell r="D2427" t="str">
            <v>E472FCC4-1404-DE11-8C23-001B78B9D994</v>
          </cell>
          <cell r="E2427">
            <v>160</v>
          </cell>
        </row>
        <row r="2428">
          <cell r="A2428" t="str">
            <v>CURITIBA</v>
          </cell>
          <cell r="C2428" t="str">
            <v>SPAZIO CABERNET</v>
          </cell>
          <cell r="D2428" t="str">
            <v>CBC027D1-31EA-DC11-ABD0-001B7845B4A6</v>
          </cell>
          <cell r="E2428">
            <v>112</v>
          </cell>
        </row>
        <row r="2429">
          <cell r="A2429" t="str">
            <v>CURITIBA</v>
          </cell>
          <cell r="C2429" t="str">
            <v>SPAZIO CADORO</v>
          </cell>
          <cell r="D2429" t="str">
            <v>FD017313-9AFA-DC11-8284-001B7845B4A6</v>
          </cell>
          <cell r="E2429">
            <v>96</v>
          </cell>
        </row>
        <row r="2430">
          <cell r="A2430" t="str">
            <v>SÃO PAULO</v>
          </cell>
          <cell r="C2430" t="str">
            <v>SPAZIO CAMBURY</v>
          </cell>
          <cell r="D2430" t="str">
            <v>A9822907-FFDB-E511-B93A-80C16E075108</v>
          </cell>
          <cell r="E2430">
            <v>288</v>
          </cell>
        </row>
        <row r="2431">
          <cell r="A2431" t="str">
            <v>SÃO JOSÉ DOS CAMPOS</v>
          </cell>
          <cell r="C2431" t="str">
            <v>SPAZIO CAMPO ALVORADA</v>
          </cell>
          <cell r="D2431" t="str">
            <v>BF78FF5A-8EEB-DC11-A2F9-001B7845B4A6</v>
          </cell>
          <cell r="E2431">
            <v>116</v>
          </cell>
        </row>
        <row r="2432">
          <cell r="A2432" t="str">
            <v>SÃO JOSÉ DOS CAMPOS</v>
          </cell>
          <cell r="C2432" t="str">
            <v>SPAZIO CAMPO AZULLI</v>
          </cell>
          <cell r="D2432" t="str">
            <v>15D67F29-B2FA-DC11-8284-001B7845B4A6</v>
          </cell>
          <cell r="E2432">
            <v>240</v>
          </cell>
        </row>
        <row r="2433">
          <cell r="A2433" t="str">
            <v>SÃO JOSÉ DOS CAMPOS</v>
          </cell>
          <cell r="C2433" t="str">
            <v>SPAZIO CAMPO COLORATO</v>
          </cell>
          <cell r="D2433" t="str">
            <v>E48FFF56-40CB-DC11-9ED6-001B7845B4A6</v>
          </cell>
          <cell r="E2433">
            <v>199</v>
          </cell>
        </row>
        <row r="2434">
          <cell r="A2434" t="str">
            <v>SÃO JOSÉ DOS CAMPOS</v>
          </cell>
          <cell r="C2434" t="str">
            <v>SPAZIO CAMPO DAS NASCENTES</v>
          </cell>
          <cell r="D2434" t="str">
            <v>F432E484-90EB-DC11-A2F9-001B7845B4A6</v>
          </cell>
          <cell r="E2434">
            <v>40</v>
          </cell>
        </row>
        <row r="2435">
          <cell r="A2435" t="str">
            <v>SÃO JOSÉ DOS CAMPOS</v>
          </cell>
          <cell r="C2435" t="str">
            <v>SPAZIO CAMPO DI SAVOYA</v>
          </cell>
          <cell r="D2435" t="str">
            <v>C38B19A3-D5CD-DC11-9ED6-001B7845B4A6</v>
          </cell>
          <cell r="E2435">
            <v>384</v>
          </cell>
        </row>
        <row r="2436">
          <cell r="A2436" t="str">
            <v>SÃO JOSÉ DOS CAMPOS</v>
          </cell>
          <cell r="C2436" t="str">
            <v>SPAZIO CAMPO DOS LÍRIOS</v>
          </cell>
          <cell r="D2436" t="str">
            <v>E88595FD-CACD-DC11-9ED6-001B7845B4A6</v>
          </cell>
          <cell r="E2436">
            <v>120</v>
          </cell>
        </row>
        <row r="2437">
          <cell r="A2437" t="str">
            <v>SÃO JOSÉ DOS CAMPOS</v>
          </cell>
          <cell r="C2437" t="str">
            <v>SPAZIO CAMPO LAZIO</v>
          </cell>
          <cell r="D2437" t="str">
            <v>196FB23B-98CD-DC11-9ED6-001B7845B4A6</v>
          </cell>
          <cell r="E2437">
            <v>160</v>
          </cell>
        </row>
        <row r="2438">
          <cell r="A2438" t="str">
            <v>SÃO JOSÉ DOS CAMPOS</v>
          </cell>
          <cell r="C2438" t="str">
            <v>SPAZIO CAMPO MAGGIORE</v>
          </cell>
          <cell r="D2438" t="str">
            <v>36A7FB9A-608A-DD11-8A4F-001B78B9D994</v>
          </cell>
          <cell r="E2438">
            <v>12</v>
          </cell>
        </row>
        <row r="2439">
          <cell r="A2439" t="str">
            <v>SÃO JOSÉ DOS CAMPOS</v>
          </cell>
          <cell r="C2439" t="str">
            <v>SPAZIO CAMPO RIZZI</v>
          </cell>
          <cell r="D2439" t="str">
            <v>486F072A-65CE-DC11-9ED6-001B7845B4A6</v>
          </cell>
          <cell r="E2439">
            <v>90</v>
          </cell>
        </row>
        <row r="2440">
          <cell r="A2440" t="str">
            <v>ARAUCÁRIA</v>
          </cell>
          <cell r="C2440" t="str">
            <v>SPAZIO CAMPODORO</v>
          </cell>
          <cell r="D2440" t="str">
            <v>19BE1530-530C-E011-B242-001F2909E810</v>
          </cell>
          <cell r="E2440">
            <v>512</v>
          </cell>
        </row>
        <row r="2441">
          <cell r="A2441" t="str">
            <v>SÃO JOSÉ DOS CAMPOS</v>
          </cell>
          <cell r="C2441" t="str">
            <v>SPAZIO CAMPOS DI PROVENCE</v>
          </cell>
          <cell r="D2441" t="str">
            <v>BF715510-4580-DD11-8A4F-001B78B9D994</v>
          </cell>
          <cell r="E2441">
            <v>156</v>
          </cell>
        </row>
        <row r="2442">
          <cell r="A2442" t="str">
            <v>CURITIBA</v>
          </cell>
          <cell r="C2442" t="str">
            <v>SPAZIO CANTARE</v>
          </cell>
          <cell r="D2442" t="str">
            <v>20F3CF63-2EEA-DC11-ABD0-001B7845B4A6</v>
          </cell>
          <cell r="E2442">
            <v>40</v>
          </cell>
        </row>
        <row r="2443">
          <cell r="A2443" t="str">
            <v>SÃO JOSÉ DOS PINHAIS</v>
          </cell>
          <cell r="C2443" t="str">
            <v>SPAZIO CANTAREIRA</v>
          </cell>
          <cell r="D2443" t="str">
            <v>8A88CF4E-47C5-DE11-95E6-001F2909E810</v>
          </cell>
          <cell r="E2443">
            <v>320</v>
          </cell>
        </row>
        <row r="2444">
          <cell r="A2444" t="str">
            <v>CURITIBA</v>
          </cell>
          <cell r="C2444" t="str">
            <v>SPAZIO CANTO DOLCE</v>
          </cell>
          <cell r="D2444" t="str">
            <v>0F3EDE5C-29EA-DC11-ABD0-001B7845B4A6</v>
          </cell>
          <cell r="E2444">
            <v>176</v>
          </cell>
        </row>
        <row r="2445">
          <cell r="A2445" t="str">
            <v>SÃO JOSÉ DOS PINHAIS</v>
          </cell>
          <cell r="C2445" t="str">
            <v>SPAZIO CAPE TOWN</v>
          </cell>
          <cell r="D2445" t="str">
            <v>6B8E42BB-2B30-DF11-B3AB-001F2909E810</v>
          </cell>
          <cell r="E2445">
            <v>48</v>
          </cell>
        </row>
        <row r="2446">
          <cell r="A2446" t="str">
            <v>CURITIBA</v>
          </cell>
          <cell r="C2446" t="str">
            <v>SPAZIO CAP-FERRAT</v>
          </cell>
          <cell r="D2446" t="str">
            <v>89339C27-36EA-DC11-ABD0-001B7845B4A6</v>
          </cell>
          <cell r="E2446">
            <v>58</v>
          </cell>
        </row>
        <row r="2447">
          <cell r="A2447" t="str">
            <v>CAMPINAS</v>
          </cell>
          <cell r="C2447" t="str">
            <v>SPAZIO CAPRESE</v>
          </cell>
          <cell r="D2447" t="str">
            <v>8703116B-2A80-DD11-8A4F-001B78B9D994</v>
          </cell>
          <cell r="E2447">
            <v>254</v>
          </cell>
        </row>
        <row r="2448">
          <cell r="A2448" t="str">
            <v>CURITIBA</v>
          </cell>
          <cell r="C2448" t="str">
            <v>SPAZIO CAPRICCIO</v>
          </cell>
          <cell r="D2448" t="str">
            <v>C22718A9-798A-DD11-8A4F-001B78B9D994</v>
          </cell>
          <cell r="E2448">
            <v>64</v>
          </cell>
        </row>
        <row r="2449">
          <cell r="A2449" t="str">
            <v>CURITIBA</v>
          </cell>
          <cell r="C2449" t="str">
            <v>SPAZIO CARAVAGGIO</v>
          </cell>
          <cell r="D2449" t="str">
            <v>46E033CF-32EA-DC11-ABD0-001B7845B4A6</v>
          </cell>
          <cell r="E2449">
            <v>52</v>
          </cell>
        </row>
        <row r="2450">
          <cell r="A2450" t="str">
            <v>CURITIBA</v>
          </cell>
          <cell r="C2450" t="str">
            <v>SPAZIO CASTEL DI BETTEGA</v>
          </cell>
          <cell r="D2450" t="str">
            <v>5FD4EE9A-CCEA-DC11-A2F9-001B7845B4A6</v>
          </cell>
          <cell r="E2450">
            <v>592</v>
          </cell>
        </row>
        <row r="2451">
          <cell r="A2451" t="str">
            <v>CURITIBA</v>
          </cell>
          <cell r="C2451" t="str">
            <v>SPAZIO CASTELLI</v>
          </cell>
          <cell r="D2451" t="str">
            <v>CAE12F78-F4A3-DF11-B20E-001F2909E810</v>
          </cell>
          <cell r="E2451">
            <v>80</v>
          </cell>
        </row>
        <row r="2452">
          <cell r="A2452" t="str">
            <v>CAMPINAS</v>
          </cell>
          <cell r="C2452" t="str">
            <v>SPAZIO CASTELLON</v>
          </cell>
          <cell r="D2452" t="str">
            <v>F34C9DC9-65F0-DC11-A2F9-001B7845B4A6</v>
          </cell>
          <cell r="E2452">
            <v>320</v>
          </cell>
        </row>
        <row r="2453">
          <cell r="A2453" t="str">
            <v>CAMPINAS</v>
          </cell>
          <cell r="C2453" t="str">
            <v>SPAZIO CATALUÑA</v>
          </cell>
          <cell r="D2453" t="str">
            <v>4477E03B-34CF-DC11-9ED6-001B7845B4A6</v>
          </cell>
          <cell r="E2453">
            <v>26</v>
          </cell>
        </row>
        <row r="2454">
          <cell r="A2454" t="str">
            <v>CURITIBA</v>
          </cell>
          <cell r="C2454" t="str">
            <v>SPAZIO CELEBRARE</v>
          </cell>
          <cell r="D2454" t="str">
            <v>FD389AA4-BCEA-DC11-A2F9-001B7845B4A6</v>
          </cell>
          <cell r="E2454">
            <v>120</v>
          </cell>
        </row>
        <row r="2455">
          <cell r="A2455" t="str">
            <v>CURITIBA</v>
          </cell>
          <cell r="C2455" t="str">
            <v>SPAZIO CELEBRITTÁ</v>
          </cell>
          <cell r="D2455" t="str">
            <v>4901ED8E-149F-DF11-B20E-001F2909E810</v>
          </cell>
          <cell r="E2455">
            <v>80</v>
          </cell>
        </row>
        <row r="2456">
          <cell r="A2456" t="str">
            <v>SÃO JOSÉ DOS PINHAIS</v>
          </cell>
          <cell r="C2456" t="str">
            <v>SPAZIO CELTIC</v>
          </cell>
          <cell r="D2456" t="str">
            <v>4B6C00E0-C020-DF11-83FF-001F2909E810</v>
          </cell>
          <cell r="E2456">
            <v>200</v>
          </cell>
        </row>
        <row r="2457">
          <cell r="A2457" t="str">
            <v>CURITIBA</v>
          </cell>
          <cell r="C2457" t="str">
            <v>SPAZIO CENNARIO</v>
          </cell>
          <cell r="D2457" t="str">
            <v>BDDA18B2-F6FC-DC11-8284-001B7845B4A6</v>
          </cell>
          <cell r="E2457">
            <v>48</v>
          </cell>
        </row>
        <row r="2458">
          <cell r="A2458" t="str">
            <v>CURITIBA</v>
          </cell>
          <cell r="C2458" t="str">
            <v>SPAZIO CESARE</v>
          </cell>
          <cell r="D2458" t="str">
            <v>EDC919DE-8802-DD11-8284-001B7845B4A6</v>
          </cell>
          <cell r="E2458">
            <v>40</v>
          </cell>
        </row>
        <row r="2459">
          <cell r="A2459" t="str">
            <v>SÃO PAULO</v>
          </cell>
          <cell r="C2459" t="str">
            <v>SPAZIO CHÁCARA DAS FLORES</v>
          </cell>
          <cell r="D2459" t="str">
            <v>C6A86606-FBDF-E511-B93A-80C16E075108</v>
          </cell>
          <cell r="E2459">
            <v>288</v>
          </cell>
        </row>
        <row r="2460">
          <cell r="A2460" t="str">
            <v>CURITIBA</v>
          </cell>
          <cell r="C2460" t="str">
            <v>SPAZIO CHAMONIX</v>
          </cell>
          <cell r="D2460" t="str">
            <v>9C210211-C1EA-DC11-A2F9-001B7845B4A6</v>
          </cell>
          <cell r="E2460">
            <v>36</v>
          </cell>
        </row>
        <row r="2461">
          <cell r="A2461" t="str">
            <v>CURITIBA</v>
          </cell>
          <cell r="C2461" t="str">
            <v>SPAZIO CHAMP VILLE</v>
          </cell>
          <cell r="D2461" t="str">
            <v>E442DBE3-4438-DF11-B3AB-001F2909E810</v>
          </cell>
          <cell r="E2461">
            <v>552</v>
          </cell>
        </row>
        <row r="2462">
          <cell r="A2462" t="str">
            <v>CAMPINAS</v>
          </cell>
          <cell r="C2462" t="str">
            <v>SPAZIO CHAMPS ELISÉES</v>
          </cell>
          <cell r="D2462" t="str">
            <v>23026232-72CA-DC11-8D7D-001B7845B4A6</v>
          </cell>
          <cell r="E2462">
            <v>80</v>
          </cell>
        </row>
        <row r="2463">
          <cell r="A2463" t="str">
            <v>CURITIBA</v>
          </cell>
          <cell r="C2463" t="str">
            <v>SPAZIO CHARLOTTE</v>
          </cell>
          <cell r="D2463" t="str">
            <v>F6567F2B-BFE1-DF11-B242-001F2909E810</v>
          </cell>
          <cell r="E2463">
            <v>88</v>
          </cell>
        </row>
        <row r="2464">
          <cell r="A2464" t="str">
            <v>CURITIBA</v>
          </cell>
          <cell r="C2464" t="str">
            <v>SPAZIO CHATEAUBRIANT</v>
          </cell>
          <cell r="D2464" t="str">
            <v>D04DAA52-CAEA-DC11-A2F9-001B7845B4A6</v>
          </cell>
          <cell r="E2464">
            <v>72</v>
          </cell>
        </row>
        <row r="2465">
          <cell r="A2465" t="str">
            <v>CURITIBA</v>
          </cell>
          <cell r="C2465" t="str">
            <v>SPAZIO CHELSEA</v>
          </cell>
          <cell r="D2465" t="str">
            <v>EB3CDFC8-B27E-DD11-8A4F-001B78B9D994</v>
          </cell>
          <cell r="E2465">
            <v>160</v>
          </cell>
        </row>
        <row r="2466">
          <cell r="A2466" t="str">
            <v>CURITIBA</v>
          </cell>
          <cell r="C2466" t="str">
            <v>SPAZIO CHEVALIER</v>
          </cell>
          <cell r="D2466" t="str">
            <v>09FDD164-D84E-DF11-9F9A-001F2909E810</v>
          </cell>
          <cell r="E2466">
            <v>192</v>
          </cell>
        </row>
        <row r="2467">
          <cell r="A2467" t="str">
            <v>CURITIBA</v>
          </cell>
          <cell r="C2467" t="str">
            <v>SPAZIO CHIARA</v>
          </cell>
          <cell r="D2467" t="str">
            <v>5E5FE1A4-D402-E011-B242-001F2909E810</v>
          </cell>
          <cell r="E2467">
            <v>168</v>
          </cell>
        </row>
        <row r="2468">
          <cell r="A2468" t="str">
            <v>SÃO JOSÉ DOS PINHAIS</v>
          </cell>
          <cell r="C2468" t="str">
            <v>SPAZIO CIANO</v>
          </cell>
          <cell r="D2468" t="str">
            <v>81389431-447E-DF11-B20E-001F2909E810</v>
          </cell>
          <cell r="E2468">
            <v>120</v>
          </cell>
        </row>
        <row r="2469">
          <cell r="A2469" t="str">
            <v>CAMPINAS</v>
          </cell>
          <cell r="C2469" t="str">
            <v>SPAZIO CIPRIANI</v>
          </cell>
          <cell r="D2469" t="str">
            <v>6F45D083-6F26-DD11-A6D4-001B7845B4A6</v>
          </cell>
          <cell r="E2469">
            <v>30</v>
          </cell>
        </row>
        <row r="2470">
          <cell r="A2470" t="str">
            <v>CURITIBA</v>
          </cell>
          <cell r="C2470" t="str">
            <v>SPAZIO CLERMONT</v>
          </cell>
          <cell r="D2470" t="str">
            <v>00F80675-C6EA-DC11-A2F9-001B7845B4A6</v>
          </cell>
          <cell r="E2470">
            <v>46</v>
          </cell>
        </row>
        <row r="2471">
          <cell r="A2471" t="str">
            <v>CAMPO GRANDE</v>
          </cell>
          <cell r="C2471" t="str">
            <v>SPAZIO COLINA DAS PALMEIRAS</v>
          </cell>
          <cell r="D2471" t="str">
            <v>093318C8-CDF1-E111-9E30-001F2909E810</v>
          </cell>
          <cell r="E2471">
            <v>160</v>
          </cell>
        </row>
        <row r="2472">
          <cell r="A2472" t="str">
            <v>CURITIBA</v>
          </cell>
          <cell r="C2472" t="str">
            <v>SPAZIO COLÔNIA</v>
          </cell>
          <cell r="D2472" t="str">
            <v>118DC61F-C6EA-DC11-A2F9-001B7845B4A6</v>
          </cell>
          <cell r="E2472">
            <v>36</v>
          </cell>
        </row>
        <row r="2473">
          <cell r="A2473" t="str">
            <v>CURITIBA</v>
          </cell>
          <cell r="C2473" t="str">
            <v>SPAZIO CONCORD</v>
          </cell>
          <cell r="D2473" t="str">
            <v>E688923C-6827-DD11-A6D4-001B7845B4A6</v>
          </cell>
          <cell r="E2473">
            <v>142</v>
          </cell>
        </row>
        <row r="2474">
          <cell r="A2474" t="str">
            <v>CURITIBA</v>
          </cell>
          <cell r="C2474" t="str">
            <v>SPAZIO CONDOTTI</v>
          </cell>
          <cell r="D2474" t="str">
            <v>E5A45F65-8902-DD11-8284-001B7845B4A6</v>
          </cell>
          <cell r="E2474">
            <v>24</v>
          </cell>
        </row>
        <row r="2475">
          <cell r="A2475" t="str">
            <v>CAMPINAS</v>
          </cell>
          <cell r="C2475" t="str">
            <v>SPAZIO CONFIANCE</v>
          </cell>
          <cell r="D2475" t="str">
            <v>0E486BEF-B8CA-DC11-8D7D-001B7845B4A6</v>
          </cell>
          <cell r="E2475">
            <v>280</v>
          </cell>
        </row>
        <row r="2476">
          <cell r="A2476" t="str">
            <v>CURITIBA</v>
          </cell>
          <cell r="C2476" t="str">
            <v>SPAZIO CONNECTION</v>
          </cell>
          <cell r="D2476" t="str">
            <v>29E68AC3-3AF3-E311-8EFB-009C02B0CB58</v>
          </cell>
          <cell r="E2476">
            <v>256</v>
          </cell>
        </row>
        <row r="2477">
          <cell r="A2477" t="str">
            <v>CURITIBA</v>
          </cell>
          <cell r="C2477" t="str">
            <v>SPAZIO CONQUEST</v>
          </cell>
          <cell r="D2477" t="str">
            <v>01F890A6-C5EA-DC11-A2F9-001B7845B4A6</v>
          </cell>
          <cell r="E2477">
            <v>144</v>
          </cell>
        </row>
        <row r="2478">
          <cell r="A2478" t="str">
            <v>CAMPINAS</v>
          </cell>
          <cell r="C2478" t="str">
            <v>SPAZIO CONTARINI</v>
          </cell>
          <cell r="D2478" t="str">
            <v>01E040BE-3A8A-DD11-8A4F-001B78B9D994</v>
          </cell>
          <cell r="E2478">
            <v>63</v>
          </cell>
        </row>
        <row r="2479">
          <cell r="A2479" t="str">
            <v>SÃO JOSÉ DOS PINHAIS</v>
          </cell>
          <cell r="C2479" t="str">
            <v>SPAZIO CONVIVENCE</v>
          </cell>
          <cell r="D2479" t="str">
            <v>46C232E2-4CB3-DE11-8D16-001F2909E810</v>
          </cell>
          <cell r="E2479">
            <v>200</v>
          </cell>
        </row>
        <row r="2480">
          <cell r="A2480" t="str">
            <v>CAMPINAS</v>
          </cell>
          <cell r="C2480" t="str">
            <v>SPAZIO COPENHAGEN</v>
          </cell>
          <cell r="D2480" t="str">
            <v>94BCFEC9-E046-DD11-BC22-001B78B9D994</v>
          </cell>
          <cell r="E2480">
            <v>116</v>
          </cell>
        </row>
        <row r="2481">
          <cell r="A2481" t="str">
            <v>CURITIBA</v>
          </cell>
          <cell r="C2481" t="str">
            <v>SPAZIO CORSINI</v>
          </cell>
          <cell r="D2481" t="str">
            <v>15A31A20-8802-DD11-8284-001B7845B4A6</v>
          </cell>
          <cell r="E2481">
            <v>24</v>
          </cell>
        </row>
        <row r="2482">
          <cell r="A2482" t="str">
            <v>CURITIBA</v>
          </cell>
          <cell r="C2482" t="str">
            <v>SPAZIO COSMOPOLITAN</v>
          </cell>
          <cell r="D2482" t="str">
            <v>9A6B49B2-BFEA-DC11-A2F9-001B7845B4A6</v>
          </cell>
          <cell r="E2482">
            <v>172</v>
          </cell>
        </row>
        <row r="2483">
          <cell r="A2483" t="str">
            <v>CAMPINAS</v>
          </cell>
          <cell r="C2483" t="str">
            <v>SPAZIO COSTA DO SOL</v>
          </cell>
          <cell r="D2483" t="str">
            <v>17DD54E7-75F0-DC11-A2F9-001B7845B4A6</v>
          </cell>
          <cell r="E2483">
            <v>84</v>
          </cell>
        </row>
        <row r="2484">
          <cell r="A2484" t="str">
            <v>CAMPINAS</v>
          </cell>
          <cell r="C2484" t="str">
            <v>SPAZIO COSTA REI</v>
          </cell>
          <cell r="D2484" t="str">
            <v>243D8D23-E546-DD11-BC22-001B78B9D994</v>
          </cell>
          <cell r="E2484">
            <v>26</v>
          </cell>
        </row>
        <row r="2485">
          <cell r="A2485" t="str">
            <v>CURITIBA</v>
          </cell>
          <cell r="C2485" t="str">
            <v>SPAZIO CRIARE</v>
          </cell>
          <cell r="D2485" t="str">
            <v>1B596781-119F-DF11-B20E-001F2909E810</v>
          </cell>
          <cell r="E2485">
            <v>128</v>
          </cell>
        </row>
        <row r="2486">
          <cell r="A2486" t="str">
            <v>CUIABÁ</v>
          </cell>
          <cell r="C2486" t="str">
            <v>SPAZIO CRISTALLI</v>
          </cell>
          <cell r="D2486" t="str">
            <v>42887974-D2B8-DE11-8D16-001F2909E810</v>
          </cell>
          <cell r="E2486">
            <v>288</v>
          </cell>
        </row>
        <row r="2487">
          <cell r="A2487" t="str">
            <v>CURITIBA</v>
          </cell>
          <cell r="C2487" t="str">
            <v>SPAZIO CRISTALLO</v>
          </cell>
          <cell r="D2487" t="str">
            <v>B956A640-C8EA-DC11-A2F9-001B7845B4A6</v>
          </cell>
          <cell r="E2487">
            <v>24</v>
          </cell>
        </row>
        <row r="2488">
          <cell r="A2488" t="str">
            <v>SÃO JOSÉ DOS PINHAIS</v>
          </cell>
          <cell r="C2488" t="str">
            <v>SPAZIO CRUZEIRO DO SUL</v>
          </cell>
          <cell r="D2488" t="str">
            <v>5FDA38A0-9369-DF11-9F9A-001F2909E810</v>
          </cell>
          <cell r="E2488">
            <v>280</v>
          </cell>
        </row>
        <row r="2489">
          <cell r="A2489" t="str">
            <v>CURITIBA</v>
          </cell>
          <cell r="C2489" t="str">
            <v>SPAZIO CRYSALIS</v>
          </cell>
          <cell r="D2489" t="str">
            <v>9CB59C80-13C9-E011-85C2-001F2909E810</v>
          </cell>
          <cell r="E2489">
            <v>120</v>
          </cell>
        </row>
        <row r="2490">
          <cell r="A2490" t="str">
            <v>CURITIBA</v>
          </cell>
          <cell r="C2490" t="str">
            <v>SPAZIO CYGNUS</v>
          </cell>
          <cell r="D2490" t="str">
            <v>1B23587F-32EA-DC11-ABD0-001B7845B4A6</v>
          </cell>
          <cell r="E2490">
            <v>70</v>
          </cell>
        </row>
        <row r="2491">
          <cell r="A2491" t="str">
            <v>CAMPINAS</v>
          </cell>
          <cell r="C2491" t="str">
            <v>SPAZIO DI CAVALCANTI</v>
          </cell>
          <cell r="D2491" t="str">
            <v>DE7E6E07-E0E3-DC11-ABD0-001B7845B4A6</v>
          </cell>
          <cell r="E2491">
            <v>48</v>
          </cell>
        </row>
        <row r="2492">
          <cell r="A2492" t="str">
            <v>PIRACICABA</v>
          </cell>
          <cell r="C2492" t="str">
            <v>SPAZIO DI PÁDUA</v>
          </cell>
          <cell r="D2492" t="str">
            <v>D8F77B18-32CC-DC11-9ED6-001B7845B4A6</v>
          </cell>
          <cell r="E2492">
            <v>112</v>
          </cell>
        </row>
        <row r="2493">
          <cell r="A2493" t="str">
            <v>BELO HORIZONTE</v>
          </cell>
          <cell r="C2493" t="str">
            <v>SPAZIO DOLCE VITTA</v>
          </cell>
          <cell r="D2493" t="str">
            <v>92D1B1B7-1CDA-DC11-ABCF-001B7845B4A6</v>
          </cell>
          <cell r="E2493">
            <v>64</v>
          </cell>
        </row>
        <row r="2494">
          <cell r="A2494" t="str">
            <v>JUNDIAÍ</v>
          </cell>
          <cell r="C2494" t="str">
            <v>SPAZIO DOS JACARANDAS</v>
          </cell>
          <cell r="D2494" t="str">
            <v>552E228E-9E04-DD11-8284-001B7845B4A6</v>
          </cell>
          <cell r="E2494">
            <v>48</v>
          </cell>
        </row>
        <row r="2495">
          <cell r="A2495" t="str">
            <v>BELO HORIZONTE</v>
          </cell>
          <cell r="C2495" t="str">
            <v>SPAZIO DUBLIN</v>
          </cell>
          <cell r="D2495" t="str">
            <v>73A829A0-C4E7-DC11-ABD0-001B7845B4A6</v>
          </cell>
          <cell r="E2495">
            <v>80</v>
          </cell>
        </row>
        <row r="2496">
          <cell r="A2496" t="str">
            <v>BELO HORIZONTE</v>
          </cell>
          <cell r="C2496" t="str">
            <v>SPAZIO ECO VITTA</v>
          </cell>
          <cell r="D2496" t="str">
            <v>D57D524B-0C94-DF11-B20E-001F2909E810</v>
          </cell>
          <cell r="E2496">
            <v>568</v>
          </cell>
        </row>
        <row r="2497">
          <cell r="A2497" t="str">
            <v>FRANCA</v>
          </cell>
          <cell r="C2497" t="str">
            <v>SPAZIO FASANO</v>
          </cell>
          <cell r="D2497" t="str">
            <v>A901BA27-A5EB-DC11-A2F9-001B7845B4A6</v>
          </cell>
          <cell r="E2497">
            <v>96</v>
          </cell>
        </row>
        <row r="2498">
          <cell r="A2498" t="str">
            <v>FRANCA</v>
          </cell>
          <cell r="C2498" t="str">
            <v>SPAZIO FLORENCE</v>
          </cell>
          <cell r="D2498" t="str">
            <v>6D27E23F-FAEA-DC11-A2F9-001B7845B4A6</v>
          </cell>
          <cell r="E2498">
            <v>112</v>
          </cell>
        </row>
        <row r="2499">
          <cell r="A2499" t="str">
            <v>SÃO JOSÉ</v>
          </cell>
          <cell r="C2499" t="str">
            <v>SPAZIO FLORES DO JARDIM</v>
          </cell>
          <cell r="D2499" t="str">
            <v>46274787-C749-E211-83E6-80C16E075108</v>
          </cell>
          <cell r="E2499">
            <v>208</v>
          </cell>
        </row>
        <row r="2500">
          <cell r="A2500" t="str">
            <v>FRANCA</v>
          </cell>
          <cell r="C2500" t="str">
            <v>SPAZIO FLORIAN</v>
          </cell>
          <cell r="D2500" t="str">
            <v>2380A720-39B8-DE11-8D16-001F2909E810</v>
          </cell>
          <cell r="E2500">
            <v>288</v>
          </cell>
        </row>
        <row r="2501">
          <cell r="A2501" t="str">
            <v>FRANCA</v>
          </cell>
          <cell r="C2501" t="str">
            <v>SPAZIO FOSCCARI</v>
          </cell>
          <cell r="D2501" t="str">
            <v>1D98F7CB-DBC8-DC11-8D7D-001B7845B4A6</v>
          </cell>
          <cell r="E2501">
            <v>96</v>
          </cell>
        </row>
        <row r="2502">
          <cell r="A2502" t="str">
            <v>BELO HORIZONTE</v>
          </cell>
          <cell r="C2502" t="str">
            <v>SPAZIO FOZ DO IGUAÇU</v>
          </cell>
          <cell r="D2502" t="str">
            <v>BA40EB3E-4422-DF11-83FF-001F2909E810</v>
          </cell>
          <cell r="E2502">
            <v>80</v>
          </cell>
        </row>
        <row r="2503">
          <cell r="A2503" t="str">
            <v>FRANCA</v>
          </cell>
          <cell r="C2503" t="str">
            <v>SPAZIO FRANKFURT</v>
          </cell>
          <cell r="D2503" t="str">
            <v>3258E9C2-D9C8-DC11-8D7D-001B7845B4A6</v>
          </cell>
          <cell r="E2503">
            <v>240</v>
          </cell>
        </row>
        <row r="2504">
          <cell r="A2504" t="str">
            <v>FRANCA</v>
          </cell>
          <cell r="C2504" t="str">
            <v>SPAZIO FRATELLI</v>
          </cell>
          <cell r="D2504" t="str">
            <v>BBE708CB-12EB-DC11-A2F9-001B7845B4A6</v>
          </cell>
          <cell r="E2504">
            <v>80</v>
          </cell>
        </row>
        <row r="2505">
          <cell r="A2505" t="str">
            <v>BELO HORIZONTE</v>
          </cell>
          <cell r="C2505" t="str">
            <v>SPAZIO GERMANIA</v>
          </cell>
          <cell r="D2505" t="str">
            <v>ABED7D1F-7586-DD11-8A4F-001B78B9D994</v>
          </cell>
          <cell r="E2505">
            <v>0</v>
          </cell>
        </row>
        <row r="2506">
          <cell r="A2506" t="str">
            <v>APARECIDA DE GOIÂNIA</v>
          </cell>
          <cell r="C2506" t="str">
            <v>SPAZIO GRAN PARC</v>
          </cell>
          <cell r="D2506" t="str">
            <v>8276DE87-294C-DD11-BC22-001B78B9D994</v>
          </cell>
          <cell r="E2506">
            <v>160</v>
          </cell>
        </row>
        <row r="2507">
          <cell r="A2507" t="str">
            <v>APARECIDA DE GOIÂNIA</v>
          </cell>
          <cell r="C2507" t="str">
            <v>SPAZIO GRAN REAL</v>
          </cell>
          <cell r="D2507" t="str">
            <v>D97F2338-284C-DD11-BC22-001B78B9D994</v>
          </cell>
          <cell r="E2507">
            <v>220</v>
          </cell>
        </row>
        <row r="2508">
          <cell r="A2508" t="str">
            <v>GOIÂNIA</v>
          </cell>
          <cell r="C2508" t="str">
            <v>SPAZIO GRAN VIVER</v>
          </cell>
          <cell r="D2508" t="str">
            <v>E03041F3-CC5E-E011-BDCF-001F2909E810</v>
          </cell>
          <cell r="E2508">
            <v>288</v>
          </cell>
        </row>
        <row r="2509">
          <cell r="A2509" t="str">
            <v>SÃO PAULO</v>
          </cell>
          <cell r="C2509" t="str">
            <v>SPAZIO GUARAPIRANGA</v>
          </cell>
          <cell r="D2509" t="str">
            <v>56B30026-FBDB-E511-B93A-80C16E075108</v>
          </cell>
          <cell r="E2509">
            <v>288</v>
          </cell>
        </row>
        <row r="2510">
          <cell r="A2510" t="str">
            <v>SÃO PAULO</v>
          </cell>
          <cell r="C2510" t="str">
            <v>SPAZIO IBIRAPUERA</v>
          </cell>
          <cell r="D2510" t="str">
            <v>765ABD2A-D8DF-E511-B93A-80C16E075108</v>
          </cell>
          <cell r="E2510">
            <v>288</v>
          </cell>
        </row>
        <row r="2511">
          <cell r="A2511" t="str">
            <v>SÃO PAULO</v>
          </cell>
          <cell r="C2511" t="str">
            <v>SPAZIO ILHA ANCHIETA</v>
          </cell>
          <cell r="D2511" t="str">
            <v>0867BF7E-EEDB-E511-B93A-80C16E075108</v>
          </cell>
          <cell r="E2511">
            <v>288</v>
          </cell>
        </row>
        <row r="2512">
          <cell r="A2512" t="str">
            <v>ITÚ</v>
          </cell>
          <cell r="C2512" t="str">
            <v>SPAZIO ILHA DE CAPRI</v>
          </cell>
          <cell r="D2512" t="str">
            <v>DA527030-21C9-DC11-8D7D-001B7845B4A6</v>
          </cell>
          <cell r="E2512">
            <v>72</v>
          </cell>
        </row>
        <row r="2513">
          <cell r="A2513" t="str">
            <v>ITÚ</v>
          </cell>
          <cell r="C2513" t="str">
            <v>SPAZIO ILHA DI FIORI</v>
          </cell>
          <cell r="D2513" t="str">
            <v>7902C844-16DF-DC11-ABD0-001B7845B4A6</v>
          </cell>
          <cell r="E2513">
            <v>112</v>
          </cell>
        </row>
        <row r="2514">
          <cell r="A2514" t="str">
            <v>ITÚ</v>
          </cell>
          <cell r="C2514" t="str">
            <v>SPAZIO ILHA DO MEL</v>
          </cell>
          <cell r="D2514" t="str">
            <v>1FC7244A-11C9-DC11-8D7D-001B7845B4A6</v>
          </cell>
          <cell r="E2514">
            <v>112</v>
          </cell>
        </row>
        <row r="2515">
          <cell r="A2515" t="str">
            <v>INDAIATUBA</v>
          </cell>
          <cell r="C2515" t="str">
            <v>SPAZIO ILLUMINARE</v>
          </cell>
          <cell r="D2515" t="str">
            <v>D0AF2D69-57C8-DC11-8D7D-001B7845B4A6</v>
          </cell>
          <cell r="E2515">
            <v>408</v>
          </cell>
        </row>
        <row r="2516">
          <cell r="A2516" t="str">
            <v>BELO HORIZONTE</v>
          </cell>
          <cell r="C2516" t="str">
            <v>SPAZIO IMPERIALE</v>
          </cell>
          <cell r="D2516" t="str">
            <v>48E7FD01-F0DB-DC11-ABCF-001B7845B4A6</v>
          </cell>
          <cell r="E2516">
            <v>64</v>
          </cell>
        </row>
        <row r="2517">
          <cell r="A2517" t="str">
            <v>BELO HORIZONTE</v>
          </cell>
          <cell r="C2517" t="str">
            <v>SPAZIO INNOVARE</v>
          </cell>
          <cell r="D2517" t="str">
            <v>6DE99878-C8DB-DC11-ABCF-001B7845B4A6</v>
          </cell>
          <cell r="E2517">
            <v>27</v>
          </cell>
        </row>
        <row r="2518">
          <cell r="A2518" t="str">
            <v>SÃO PAULO</v>
          </cell>
          <cell r="C2518" t="str">
            <v>SPAZIO INTERLAGOS</v>
          </cell>
          <cell r="D2518" t="str">
            <v>ED306C66-04DF-E511-B93A-80C16E075108</v>
          </cell>
          <cell r="E2518">
            <v>288</v>
          </cell>
        </row>
        <row r="2519">
          <cell r="A2519" t="str">
            <v>SÃO PAULO</v>
          </cell>
          <cell r="C2519" t="str">
            <v>SPAZIO IPÊ AMARELO</v>
          </cell>
          <cell r="D2519" t="str">
            <v>FDE87D5C-7FFA-DC11-8284-001B7845B4A6</v>
          </cell>
          <cell r="E2519">
            <v>280</v>
          </cell>
        </row>
        <row r="2520">
          <cell r="A2520" t="str">
            <v>SÃO PAULO</v>
          </cell>
          <cell r="C2520" t="str">
            <v>SPAZIO IPÊ BRANCO</v>
          </cell>
          <cell r="D2520" t="str">
            <v>AC953668-39E1-DC11-ABD0-001B7845B4A6</v>
          </cell>
          <cell r="E2520">
            <v>110</v>
          </cell>
        </row>
        <row r="2521">
          <cell r="A2521" t="str">
            <v>SÃO PAULO</v>
          </cell>
          <cell r="C2521" t="str">
            <v>SPAZIO IPÊ ROXO</v>
          </cell>
          <cell r="D2521" t="str">
            <v>9C1EFF5E-2FCF-DC11-9ED6-001B7845B4A6</v>
          </cell>
          <cell r="E2521">
            <v>270</v>
          </cell>
        </row>
        <row r="2522">
          <cell r="A2522" t="str">
            <v>JOINVILLE</v>
          </cell>
          <cell r="C2522" t="str">
            <v>SPAZIO JADE</v>
          </cell>
          <cell r="D2522" t="str">
            <v>25E58625-8602-DD11-8284-001B7845B4A6</v>
          </cell>
          <cell r="E2522">
            <v>27</v>
          </cell>
        </row>
        <row r="2523">
          <cell r="A2523" t="str">
            <v>JOINVILLE</v>
          </cell>
          <cell r="C2523" t="str">
            <v>SPAZIO JAKARTA</v>
          </cell>
          <cell r="D2523" t="str">
            <v>70AC630A-C0EA-DC11-A2F9-001B7845B4A6</v>
          </cell>
          <cell r="E2523">
            <v>42</v>
          </cell>
        </row>
        <row r="2524">
          <cell r="A2524" t="str">
            <v>JUNDIAÍ</v>
          </cell>
          <cell r="C2524" t="str">
            <v>SPAZIO JANDAIA</v>
          </cell>
          <cell r="D2524" t="str">
            <v>7F9376A4-D8C9-DC11-8D7D-001B7845B4A6</v>
          </cell>
          <cell r="E2524">
            <v>228</v>
          </cell>
        </row>
        <row r="2525">
          <cell r="A2525" t="str">
            <v>JUNDIAÍ</v>
          </cell>
          <cell r="C2525" t="str">
            <v>SPAZIO JARAGUÁ</v>
          </cell>
          <cell r="D2525" t="str">
            <v>76EFE2F3-3D8A-DD11-8A4F-001B78B9D994</v>
          </cell>
          <cell r="E2525">
            <v>32</v>
          </cell>
        </row>
        <row r="2526">
          <cell r="A2526" t="str">
            <v>JOINVILLE</v>
          </cell>
          <cell r="C2526" t="str">
            <v>SPAZIO JARDIM BORDEAUX</v>
          </cell>
          <cell r="D2526" t="str">
            <v>FB6A6598-2FEA-DC11-ABD0-001B7845B4A6</v>
          </cell>
          <cell r="E2526">
            <v>32</v>
          </cell>
        </row>
        <row r="2527">
          <cell r="A2527" t="str">
            <v>SÃO PAULO</v>
          </cell>
          <cell r="C2527" t="str">
            <v>SPAZIO JARDIM BOTÂNICO</v>
          </cell>
          <cell r="D2527" t="str">
            <v>4975E448-F2DB-E511-B93A-80C16E075108</v>
          </cell>
          <cell r="E2527">
            <v>288</v>
          </cell>
        </row>
        <row r="2528">
          <cell r="A2528" t="str">
            <v>JOINVILLE</v>
          </cell>
          <cell r="C2528" t="str">
            <v>SPAZIO JARDIM DE BARI</v>
          </cell>
          <cell r="D2528" t="str">
            <v>DECAE9E8-1066-E011-BDCF-001F2909E810</v>
          </cell>
          <cell r="E2528">
            <v>320</v>
          </cell>
        </row>
        <row r="2529">
          <cell r="A2529" t="str">
            <v>JOINVILLE</v>
          </cell>
          <cell r="C2529" t="str">
            <v>SPAZIO JARDIM DE BERLIM</v>
          </cell>
          <cell r="D2529" t="str">
            <v>B80CAD21-BEEA-DC11-A2F9-001B7845B4A6</v>
          </cell>
          <cell r="E2529">
            <v>103</v>
          </cell>
        </row>
        <row r="2530">
          <cell r="A2530" t="str">
            <v>JOINVILLE</v>
          </cell>
          <cell r="C2530" t="str">
            <v>SPAZIO JARDIM DE BREMEN</v>
          </cell>
          <cell r="D2530" t="str">
            <v>DE4C0C5D-2DEA-DC11-ABD0-001B7845B4A6</v>
          </cell>
          <cell r="E2530">
            <v>0</v>
          </cell>
        </row>
        <row r="2531">
          <cell r="A2531" t="str">
            <v>JOINVILLE</v>
          </cell>
          <cell r="C2531" t="str">
            <v>SPAZIO JARDIM DE GENEBRA</v>
          </cell>
          <cell r="D2531" t="str">
            <v>ED6B3E1F-D0D6-DF11-B242-001F2909E810</v>
          </cell>
          <cell r="E2531">
            <v>200</v>
          </cell>
        </row>
        <row r="2532">
          <cell r="A2532" t="str">
            <v>JOINVILLE</v>
          </cell>
          <cell r="C2532" t="str">
            <v>SPAZIO JARDIM DE GOTEMBURGO</v>
          </cell>
          <cell r="D2532" t="str">
            <v>675FE6DB-FF85-E011-BDCF-001F2909E810</v>
          </cell>
          <cell r="E2532">
            <v>140</v>
          </cell>
        </row>
        <row r="2533">
          <cell r="A2533" t="str">
            <v>JOINVILLE</v>
          </cell>
          <cell r="C2533" t="str">
            <v>SPAZIO JARDIM DE HANOVER</v>
          </cell>
          <cell r="D2533" t="str">
            <v>38A0FCE4-A31D-E011-B242-001F2909E810</v>
          </cell>
          <cell r="E2533">
            <v>360</v>
          </cell>
        </row>
        <row r="2534">
          <cell r="A2534" t="str">
            <v>JOINVILLE</v>
          </cell>
          <cell r="C2534" t="str">
            <v>SPAZIO JARDIM DE LIEGE</v>
          </cell>
          <cell r="D2534" t="str">
            <v>98D2569F-9DEB-DC11-A2F9-001B7845B4A6</v>
          </cell>
          <cell r="E2534">
            <v>180</v>
          </cell>
        </row>
        <row r="2535">
          <cell r="A2535" t="str">
            <v>JOINVILLE</v>
          </cell>
          <cell r="C2535" t="str">
            <v>SPAZIO JARDIM DE NICE</v>
          </cell>
          <cell r="D2535" t="str">
            <v>02702E5D-31EA-DC11-ABD0-001B7845B4A6</v>
          </cell>
          <cell r="E2535">
            <v>120</v>
          </cell>
        </row>
        <row r="2536">
          <cell r="A2536" t="str">
            <v>JOINVILLE</v>
          </cell>
          <cell r="C2536" t="str">
            <v>SPAZIO JARDIM DE NUREMBERG</v>
          </cell>
          <cell r="D2536" t="str">
            <v>13F15E83-226A-DD11-AD97-001B78B9D994</v>
          </cell>
          <cell r="E2536">
            <v>27</v>
          </cell>
        </row>
        <row r="2537">
          <cell r="A2537" t="str">
            <v>JOINVILLE</v>
          </cell>
          <cell r="C2537" t="str">
            <v>SPAZIO JARDIM DE TOULON</v>
          </cell>
          <cell r="D2537" t="str">
            <v>14EE8809-B14D-DD11-BC22-001B78B9D994</v>
          </cell>
          <cell r="E2537">
            <v>210</v>
          </cell>
        </row>
        <row r="2538">
          <cell r="A2538" t="str">
            <v>JUNDIAÍ</v>
          </cell>
          <cell r="C2538" t="str">
            <v>SPAZIO JARDIM DE TRENTO</v>
          </cell>
          <cell r="D2538" t="str">
            <v>4DD18095-B204-DD11-8284-001B7845B4A6</v>
          </cell>
          <cell r="E2538">
            <v>120</v>
          </cell>
        </row>
        <row r="2539">
          <cell r="A2539" t="str">
            <v>JOINVILLE</v>
          </cell>
          <cell r="C2539" t="str">
            <v>SPAZIO JARDIM DE VIENA</v>
          </cell>
          <cell r="D2539" t="str">
            <v>A15BA7D0-A11D-E011-B242-001F2909E810</v>
          </cell>
          <cell r="E2539">
            <v>360</v>
          </cell>
        </row>
        <row r="2540">
          <cell r="A2540" t="str">
            <v>JOINVILLE</v>
          </cell>
          <cell r="C2540" t="str">
            <v>SPAZIO JARDIM DO SOL</v>
          </cell>
          <cell r="D2540" t="str">
            <v>6B802F9D-F082-E011-BDCF-001F2909E810</v>
          </cell>
          <cell r="E2540">
            <v>120</v>
          </cell>
        </row>
        <row r="2541">
          <cell r="A2541" t="str">
            <v>JUNDIAÍ</v>
          </cell>
          <cell r="C2541" t="str">
            <v>SPAZIO JARDIM IMPERIAL</v>
          </cell>
          <cell r="D2541" t="str">
            <v>946072E9-70CE-DC11-9ED6-001B7845B4A6</v>
          </cell>
          <cell r="E2541">
            <v>88</v>
          </cell>
        </row>
        <row r="2542">
          <cell r="A2542" t="str">
            <v>JUIZ DE FORA</v>
          </cell>
          <cell r="C2542" t="str">
            <v>SPAZIO JARDIM REAL</v>
          </cell>
          <cell r="D2542" t="str">
            <v>907CFA75-45B9-E111-AB79-001F2909E810</v>
          </cell>
          <cell r="E2542">
            <v>568</v>
          </cell>
        </row>
        <row r="2543">
          <cell r="A2543" t="str">
            <v>JUIZ DE FORA</v>
          </cell>
          <cell r="C2543" t="str">
            <v>SPAZIO JARDIM SOBERANO</v>
          </cell>
          <cell r="D2543" t="str">
            <v>2B6B1BA0-3B76-E411-B5D2-009C02B0CB58</v>
          </cell>
          <cell r="E2543">
            <v>296</v>
          </cell>
        </row>
        <row r="2544">
          <cell r="A2544" t="str">
            <v>JUNDIAÍ</v>
          </cell>
          <cell r="C2544" t="str">
            <v>SPAZIO JARDIM SOLARE</v>
          </cell>
          <cell r="D2544" t="str">
            <v>FB12E258-E7C9-DC11-8D7D-001B7845B4A6</v>
          </cell>
          <cell r="E2544">
            <v>112</v>
          </cell>
        </row>
        <row r="2545">
          <cell r="A2545" t="str">
            <v>SÃO PAULO</v>
          </cell>
          <cell r="C2545" t="str">
            <v>SPAZIO JARDINS DA ORLA</v>
          </cell>
          <cell r="D2545" t="str">
            <v>BB7855F0-F7DB-E511-B93A-80C16E075108</v>
          </cell>
          <cell r="E2545">
            <v>288</v>
          </cell>
        </row>
        <row r="2546">
          <cell r="A2546" t="str">
            <v>CABEDELO</v>
          </cell>
          <cell r="C2546" t="str">
            <v>SPAZIO JARDINS DO LITORAL</v>
          </cell>
          <cell r="D2546" t="str">
            <v>662D8DD7-5D03-E311-BAEB-009C02B0CB58</v>
          </cell>
          <cell r="E2546">
            <v>210</v>
          </cell>
        </row>
        <row r="2547">
          <cell r="A2547" t="str">
            <v>JOINVILLE</v>
          </cell>
          <cell r="C2547" t="str">
            <v>SPAZIO JASMIM</v>
          </cell>
          <cell r="D2547" t="str">
            <v>6DCCFC2A-9604-DD11-8284-001B7845B4A6</v>
          </cell>
          <cell r="E2547">
            <v>36</v>
          </cell>
        </row>
        <row r="2548">
          <cell r="A2548" t="str">
            <v>JUNDIAÍ</v>
          </cell>
          <cell r="C2548" t="str">
            <v>SPAZIO JEQUITIBAS</v>
          </cell>
          <cell r="D2548" t="str">
            <v>CE7583AF-E404-DD11-8284-001B7845B4A6</v>
          </cell>
          <cell r="E2548">
            <v>90</v>
          </cell>
        </row>
        <row r="2549">
          <cell r="A2549" t="str">
            <v>JUNDIAÍ</v>
          </cell>
          <cell r="C2549" t="str">
            <v>SPAZIO JOANESBURGO</v>
          </cell>
          <cell r="D2549" t="str">
            <v>FB83890A-7421-DF11-83FF-001F2909E810</v>
          </cell>
          <cell r="E2549">
            <v>64</v>
          </cell>
        </row>
        <row r="2550">
          <cell r="A2550" t="str">
            <v>JOINVILLE</v>
          </cell>
          <cell r="C2550" t="str">
            <v>SPAZIO JOLIE</v>
          </cell>
          <cell r="D2550" t="str">
            <v>51DFEF69-F6FB-DF11-B242-001F2909E810</v>
          </cell>
          <cell r="E2550">
            <v>250</v>
          </cell>
        </row>
        <row r="2551">
          <cell r="A2551" t="str">
            <v>JOINVILLE</v>
          </cell>
          <cell r="C2551" t="str">
            <v>SPAZIO JOVITÁ</v>
          </cell>
          <cell r="D2551" t="str">
            <v>FCAA5E50-BA3D-DF11-9F9A-001F2909E810</v>
          </cell>
          <cell r="E2551">
            <v>540</v>
          </cell>
        </row>
        <row r="2552">
          <cell r="A2552" t="str">
            <v>JOINVILLE</v>
          </cell>
          <cell r="C2552" t="str">
            <v>SPAZIO JURERÊ</v>
          </cell>
          <cell r="D2552" t="str">
            <v>099694DB-5116-DF11-83FF-001F2909E810</v>
          </cell>
          <cell r="E2552">
            <v>120</v>
          </cell>
        </row>
        <row r="2553">
          <cell r="A2553" t="str">
            <v>JOINVILLE</v>
          </cell>
          <cell r="C2553" t="str">
            <v>SPAZIO JUVENTUS</v>
          </cell>
          <cell r="D2553" t="str">
            <v>37F9711C-82E9-DE11-89FA-001F2909E810</v>
          </cell>
          <cell r="E2553">
            <v>200</v>
          </cell>
        </row>
        <row r="2554">
          <cell r="A2554" t="str">
            <v>LONDRINA</v>
          </cell>
          <cell r="C2554" t="str">
            <v>SPAZIO LA FENICE</v>
          </cell>
          <cell r="D2554" t="str">
            <v>32CFBADD-9AD4-E011-85C2-001F2909E810</v>
          </cell>
          <cell r="E2554">
            <v>160</v>
          </cell>
        </row>
        <row r="2555">
          <cell r="A2555" t="str">
            <v>LONDRINA</v>
          </cell>
          <cell r="C2555" t="str">
            <v>SPAZIO LA FONTAINE</v>
          </cell>
          <cell r="D2555" t="str">
            <v>A1935A66-7A1A-E111-B689-001F2909E810</v>
          </cell>
          <cell r="E2555">
            <v>160</v>
          </cell>
        </row>
        <row r="2556">
          <cell r="A2556" t="str">
            <v>LONDRINA</v>
          </cell>
          <cell r="C2556" t="str">
            <v>SPAZIO LA LUNA</v>
          </cell>
          <cell r="D2556" t="str">
            <v>3CE6FB3B-2FEA-DC11-ABD0-001B7845B4A6</v>
          </cell>
          <cell r="E2556">
            <v>143</v>
          </cell>
        </row>
        <row r="2557">
          <cell r="A2557" t="str">
            <v>LONDRINA</v>
          </cell>
          <cell r="C2557" t="str">
            <v>SPAZIO LA TRAVIATA</v>
          </cell>
          <cell r="D2557" t="str">
            <v>0CF48B4A-2A96-E611-ABB6-80C16E075108</v>
          </cell>
          <cell r="E2557">
            <v>368</v>
          </cell>
        </row>
        <row r="2558">
          <cell r="A2558" t="str">
            <v>CAMBÉ</v>
          </cell>
          <cell r="C2558" t="str">
            <v>SPAZIO LAFAYETTE</v>
          </cell>
          <cell r="D2558" t="str">
            <v>87C67942-71FE-E011-A6B3-001F2909E810</v>
          </cell>
          <cell r="E2558">
            <v>120</v>
          </cell>
        </row>
        <row r="2559">
          <cell r="A2559" t="str">
            <v>LONDRINA</v>
          </cell>
          <cell r="C2559" t="str">
            <v>SPAZIO LAS PALMAS</v>
          </cell>
          <cell r="D2559" t="str">
            <v>412C79FB-2EEA-DC11-ABD0-001B7845B4A6</v>
          </cell>
          <cell r="E2559">
            <v>88</v>
          </cell>
        </row>
        <row r="2560">
          <cell r="A2560" t="str">
            <v>LONDRINA</v>
          </cell>
          <cell r="C2560" t="str">
            <v>SPAZIO LAS VEGAS</v>
          </cell>
          <cell r="D2560" t="str">
            <v>1B402362-4527-DD11-A6D4-001B7845B4A6</v>
          </cell>
          <cell r="E2560">
            <v>160</v>
          </cell>
        </row>
        <row r="2561">
          <cell r="A2561" t="str">
            <v>LONDRINA</v>
          </cell>
          <cell r="C2561" t="str">
            <v>SPAZIO LE MONT</v>
          </cell>
          <cell r="D2561" t="str">
            <v>D4A73ADA-A65E-DF11-9F9A-001F2909E810</v>
          </cell>
          <cell r="E2561">
            <v>152</v>
          </cell>
        </row>
        <row r="2562">
          <cell r="A2562" t="str">
            <v>LONDRINA</v>
          </cell>
          <cell r="C2562" t="str">
            <v>SPAZIO LE PARC</v>
          </cell>
          <cell r="D2562" t="str">
            <v>44327C3C-3A30-DF11-B3AB-001F2909E810</v>
          </cell>
          <cell r="E2562">
            <v>480</v>
          </cell>
        </row>
        <row r="2563">
          <cell r="A2563" t="str">
            <v>LONDRINA</v>
          </cell>
          <cell r="C2563" t="str">
            <v>SPAZIO LEOPOLDINA</v>
          </cell>
          <cell r="D2563" t="str">
            <v>9699232D-071F-E011-B242-001F2909E810</v>
          </cell>
          <cell r="E2563">
            <v>896</v>
          </cell>
        </row>
        <row r="2564">
          <cell r="A2564" t="str">
            <v>LONDRINA</v>
          </cell>
          <cell r="C2564" t="str">
            <v>SPAZIO LIBERTÁ</v>
          </cell>
          <cell r="D2564" t="str">
            <v>9A028FE9-669F-DD11-86FB-001B78B9D994</v>
          </cell>
          <cell r="E2564">
            <v>168</v>
          </cell>
        </row>
        <row r="2565">
          <cell r="A2565" t="str">
            <v>LONDRINA</v>
          </cell>
          <cell r="C2565" t="str">
            <v>SPAZIO LILLE</v>
          </cell>
          <cell r="D2565" t="str">
            <v>5506ED28-F661-E511-8826-80C16E075108</v>
          </cell>
          <cell r="E2565">
            <v>640</v>
          </cell>
        </row>
        <row r="2566">
          <cell r="A2566" t="str">
            <v>LONDRINA</v>
          </cell>
          <cell r="C2566" t="str">
            <v>SPAZIO LIVERPOOL</v>
          </cell>
          <cell r="D2566" t="str">
            <v>A4938F26-F49F-E411-9DC0-80C16E075108</v>
          </cell>
          <cell r="E2566">
            <v>160</v>
          </cell>
        </row>
        <row r="2567">
          <cell r="A2567" t="str">
            <v>LONDRINA</v>
          </cell>
          <cell r="C2567" t="str">
            <v>SPAZIO LONDRES</v>
          </cell>
          <cell r="D2567" t="str">
            <v>C833232E-F39F-E411-9DC0-80C16E075108</v>
          </cell>
          <cell r="E2567">
            <v>112</v>
          </cell>
        </row>
        <row r="2568">
          <cell r="A2568" t="str">
            <v>LONDRINA</v>
          </cell>
          <cell r="C2568" t="str">
            <v>SPAZIO LÓTUS</v>
          </cell>
          <cell r="D2568" t="str">
            <v>EB07F5E7-FC16-DF11-83FF-001F2909E810</v>
          </cell>
          <cell r="E2568">
            <v>544</v>
          </cell>
        </row>
        <row r="2569">
          <cell r="A2569" t="str">
            <v>LONDRINA</v>
          </cell>
          <cell r="C2569" t="str">
            <v>SPAZIO LOUVRE</v>
          </cell>
          <cell r="D2569" t="str">
            <v>FA71C791-9304-E011-B242-001F2909E810</v>
          </cell>
          <cell r="E2569">
            <v>550</v>
          </cell>
        </row>
        <row r="2570">
          <cell r="A2570" t="str">
            <v>CAMBÉ</v>
          </cell>
          <cell r="C2570" t="str">
            <v>SPAZIO LUMINIS</v>
          </cell>
          <cell r="D2570" t="str">
            <v>39F535D0-8EE4-E011-9823-001F2909E810</v>
          </cell>
          <cell r="E2570">
            <v>80</v>
          </cell>
        </row>
        <row r="2571">
          <cell r="A2571" t="str">
            <v>BELO HORIZONTE</v>
          </cell>
          <cell r="C2571" t="str">
            <v>SPAZIO LUXOR</v>
          </cell>
          <cell r="D2571" t="str">
            <v>30DB4A50-2EEA-DC11-ABD0-001B7845B4A6</v>
          </cell>
          <cell r="E2571">
            <v>144</v>
          </cell>
        </row>
        <row r="2572">
          <cell r="A2572" t="str">
            <v>LONDRINA</v>
          </cell>
          <cell r="C2572" t="str">
            <v>SPAZIO LYON</v>
          </cell>
          <cell r="D2572" t="str">
            <v>E254E376-6461-E511-8826-80C16E075108</v>
          </cell>
          <cell r="E2572">
            <v>576</v>
          </cell>
        </row>
        <row r="2573">
          <cell r="A2573" t="str">
            <v>MARINGÁ</v>
          </cell>
          <cell r="C2573" t="str">
            <v>SPAZIO MACERATTI</v>
          </cell>
          <cell r="D2573" t="str">
            <v>2FBB1886-65F9-DE11-89FA-001F2909E810</v>
          </cell>
          <cell r="E2573">
            <v>72</v>
          </cell>
        </row>
        <row r="2574">
          <cell r="A2574" t="str">
            <v>MARINGÁ</v>
          </cell>
          <cell r="C2574" t="str">
            <v>SPAZIO MADISON</v>
          </cell>
          <cell r="D2574" t="str">
            <v>76541F04-E514-DF11-83FF-001F2909E810</v>
          </cell>
          <cell r="E2574">
            <v>150</v>
          </cell>
        </row>
        <row r="2575">
          <cell r="A2575" t="str">
            <v>MARINGÁ</v>
          </cell>
          <cell r="C2575" t="str">
            <v>SPAZIO MÁLAGA</v>
          </cell>
          <cell r="D2575" t="str">
            <v>AA85AAC1-CCEA-DC11-A2F9-001B7845B4A6</v>
          </cell>
          <cell r="E2575">
            <v>26</v>
          </cell>
        </row>
        <row r="2576">
          <cell r="A2576" t="str">
            <v>MARINGÁ</v>
          </cell>
          <cell r="C2576" t="str">
            <v>SPAZIO MALBEC</v>
          </cell>
          <cell r="D2576" t="str">
            <v>249032BD-BDEA-DC11-A2F9-001B7845B4A6</v>
          </cell>
          <cell r="E2576">
            <v>64</v>
          </cell>
        </row>
        <row r="2577">
          <cell r="A2577" t="str">
            <v>MARINGÁ</v>
          </cell>
          <cell r="C2577" t="str">
            <v>SPAZIO MALVASIA</v>
          </cell>
          <cell r="D2577" t="str">
            <v>F75A50F7-CEB1-DE11-8D16-001F2909E810</v>
          </cell>
          <cell r="E2577">
            <v>64</v>
          </cell>
        </row>
        <row r="2578">
          <cell r="A2578" t="str">
            <v>MARINGÁ</v>
          </cell>
          <cell r="C2578" t="str">
            <v>SPAZIO MARANELLO</v>
          </cell>
          <cell r="D2578" t="str">
            <v>45610709-8602-DD11-8284-001B7845B4A6</v>
          </cell>
          <cell r="E2578">
            <v>32</v>
          </cell>
        </row>
        <row r="2579">
          <cell r="A2579" t="str">
            <v>SÃO PAULO</v>
          </cell>
          <cell r="C2579" t="str">
            <v>SPAZIO MARESIAS</v>
          </cell>
          <cell r="D2579" t="str">
            <v>E7890F0F-FDDF-E511-B93A-80C16E075108</v>
          </cell>
          <cell r="E2579">
            <v>288</v>
          </cell>
        </row>
        <row r="2580">
          <cell r="A2580" t="str">
            <v>MARINGÁ</v>
          </cell>
          <cell r="C2580" t="str">
            <v>SPAZIO MARSEILLE</v>
          </cell>
          <cell r="D2580" t="str">
            <v>D694CCB6-B0EA-DC11-A2F9-001B7845B4A6</v>
          </cell>
          <cell r="E2580">
            <v>32</v>
          </cell>
        </row>
        <row r="2581">
          <cell r="A2581" t="str">
            <v>MOGI DAS CRUZES</v>
          </cell>
          <cell r="C2581" t="str">
            <v>SPAZIO MATISSE</v>
          </cell>
          <cell r="D2581" t="str">
            <v>02A38E15-24CD-DC11-9ED6-001B7845B4A6</v>
          </cell>
          <cell r="E2581">
            <v>192</v>
          </cell>
        </row>
        <row r="2582">
          <cell r="A2582" t="str">
            <v>MARINGÁ</v>
          </cell>
          <cell r="C2582" t="str">
            <v>SPAZIO MÁXIMUS</v>
          </cell>
          <cell r="D2582" t="str">
            <v>C58A7CCB-8602-DD11-8284-001B7845B4A6</v>
          </cell>
          <cell r="E2582">
            <v>34</v>
          </cell>
        </row>
        <row r="2583">
          <cell r="A2583" t="str">
            <v>MARINGÁ</v>
          </cell>
          <cell r="C2583" t="str">
            <v>SPAZIO MEDELÍN</v>
          </cell>
          <cell r="D2583" t="str">
            <v>D541FD7E-1763-E611-ABB6-80C16E075108</v>
          </cell>
          <cell r="E2583">
            <v>320</v>
          </cell>
        </row>
        <row r="2584">
          <cell r="A2584" t="str">
            <v>MARINGÁ</v>
          </cell>
          <cell r="C2584" t="str">
            <v>SPAZIO MENDONZA</v>
          </cell>
          <cell r="D2584" t="str">
            <v>73E0711E-1C5F-E611-ABB6-80C16E075108</v>
          </cell>
          <cell r="E2584">
            <v>448</v>
          </cell>
        </row>
        <row r="2585">
          <cell r="A2585" t="str">
            <v>MARINGÁ</v>
          </cell>
          <cell r="C2585" t="str">
            <v>SPAZIO MERLOT</v>
          </cell>
          <cell r="D2585" t="str">
            <v>A427A84F-CEB1-DE11-8D16-001F2909E810</v>
          </cell>
          <cell r="E2585">
            <v>480</v>
          </cell>
        </row>
        <row r="2586">
          <cell r="A2586" t="str">
            <v>BELO HORIZONTE</v>
          </cell>
          <cell r="C2586" t="str">
            <v>SPAZIO METRÓPOLE</v>
          </cell>
          <cell r="D2586" t="str">
            <v>87634701-20DA-DC11-ABCF-001B7845B4A6</v>
          </cell>
          <cell r="E2586">
            <v>60</v>
          </cell>
        </row>
        <row r="2587">
          <cell r="A2587" t="str">
            <v>MARINGÁ</v>
          </cell>
          <cell r="C2587" t="str">
            <v>SPAZIO MIGUEL DIAS</v>
          </cell>
          <cell r="D2587" t="str">
            <v>52EBED9E-10DB-E011-85C2-001F2909E810</v>
          </cell>
          <cell r="E2587">
            <v>192</v>
          </cell>
        </row>
        <row r="2588">
          <cell r="A2588" t="str">
            <v>MOGI DAS CRUZES</v>
          </cell>
          <cell r="C2588" t="str">
            <v>SPAZIO MILETO</v>
          </cell>
          <cell r="D2588" t="str">
            <v>48D4E009-BACE-DC11-9ED6-001B7845B4A6</v>
          </cell>
          <cell r="E2588">
            <v>44</v>
          </cell>
        </row>
        <row r="2589">
          <cell r="A2589" t="str">
            <v>MARINGÁ</v>
          </cell>
          <cell r="C2589" t="str">
            <v>SPAZIO MINESSOTTA</v>
          </cell>
          <cell r="D2589" t="str">
            <v>DE9ED1D2-3E0F-DF11-89FA-001F2909E810</v>
          </cell>
          <cell r="E2589">
            <v>160</v>
          </cell>
        </row>
        <row r="2590">
          <cell r="A2590" t="str">
            <v>MARINGÁ</v>
          </cell>
          <cell r="C2590" t="str">
            <v>SPAZIO MIRAFIORI</v>
          </cell>
          <cell r="D2590" t="str">
            <v>6CC09370-30EA-DC11-ABD0-001B7845B4A6</v>
          </cell>
          <cell r="E2590">
            <v>34</v>
          </cell>
        </row>
        <row r="2591">
          <cell r="A2591" t="str">
            <v>MOGI DAS CRUZES</v>
          </cell>
          <cell r="C2591" t="str">
            <v>SPAZIO MIRAGE</v>
          </cell>
          <cell r="D2591" t="str">
            <v>71B7F8FD-2984-DD11-8A4F-001B78B9D994</v>
          </cell>
          <cell r="E2591">
            <v>96</v>
          </cell>
        </row>
        <row r="2592">
          <cell r="A2592" t="str">
            <v>MARINGÁ</v>
          </cell>
          <cell r="C2592" t="str">
            <v>SPAZIO MIRANTE DO PARQUE</v>
          </cell>
          <cell r="D2592" t="str">
            <v>F565EC77-099D-E511-9CC2-009C02B0CB58</v>
          </cell>
          <cell r="E2592">
            <v>304</v>
          </cell>
        </row>
        <row r="2593">
          <cell r="A2593" t="str">
            <v>MARINGÁ</v>
          </cell>
          <cell r="C2593" t="str">
            <v>SPAZIO MIRANTE DOS MAIAS</v>
          </cell>
          <cell r="D2593" t="str">
            <v>EEDD0F05-45A7-E011-BDCF-001F2909E810</v>
          </cell>
          <cell r="E2593">
            <v>180</v>
          </cell>
        </row>
        <row r="2594">
          <cell r="A2594" t="str">
            <v>MOGI DAS CRUZES</v>
          </cell>
          <cell r="C2594" t="str">
            <v>SPAZIO MIRASSOL</v>
          </cell>
          <cell r="D2594" t="str">
            <v>52959064-D7CA-DC11-8D7D-001B7845B4A6</v>
          </cell>
          <cell r="E2594">
            <v>754</v>
          </cell>
        </row>
        <row r="2595">
          <cell r="A2595" t="str">
            <v>MOGI DAS CRUZES</v>
          </cell>
          <cell r="C2595" t="str">
            <v>SPAZIO MIRÓ</v>
          </cell>
          <cell r="D2595" t="str">
            <v>AA47D81E-2ACD-DC11-9ED6-001B7845B4A6</v>
          </cell>
          <cell r="E2595">
            <v>96</v>
          </cell>
        </row>
        <row r="2596">
          <cell r="A2596" t="str">
            <v>MARINGÁ</v>
          </cell>
          <cell r="C2596" t="str">
            <v>SPAZIO MISATO</v>
          </cell>
          <cell r="D2596" t="str">
            <v>AA4E6D25-6235-E511-A3A7-80C16E075108</v>
          </cell>
          <cell r="E2596">
            <v>240</v>
          </cell>
        </row>
        <row r="2597">
          <cell r="A2597" t="str">
            <v>MACAÉ</v>
          </cell>
          <cell r="C2597" t="str">
            <v>SPAZIO MISTRAL</v>
          </cell>
          <cell r="D2597" t="str">
            <v>0BB411EB-3B01-E011-B242-001F2909E810</v>
          </cell>
          <cell r="E2597">
            <v>432</v>
          </cell>
        </row>
        <row r="2598">
          <cell r="A2598" t="str">
            <v>MACAÉ</v>
          </cell>
          <cell r="C2598" t="str">
            <v>SPAZIO MOLINERE</v>
          </cell>
          <cell r="D2598" t="str">
            <v>03336011-B621-E211-9E30-001F2909E810</v>
          </cell>
          <cell r="E2598">
            <v>260</v>
          </cell>
        </row>
        <row r="2599">
          <cell r="A2599" t="str">
            <v>MOGI DAS CRUZES</v>
          </cell>
          <cell r="C2599" t="str">
            <v>SPAZIO MONDRIAN</v>
          </cell>
          <cell r="D2599" t="str">
            <v>DE100F77-20CD-DC11-9ED6-001B7845B4A6</v>
          </cell>
          <cell r="E2599">
            <v>256</v>
          </cell>
        </row>
        <row r="2600">
          <cell r="A2600" t="str">
            <v>MARINGÁ</v>
          </cell>
          <cell r="C2600" t="str">
            <v>SPAZIO MONET</v>
          </cell>
          <cell r="D2600" t="str">
            <v>6402B281-6A15-DF11-83FF-001F2909E810</v>
          </cell>
          <cell r="E2600">
            <v>30</v>
          </cell>
        </row>
        <row r="2601">
          <cell r="A2601" t="str">
            <v>MARÍLIA</v>
          </cell>
          <cell r="C2601" t="str">
            <v>SPAZIO MONFORT</v>
          </cell>
          <cell r="D2601" t="str">
            <v>9EEF5392-AAEB-DC11-A2F9-001B7845B4A6</v>
          </cell>
          <cell r="E2601">
            <v>32</v>
          </cell>
        </row>
        <row r="2602">
          <cell r="A2602" t="str">
            <v>MARINGÁ</v>
          </cell>
          <cell r="C2602" t="str">
            <v>SPAZIO MONREAL</v>
          </cell>
          <cell r="D2602" t="str">
            <v>1F4ED7AF-CBEA-DC11-A2F9-001B7845B4A6</v>
          </cell>
          <cell r="E2602">
            <v>76</v>
          </cell>
        </row>
        <row r="2603">
          <cell r="A2603" t="str">
            <v>SÃO CARLOS</v>
          </cell>
          <cell r="C2603" t="str">
            <v>SPAZIO MONT ROYAL</v>
          </cell>
          <cell r="D2603" t="str">
            <v>AEF4C6EC-2507-DD11-8284-001B7845B4A6</v>
          </cell>
          <cell r="E2603">
            <v>720</v>
          </cell>
        </row>
        <row r="2604">
          <cell r="A2604" t="str">
            <v>SÃO CARLOS</v>
          </cell>
          <cell r="C2604" t="str">
            <v>SPAZIO MONTE ALTO</v>
          </cell>
          <cell r="D2604" t="str">
            <v>B50170A7-3A49-DD11-BC22-001B78B9D994</v>
          </cell>
          <cell r="E2604">
            <v>128</v>
          </cell>
        </row>
        <row r="2605">
          <cell r="A2605" t="str">
            <v>SÃO CARLOS</v>
          </cell>
          <cell r="C2605" t="str">
            <v>SPAZIO MONTE AZUL</v>
          </cell>
          <cell r="D2605" t="str">
            <v>B6E26BCA-B9B7-DD11-A0C7-001B78B9D994</v>
          </cell>
          <cell r="E2605">
            <v>300</v>
          </cell>
        </row>
        <row r="2606">
          <cell r="A2606" t="str">
            <v>SÃO CARLOS</v>
          </cell>
          <cell r="C2606" t="str">
            <v>SPAZIO MONTE BELO</v>
          </cell>
          <cell r="D2606" t="str">
            <v>6D53B775-FCEA-DC11-A2F9-001B7845B4A6</v>
          </cell>
          <cell r="E2606">
            <v>42</v>
          </cell>
        </row>
        <row r="2607">
          <cell r="A2607" t="str">
            <v>SÃO CARLOS</v>
          </cell>
          <cell r="C2607" t="str">
            <v>SPAZIO MONTE CRISTO</v>
          </cell>
          <cell r="D2607" t="str">
            <v>D08C29BD-D8F5-DC11-A2F9-001B7845B4A6</v>
          </cell>
          <cell r="E2607">
            <v>40</v>
          </cell>
        </row>
        <row r="2608">
          <cell r="A2608" t="str">
            <v>SÃO CARLOS</v>
          </cell>
          <cell r="C2608" t="str">
            <v>SPAZIO MONTE DORE</v>
          </cell>
          <cell r="D2608" t="str">
            <v>884B7351-F6EA-DC11-A2F9-001B7845B4A6</v>
          </cell>
          <cell r="E2608">
            <v>96</v>
          </cell>
        </row>
        <row r="2609">
          <cell r="A2609" t="str">
            <v>MARINGÁ</v>
          </cell>
          <cell r="C2609" t="str">
            <v>SPAZIO MONTECARLO</v>
          </cell>
          <cell r="D2609" t="str">
            <v>3BFE11F8-725E-E611-ABB6-80C16E075108</v>
          </cell>
          <cell r="E2609">
            <v>384</v>
          </cell>
        </row>
        <row r="2610">
          <cell r="A2610" t="str">
            <v>MARINGÁ</v>
          </cell>
          <cell r="C2610" t="str">
            <v>SPAZIO MONTEGUI</v>
          </cell>
          <cell r="D2610" t="str">
            <v>AD847A8B-ED43-DE11-B2C7-001B78B9D994</v>
          </cell>
          <cell r="E2610">
            <v>80</v>
          </cell>
        </row>
        <row r="2611">
          <cell r="A2611" t="str">
            <v>MARINGÁ</v>
          </cell>
          <cell r="C2611" t="str">
            <v>SPAZIO MONTELLO</v>
          </cell>
          <cell r="D2611" t="str">
            <v>0B02F41C-A019-E011-B242-001F2909E810</v>
          </cell>
          <cell r="E2611">
            <v>192</v>
          </cell>
        </row>
        <row r="2612">
          <cell r="A2612" t="str">
            <v>SÃO CARLOS</v>
          </cell>
          <cell r="C2612" t="str">
            <v>SPAZIO MONTEMEZZI</v>
          </cell>
          <cell r="D2612" t="str">
            <v>4ED06712-87B5-DD11-A0C7-001B78B9D994</v>
          </cell>
          <cell r="E2612">
            <v>54</v>
          </cell>
        </row>
        <row r="2613">
          <cell r="A2613" t="str">
            <v>MARINGÁ</v>
          </cell>
          <cell r="C2613" t="str">
            <v>SPAZIO MONTERO</v>
          </cell>
          <cell r="D2613" t="str">
            <v>99E52DE7-1A63-E611-ABB6-80C16E075108</v>
          </cell>
          <cell r="E2613">
            <v>256</v>
          </cell>
        </row>
        <row r="2614">
          <cell r="A2614" t="str">
            <v>MOGI DAS CRUZES</v>
          </cell>
          <cell r="C2614" t="str">
            <v>SPAZIO MONTERREY</v>
          </cell>
          <cell r="D2614" t="str">
            <v>94C5BB36-17CD-DC11-9ED6-001B7845B4A6</v>
          </cell>
          <cell r="E2614">
            <v>64</v>
          </cell>
        </row>
        <row r="2615">
          <cell r="A2615" t="str">
            <v>MOGI DAS CRUZES</v>
          </cell>
          <cell r="C2615" t="str">
            <v>SPAZIO MONTEVERDI</v>
          </cell>
          <cell r="D2615" t="str">
            <v>F6EA7D03-C6EA-DC11-A2F9-001B7845B4A6</v>
          </cell>
          <cell r="E2615">
            <v>48</v>
          </cell>
        </row>
        <row r="2616">
          <cell r="A2616" t="str">
            <v>MARINGÁ</v>
          </cell>
          <cell r="C2616" t="str">
            <v>SPAZIO MONTPELLIER</v>
          </cell>
          <cell r="D2616" t="str">
            <v>77341AF0-5D6C-E511-8826-80C16E075108</v>
          </cell>
          <cell r="E2616">
            <v>128</v>
          </cell>
        </row>
        <row r="2617">
          <cell r="A2617" t="str">
            <v>MARINGÁ</v>
          </cell>
          <cell r="C2617" t="str">
            <v>SPAZIO MONTSENY</v>
          </cell>
          <cell r="D2617" t="str">
            <v>A08F8FF3-2A59-E411-8EFB-009C02B0CB58</v>
          </cell>
          <cell r="E2617">
            <v>128</v>
          </cell>
        </row>
        <row r="2618">
          <cell r="A2618" t="str">
            <v>MARINGÁ</v>
          </cell>
          <cell r="C2618" t="str">
            <v>SPAZIO MONTSERRAT</v>
          </cell>
          <cell r="D2618" t="str">
            <v>E153612D-E239-E411-8EFB-009C02B0CB58</v>
          </cell>
          <cell r="E2618">
            <v>128</v>
          </cell>
        </row>
        <row r="2619">
          <cell r="A2619" t="str">
            <v>MOGI DAS CRUZES</v>
          </cell>
          <cell r="C2619" t="str">
            <v>SPAZIO MORANDI</v>
          </cell>
          <cell r="D2619" t="str">
            <v>68543793-56CB-DC11-9ED6-001B7845B4A6</v>
          </cell>
          <cell r="E2619">
            <v>150</v>
          </cell>
        </row>
        <row r="2620">
          <cell r="A2620" t="str">
            <v>MARINGÁ</v>
          </cell>
          <cell r="C2620" t="str">
            <v>SPAZIO MURANO</v>
          </cell>
          <cell r="D2620" t="str">
            <v>E5FFFE62-8402-DD11-8284-001B7845B4A6</v>
          </cell>
          <cell r="E2620">
            <v>68</v>
          </cell>
        </row>
        <row r="2621">
          <cell r="A2621" t="str">
            <v>MARINGÁ</v>
          </cell>
          <cell r="C2621" t="str">
            <v>SPAZIO MUSCAT</v>
          </cell>
          <cell r="D2621" t="str">
            <v>02ACD437-34B3-DE11-8D16-001F2909E810</v>
          </cell>
          <cell r="E2621">
            <v>240</v>
          </cell>
        </row>
        <row r="2622">
          <cell r="A2622" t="str">
            <v>SÃO PAULO</v>
          </cell>
          <cell r="C2622" t="str">
            <v>SPAZIO NASCENTE DO RIACHO</v>
          </cell>
          <cell r="D2622" t="str">
            <v>473015E9-DADF-E511-B93A-80C16E075108</v>
          </cell>
          <cell r="E2622">
            <v>288</v>
          </cell>
        </row>
        <row r="2623">
          <cell r="A2623" t="str">
            <v>PARNAMIRIM</v>
          </cell>
          <cell r="C2623" t="str">
            <v>SPAZIO NAUTILLUS</v>
          </cell>
          <cell r="D2623" t="str">
            <v>5CB8090E-6FA0-DD11-86FB-001B78B9D994</v>
          </cell>
          <cell r="E2623">
            <v>440</v>
          </cell>
        </row>
        <row r="2624">
          <cell r="A2624" t="str">
            <v>PARNAMIRIM</v>
          </cell>
          <cell r="C2624" t="str">
            <v>SPAZIO NIMBUS RESIDENCE CLUB</v>
          </cell>
          <cell r="D2624" t="str">
            <v>7A794910-264C-DD11-BC22-001B78B9D994</v>
          </cell>
          <cell r="E2624">
            <v>560</v>
          </cell>
        </row>
        <row r="2625">
          <cell r="A2625" t="str">
            <v>BELO HORIZONTE</v>
          </cell>
          <cell r="C2625" t="str">
            <v>SPAZIO OMNI</v>
          </cell>
          <cell r="D2625" t="str">
            <v>39D40B21-4BE9-DC11-ABD0-001B7845B4A6</v>
          </cell>
          <cell r="E2625">
            <v>94</v>
          </cell>
        </row>
        <row r="2626">
          <cell r="A2626" t="str">
            <v>BELO HORIZONTE</v>
          </cell>
          <cell r="C2626" t="str">
            <v>SPAZIO ORIENT</v>
          </cell>
          <cell r="D2626" t="str">
            <v>ADD3A29B-68D9-DC11-ABCF-001B7845B4A6</v>
          </cell>
          <cell r="E2626">
            <v>80</v>
          </cell>
        </row>
        <row r="2627">
          <cell r="A2627" t="str">
            <v>BELO HORIZONTE</v>
          </cell>
          <cell r="C2627" t="str">
            <v>SPAZIO ORIZZONTE</v>
          </cell>
          <cell r="D2627" t="str">
            <v>14323593-23DA-DC11-ABCF-001B7845B4A6</v>
          </cell>
          <cell r="E2627">
            <v>20</v>
          </cell>
        </row>
        <row r="2628">
          <cell r="A2628" t="str">
            <v>BELO HORIZONTE</v>
          </cell>
          <cell r="C2628" t="str">
            <v>SPAZIO PALERMO</v>
          </cell>
          <cell r="D2628" t="str">
            <v>0CAB3C23-6DD9-DC11-ABCF-001B7845B4A6</v>
          </cell>
          <cell r="E2628">
            <v>120</v>
          </cell>
        </row>
        <row r="2629">
          <cell r="A2629" t="str">
            <v>BELO HORIZONTE</v>
          </cell>
          <cell r="C2629" t="str">
            <v>SPAZIO PARTHENON</v>
          </cell>
          <cell r="D2629" t="str">
            <v>631928F5-CA54-DD11-BC22-001B78B9D994</v>
          </cell>
          <cell r="E2629">
            <v>440</v>
          </cell>
        </row>
        <row r="2630">
          <cell r="A2630" t="str">
            <v>SÃO PAULO</v>
          </cell>
          <cell r="C2630" t="str">
            <v>SPAZIO PINHEIROS</v>
          </cell>
          <cell r="D2630" t="str">
            <v>B9151FAA-F5DB-E511-B93A-80C16E075108</v>
          </cell>
          <cell r="E2630">
            <v>288</v>
          </cell>
        </row>
        <row r="2631">
          <cell r="A2631" t="str">
            <v>PAULÍNIA</v>
          </cell>
          <cell r="C2631" t="str">
            <v>SPAZIO PLENITUDE</v>
          </cell>
          <cell r="D2631" t="str">
            <v>086B12AF-398E-DD11-917B-001B78B9D994</v>
          </cell>
          <cell r="E2631">
            <v>40</v>
          </cell>
        </row>
        <row r="2632">
          <cell r="A2632" t="str">
            <v>PAULÍNIA</v>
          </cell>
          <cell r="C2632" t="str">
            <v>SPAZIO POEME</v>
          </cell>
          <cell r="D2632" t="str">
            <v>9B9F08C1-388E-DD11-917B-001B78B9D994</v>
          </cell>
          <cell r="E2632">
            <v>80</v>
          </cell>
        </row>
        <row r="2633">
          <cell r="A2633" t="str">
            <v>PAULÍNIA</v>
          </cell>
          <cell r="C2633" t="str">
            <v>SPAZIO PONTES DO RIALTO</v>
          </cell>
          <cell r="D2633" t="str">
            <v>3F2E62E0-6EE1-DC11-ABD0-001B7845B4A6</v>
          </cell>
          <cell r="E2633">
            <v>80</v>
          </cell>
        </row>
        <row r="2634">
          <cell r="A2634" t="str">
            <v>SÃO PAULO</v>
          </cell>
          <cell r="C2634" t="str">
            <v>SPAZIO POR DO SOL</v>
          </cell>
          <cell r="D2634" t="str">
            <v>099A2017-D2DB-E511-B93A-80C16E075108</v>
          </cell>
          <cell r="E2634">
            <v>288</v>
          </cell>
        </row>
        <row r="2635">
          <cell r="A2635" t="str">
            <v>NOVO HAMBURGO</v>
          </cell>
          <cell r="C2635" t="str">
            <v>SPAZIO PORTO DAS PALMEIRAS</v>
          </cell>
          <cell r="D2635" t="str">
            <v>BB2AAFDE-48ED-E511-A5BB-009C02B0CB58</v>
          </cell>
          <cell r="E2635">
            <v>220</v>
          </cell>
        </row>
        <row r="2636">
          <cell r="A2636" t="str">
            <v>BELO HORIZONTE</v>
          </cell>
          <cell r="C2636" t="str">
            <v>SPAZIO POSITANO</v>
          </cell>
          <cell r="D2636" t="str">
            <v>CFDC6B1A-53E9-DC11-ABD0-001B7845B4A6</v>
          </cell>
          <cell r="E2636">
            <v>15</v>
          </cell>
        </row>
        <row r="2637">
          <cell r="A2637" t="str">
            <v>SÃO PAULO</v>
          </cell>
          <cell r="C2637" t="str">
            <v>SPAZIO PRAIA DA ENSEADA</v>
          </cell>
          <cell r="D2637" t="str">
            <v>1E1E5EB8-F5DE-E511-B93A-80C16E075108</v>
          </cell>
          <cell r="E2637">
            <v>288</v>
          </cell>
        </row>
        <row r="2638">
          <cell r="A2638" t="str">
            <v>BELO HORIZONTE</v>
          </cell>
          <cell r="C2638" t="str">
            <v>SPAZIO QUATRO STAZIONE</v>
          </cell>
          <cell r="D2638" t="str">
            <v>AF559A7E-F4DB-DC11-ABCF-001B7845B4A6</v>
          </cell>
          <cell r="E2638">
            <v>36</v>
          </cell>
        </row>
        <row r="2639">
          <cell r="A2639" t="str">
            <v>RIBEIRÃO PRETO</v>
          </cell>
          <cell r="C2639" t="str">
            <v>SPAZIO RARITÁ</v>
          </cell>
          <cell r="D2639" t="str">
            <v>E2728142-6AFB-DC11-8284-001B7845B4A6</v>
          </cell>
          <cell r="E2639">
            <v>32</v>
          </cell>
        </row>
        <row r="2640">
          <cell r="A2640" t="str">
            <v>RIBEIRÃO PRETO</v>
          </cell>
          <cell r="C2640" t="str">
            <v>SPAZIO RAVAGE</v>
          </cell>
          <cell r="D2640" t="str">
            <v>74036B68-C585-DD11-8A4F-001B78B9D994</v>
          </cell>
          <cell r="E2640">
            <v>32</v>
          </cell>
        </row>
        <row r="2641">
          <cell r="A2641" t="str">
            <v>RIBEIRÃO PRETO</v>
          </cell>
          <cell r="C2641" t="str">
            <v>SPAZIO RAVELLO</v>
          </cell>
          <cell r="D2641" t="str">
            <v>CD8E2855-73FB-DC11-8284-001B7845B4A6</v>
          </cell>
          <cell r="E2641">
            <v>64</v>
          </cell>
        </row>
        <row r="2642">
          <cell r="A2642" t="str">
            <v>RIO DE JANEIRO</v>
          </cell>
          <cell r="C2642" t="str">
            <v>SPAZIO REALE</v>
          </cell>
          <cell r="D2642" t="str">
            <v>25BE1748-2A4C-DD11-BC22-001B78B9D994</v>
          </cell>
          <cell r="E2642">
            <v>132</v>
          </cell>
        </row>
        <row r="2643">
          <cell r="A2643" t="str">
            <v>RIBEIRÃO PRETO</v>
          </cell>
          <cell r="C2643" t="str">
            <v>SPAZIO REAUVILLE</v>
          </cell>
          <cell r="D2643" t="str">
            <v>B7DD878F-F3EA-DC11-A2F9-001B7845B4A6</v>
          </cell>
          <cell r="E2643">
            <v>300</v>
          </cell>
        </row>
        <row r="2644">
          <cell r="A2644" t="str">
            <v>RIO DE JANEIRO</v>
          </cell>
          <cell r="C2644" t="str">
            <v>SPAZIO RECOLETA</v>
          </cell>
          <cell r="D2644" t="str">
            <v>007B2D2E-5732-E111-B49C-001F2909E810</v>
          </cell>
          <cell r="E2644">
            <v>240</v>
          </cell>
        </row>
        <row r="2645">
          <cell r="A2645" t="str">
            <v>RIO DE JANEIRO</v>
          </cell>
          <cell r="C2645" t="str">
            <v>SPAZIO RECRIART</v>
          </cell>
          <cell r="D2645" t="str">
            <v>110D6A01-5B62-DE11-B2C7-001B78B9D994</v>
          </cell>
          <cell r="E2645">
            <v>229</v>
          </cell>
        </row>
        <row r="2646">
          <cell r="A2646" t="str">
            <v>RIO DE JANEIRO</v>
          </cell>
          <cell r="C2646" t="str">
            <v>SPAZIO REDENTORE</v>
          </cell>
          <cell r="D2646" t="str">
            <v>CDACD274-274C-DD11-BC22-001B78B9D994</v>
          </cell>
          <cell r="E2646">
            <v>360</v>
          </cell>
        </row>
        <row r="2647">
          <cell r="A2647" t="str">
            <v>RIBEIRÃO PRETO</v>
          </cell>
          <cell r="C2647" t="str">
            <v>SPAZIO REGARD</v>
          </cell>
          <cell r="D2647" t="str">
            <v>C5CB0CC3-3663-DD11-B13B-001B78B9D994</v>
          </cell>
          <cell r="E2647">
            <v>32</v>
          </cell>
        </row>
        <row r="2648">
          <cell r="A2648" t="str">
            <v>RIO DE JANEIRO</v>
          </cell>
          <cell r="C2648" t="str">
            <v>SPAZIO REGENCE</v>
          </cell>
          <cell r="D2648" t="str">
            <v>A7C1CB64-2A4C-DD11-BC22-001B78B9D994</v>
          </cell>
          <cell r="E2648">
            <v>88</v>
          </cell>
        </row>
        <row r="2649">
          <cell r="A2649" t="str">
            <v>RIBEIRÃO PRETO</v>
          </cell>
          <cell r="C2649" t="str">
            <v>SPAZIO REGIA</v>
          </cell>
          <cell r="D2649" t="str">
            <v>99ADFCA2-C585-DD11-8A4F-001B78B9D994</v>
          </cell>
          <cell r="E2649">
            <v>32</v>
          </cell>
        </row>
        <row r="2650">
          <cell r="A2650" t="str">
            <v>RIBEIRÃO PRETO</v>
          </cell>
          <cell r="C2650" t="str">
            <v>SPAZIO RENASCENCE</v>
          </cell>
          <cell r="D2650" t="str">
            <v>EC030FE0-28E9-DC11-ABD0-001B7845B4A6</v>
          </cell>
          <cell r="E2650">
            <v>32</v>
          </cell>
        </row>
        <row r="2651">
          <cell r="A2651" t="str">
            <v>RIO DE JANEIRO</v>
          </cell>
          <cell r="C2651" t="str">
            <v>SPAZIO RENAULT</v>
          </cell>
          <cell r="D2651" t="str">
            <v>652A4481-2A4C-DD11-BC22-001B78B9D994</v>
          </cell>
          <cell r="E2651">
            <v>65</v>
          </cell>
        </row>
        <row r="2652">
          <cell r="A2652" t="str">
            <v>RIO DE JANEIRO</v>
          </cell>
          <cell r="C2652" t="str">
            <v>SPAZIO RENNES</v>
          </cell>
          <cell r="D2652" t="str">
            <v>029E3D9B-2A4C-DD11-BC22-001B78B9D994</v>
          </cell>
          <cell r="E2652">
            <v>160</v>
          </cell>
        </row>
        <row r="2653">
          <cell r="A2653" t="str">
            <v>RIO DE JANEIRO</v>
          </cell>
          <cell r="C2653" t="str">
            <v>SPAZIO RESERVA IMPERIAL</v>
          </cell>
          <cell r="D2653" t="str">
            <v>552D5253-D4B7-DD11-A0C7-001B78B9D994</v>
          </cell>
          <cell r="E2653">
            <v>380</v>
          </cell>
        </row>
        <row r="2654">
          <cell r="A2654" t="str">
            <v>JACAREÍ</v>
          </cell>
          <cell r="C2654" t="str">
            <v>SPAZIO RESIDENCIAL JACAREI</v>
          </cell>
          <cell r="D2654" t="str">
            <v>4573BE80-B2FA-DC11-8284-001B7845B4A6</v>
          </cell>
          <cell r="E2654">
            <v>160</v>
          </cell>
        </row>
        <row r="2655">
          <cell r="A2655" t="str">
            <v>RIBEIRÃO PRETO</v>
          </cell>
          <cell r="C2655" t="str">
            <v>SPAZIO RESPLENDOR</v>
          </cell>
          <cell r="D2655" t="str">
            <v>263B9D1E-0BEB-DC11-A2F9-001B7845B4A6</v>
          </cell>
          <cell r="E2655">
            <v>128</v>
          </cell>
        </row>
        <row r="2656">
          <cell r="A2656" t="str">
            <v>RIBEIRÃO PRETO</v>
          </cell>
          <cell r="C2656" t="str">
            <v>SPAZIO RIAZOR</v>
          </cell>
          <cell r="D2656" t="str">
            <v>6B1347DE-EBEA-DC11-A2F9-001B7845B4A6</v>
          </cell>
          <cell r="E2656">
            <v>80</v>
          </cell>
        </row>
        <row r="2657">
          <cell r="A2657" t="str">
            <v>RIBEIRÃO PRETO</v>
          </cell>
          <cell r="C2657" t="str">
            <v>SPAZIO RIGOBELLO</v>
          </cell>
          <cell r="D2657" t="str">
            <v>B260202A-EEEA-DC11-A2F9-001B7845B4A6</v>
          </cell>
          <cell r="E2657">
            <v>100</v>
          </cell>
        </row>
        <row r="2658">
          <cell r="A2658" t="str">
            <v>RIO DE JANEIRO</v>
          </cell>
          <cell r="C2658" t="str">
            <v>SPAZIO RIMINI</v>
          </cell>
          <cell r="D2658" t="str">
            <v>D20A97D7-2A4C-DD11-BC22-001B78B9D994</v>
          </cell>
          <cell r="E2658">
            <v>168</v>
          </cell>
        </row>
        <row r="2659">
          <cell r="A2659" t="str">
            <v>SÃO PAULO</v>
          </cell>
          <cell r="C2659" t="str">
            <v>SPAZIO RIO BONITO</v>
          </cell>
          <cell r="D2659" t="str">
            <v>C6C0F060-EFDF-E511-B93A-80C16E075108</v>
          </cell>
          <cell r="E2659">
            <v>288</v>
          </cell>
        </row>
        <row r="2660">
          <cell r="A2660" t="str">
            <v>SÃO JOSÉ DO RIO PRETO</v>
          </cell>
          <cell r="C2660" t="str">
            <v>SPAZIO RIO COLORADO</v>
          </cell>
          <cell r="D2660" t="str">
            <v>0F288DEC-05EB-DC11-A2F9-001B7845B4A6</v>
          </cell>
          <cell r="E2660">
            <v>112</v>
          </cell>
        </row>
        <row r="2661">
          <cell r="A2661" t="str">
            <v>SÃO JOSÉ DO RIO PRETO</v>
          </cell>
          <cell r="C2661" t="str">
            <v>SPAZIO RIO D'OURO</v>
          </cell>
          <cell r="D2661" t="str">
            <v>427F5676-7CEB-DC11-A2F9-001B7845B4A6</v>
          </cell>
          <cell r="E2661">
            <v>96</v>
          </cell>
        </row>
        <row r="2662">
          <cell r="A2662" t="str">
            <v>SÃO JOSÉ DO RIO PRETO</v>
          </cell>
          <cell r="C2662" t="str">
            <v>SPAZIO RIO GRANDE</v>
          </cell>
          <cell r="D2662" t="str">
            <v>65C156F3-75FB-DC11-8284-001B7845B4A6</v>
          </cell>
          <cell r="E2662">
            <v>80</v>
          </cell>
        </row>
        <row r="2663">
          <cell r="A2663" t="str">
            <v>SÃO JOSÉ DO RIO PRETO</v>
          </cell>
          <cell r="C2663" t="str">
            <v>SPAZIO RIO MADEIRA</v>
          </cell>
          <cell r="D2663" t="str">
            <v>F5AF4D24-6505-DD11-8284-001B7845B4A6</v>
          </cell>
          <cell r="E2663">
            <v>0</v>
          </cell>
        </row>
        <row r="2664">
          <cell r="A2664" t="str">
            <v>SÃO JOSÉ DO RIO PRETO</v>
          </cell>
          <cell r="C2664" t="str">
            <v>SPAZIO RIO MISSOURI</v>
          </cell>
          <cell r="D2664" t="str">
            <v>9AA27D05-7132-DD11-A6D4-001B7845B4A6</v>
          </cell>
          <cell r="E2664">
            <v>160</v>
          </cell>
        </row>
        <row r="2665">
          <cell r="A2665" t="str">
            <v>SÃO JOSÉ DO RIO PRETO</v>
          </cell>
          <cell r="C2665" t="str">
            <v>SPAZIO RIO PÉROLA</v>
          </cell>
          <cell r="D2665" t="str">
            <v>87BEF77B-08EB-DC11-A2F9-001B7845B4A6</v>
          </cell>
          <cell r="E2665">
            <v>448</v>
          </cell>
        </row>
        <row r="2666">
          <cell r="A2666" t="str">
            <v>RIO DE JANEIRO</v>
          </cell>
          <cell r="C2666" t="str">
            <v>SPAZIO RIO STAR</v>
          </cell>
          <cell r="D2666" t="str">
            <v>AA144B44-2B4C-DD11-BC22-001B78B9D994</v>
          </cell>
          <cell r="E2666">
            <v>240</v>
          </cell>
        </row>
        <row r="2667">
          <cell r="A2667" t="str">
            <v>SÃO JOSÉ DO RIO PRETO</v>
          </cell>
          <cell r="C2667" t="str">
            <v>SPAZIO RIO TAMISA</v>
          </cell>
          <cell r="D2667" t="str">
            <v>45947308-1B62-DD11-B13B-001B78B9D994</v>
          </cell>
          <cell r="E2667">
            <v>72</v>
          </cell>
        </row>
        <row r="2668">
          <cell r="A2668" t="str">
            <v>SÃO JOSÉ DO RIO PRETO</v>
          </cell>
          <cell r="C2668" t="str">
            <v>SPAZIO RIO TEJO</v>
          </cell>
          <cell r="D2668" t="str">
            <v>AF6292C5-83EB-DC11-A2F9-001B7845B4A6</v>
          </cell>
          <cell r="E2668">
            <v>144</v>
          </cell>
        </row>
        <row r="2669">
          <cell r="A2669" t="str">
            <v>SÃO JOSÉ DO RIO PRETO</v>
          </cell>
          <cell r="C2669" t="str">
            <v>SPAZIO RIO TINTO</v>
          </cell>
          <cell r="D2669" t="str">
            <v>A8ECC5B0-0BEB-DC11-A2F9-001B7845B4A6</v>
          </cell>
          <cell r="E2669">
            <v>84</v>
          </cell>
        </row>
        <row r="2670">
          <cell r="A2670" t="str">
            <v>SÃO JOSÉ DO RIO PRETO</v>
          </cell>
          <cell r="C2670" t="str">
            <v>SPAZIO RIO VERDE</v>
          </cell>
          <cell r="D2670" t="str">
            <v>54AAFF59-7FEB-DC11-A2F9-001B7845B4A6</v>
          </cell>
          <cell r="E2670">
            <v>42</v>
          </cell>
        </row>
        <row r="2671">
          <cell r="A2671" t="str">
            <v>RIBEIRÃO PRETO</v>
          </cell>
          <cell r="C2671" t="str">
            <v>SPAZIO RISERVATTO</v>
          </cell>
          <cell r="D2671" t="str">
            <v>1AC4B48D-59F4-DC11-A2F9-001B7845B4A6</v>
          </cell>
          <cell r="E2671">
            <v>80</v>
          </cell>
        </row>
        <row r="2672">
          <cell r="A2672" t="str">
            <v>RIO DE JANEIRO</v>
          </cell>
          <cell r="C2672" t="str">
            <v>SPAZIO RIVERSIDE</v>
          </cell>
          <cell r="D2672" t="str">
            <v>632EEABA-2A4C-DD11-BC22-001B78B9D994</v>
          </cell>
          <cell r="E2672">
            <v>340</v>
          </cell>
        </row>
        <row r="2673">
          <cell r="A2673" t="str">
            <v>RIBEIRÃO PRETO</v>
          </cell>
          <cell r="C2673" t="str">
            <v>SPAZIO ROBESPIERRE</v>
          </cell>
          <cell r="D2673" t="str">
            <v>A94E5C4E-EFEA-DC11-A2F9-001B7845B4A6</v>
          </cell>
          <cell r="E2673">
            <v>256</v>
          </cell>
        </row>
        <row r="2674">
          <cell r="A2674" t="str">
            <v>RIO DE JANEIRO</v>
          </cell>
          <cell r="C2674" t="str">
            <v>SPAZIO RODIN</v>
          </cell>
          <cell r="D2674" t="str">
            <v>9C9DD8F3-2A4C-DD11-BC22-001B78B9D994</v>
          </cell>
          <cell r="E2674">
            <v>105</v>
          </cell>
        </row>
        <row r="2675">
          <cell r="A2675" t="str">
            <v>RIO DE JANEIRO</v>
          </cell>
          <cell r="C2675" t="str">
            <v>SPAZIO ROOSEVELT</v>
          </cell>
          <cell r="D2675" t="str">
            <v>5A12A81A-6CA3-E111-8F0C-001F2909E810</v>
          </cell>
          <cell r="E2675">
            <v>480</v>
          </cell>
        </row>
        <row r="2676">
          <cell r="A2676" t="str">
            <v>RIO DE JANEIRO</v>
          </cell>
          <cell r="C2676" t="str">
            <v>SPAZIO ROSSINI</v>
          </cell>
          <cell r="D2676" t="str">
            <v>A2C52B0F-2B4C-DD11-BC22-001B78B9D994</v>
          </cell>
          <cell r="E2676">
            <v>48</v>
          </cell>
        </row>
        <row r="2677">
          <cell r="A2677" t="str">
            <v>RIO DE JANEIRO</v>
          </cell>
          <cell r="C2677" t="str">
            <v>SPAZIO ROTTERDAM</v>
          </cell>
          <cell r="D2677" t="str">
            <v>92460E28-2B4C-DD11-BC22-001B78B9D994</v>
          </cell>
          <cell r="E2677">
            <v>89</v>
          </cell>
        </row>
        <row r="2678">
          <cell r="A2678" t="str">
            <v>RIO DE JANEIRO</v>
          </cell>
          <cell r="C2678" t="str">
            <v>SPAZIO ROYAL PALMS</v>
          </cell>
          <cell r="D2678" t="str">
            <v>3D064CE5-6B5E-DD11-B13B-001B78B9D994</v>
          </cell>
          <cell r="E2678">
            <v>310</v>
          </cell>
        </row>
        <row r="2679">
          <cell r="A2679" t="str">
            <v>BELO HORIZONTE</v>
          </cell>
          <cell r="C2679" t="str">
            <v>SPAZIO SAGRES</v>
          </cell>
          <cell r="D2679" t="str">
            <v>8974AB74-E7E6-DC11-ABD0-001B7845B4A6</v>
          </cell>
          <cell r="E2679">
            <v>150</v>
          </cell>
        </row>
        <row r="2680">
          <cell r="A2680" t="str">
            <v>SÃO PAULO</v>
          </cell>
          <cell r="C2680" t="str">
            <v>SPAZIO SAINT BARTH</v>
          </cell>
          <cell r="D2680" t="str">
            <v>B148C8E2-A10E-E511-A3A7-80C16E075108</v>
          </cell>
          <cell r="E2680">
            <v>296</v>
          </cell>
        </row>
        <row r="2681">
          <cell r="A2681" t="str">
            <v>SÃO PAULO</v>
          </cell>
          <cell r="C2681" t="str">
            <v>SPAZIO SAINT CLAIR</v>
          </cell>
          <cell r="D2681" t="str">
            <v>64A49AC2-EEE9-DC11-ABD0-001B7845B4A6</v>
          </cell>
          <cell r="E2681">
            <v>96</v>
          </cell>
        </row>
        <row r="2682">
          <cell r="A2682" t="str">
            <v>SÃO PAULO</v>
          </cell>
          <cell r="C2682" t="str">
            <v>SPAZIO SAINT EMILION</v>
          </cell>
          <cell r="D2682" t="str">
            <v>0D49964D-B2FA-DC11-8284-001B7845B4A6</v>
          </cell>
          <cell r="E2682">
            <v>140</v>
          </cell>
        </row>
        <row r="2683">
          <cell r="A2683" t="str">
            <v>SÃO PAULO</v>
          </cell>
          <cell r="C2683" t="str">
            <v>SPAZIO SAINT ETIENE</v>
          </cell>
          <cell r="D2683" t="str">
            <v>767AAC64-C4CE-DC11-9ED6-001B7845B4A6</v>
          </cell>
          <cell r="E2683">
            <v>144</v>
          </cell>
        </row>
        <row r="2684">
          <cell r="A2684" t="str">
            <v>SÃO PAULO</v>
          </cell>
          <cell r="C2684" t="str">
            <v>SPAZIO SAINT FIDELIS</v>
          </cell>
          <cell r="D2684" t="str">
            <v>0C76FF70-7418-E711-B3B8-009C02B0CB58</v>
          </cell>
          <cell r="E2684">
            <v>456</v>
          </cell>
        </row>
        <row r="2685">
          <cell r="A2685" t="str">
            <v>SÃO PAULO</v>
          </cell>
          <cell r="C2685" t="str">
            <v>SPAZIO SAINT GERMAN</v>
          </cell>
          <cell r="D2685" t="str">
            <v>94AA492A-F6CD-DC11-9ED6-001B7845B4A6</v>
          </cell>
          <cell r="E2685">
            <v>92</v>
          </cell>
        </row>
        <row r="2686">
          <cell r="A2686" t="str">
            <v>SÃO PAULO</v>
          </cell>
          <cell r="C2686" t="str">
            <v>SPAZIO SAINT GREGORY</v>
          </cell>
          <cell r="D2686" t="str">
            <v>821E051C-7418-E711-B3B8-009C02B0CB58</v>
          </cell>
          <cell r="E2686">
            <v>400</v>
          </cell>
        </row>
        <row r="2687">
          <cell r="A2687" t="str">
            <v>SÃO PAULO</v>
          </cell>
          <cell r="C2687" t="str">
            <v>SPAZIO SAINT IVES</v>
          </cell>
          <cell r="D2687" t="str">
            <v>B781000A-A10E-E511-A3A7-80C16E075108</v>
          </cell>
          <cell r="E2687">
            <v>288</v>
          </cell>
        </row>
        <row r="2688">
          <cell r="A2688" t="str">
            <v>SÃO PAULO</v>
          </cell>
          <cell r="C2688" t="str">
            <v>SPAZIO SAINT LOUIS</v>
          </cell>
          <cell r="D2688" t="str">
            <v>477D8FF0-A0E3-DC11-ABD0-001B7845B4A6</v>
          </cell>
          <cell r="E2688">
            <v>40</v>
          </cell>
        </row>
        <row r="2689">
          <cell r="A2689" t="str">
            <v>SÃO PAULO</v>
          </cell>
          <cell r="C2689" t="str">
            <v>SPAZIO SAINT MAURICE</v>
          </cell>
          <cell r="D2689" t="str">
            <v>F2DB4C5E-1AB2-E411-B5D2-009C02B0CB58</v>
          </cell>
          <cell r="E2689">
            <v>288</v>
          </cell>
        </row>
        <row r="2690">
          <cell r="A2690" t="str">
            <v>SÃO BERNARDO DO CAMPO</v>
          </cell>
          <cell r="C2690" t="str">
            <v>SPAZIO SAINT MORITZ</v>
          </cell>
          <cell r="D2690" t="str">
            <v>34DBCC38-BBCE-DC11-9ED6-001B7845B4A6</v>
          </cell>
          <cell r="E2690">
            <v>132</v>
          </cell>
        </row>
        <row r="2691">
          <cell r="A2691" t="str">
            <v>SÃO PAULO</v>
          </cell>
          <cell r="C2691" t="str">
            <v>SPAZIO SAINT REGIS</v>
          </cell>
          <cell r="D2691" t="str">
            <v>8F1631A1-C67C-E511-9CC2-009C02B0CB58</v>
          </cell>
          <cell r="E2691">
            <v>400</v>
          </cell>
        </row>
        <row r="2692">
          <cell r="A2692" t="str">
            <v>SÃO PAULO</v>
          </cell>
          <cell r="C2692" t="str">
            <v>SPAZIO SAINT VICTOR</v>
          </cell>
          <cell r="D2692" t="str">
            <v>E6D9D5CE-B5CE-DC11-9ED6-001B7845B4A6</v>
          </cell>
          <cell r="E2692">
            <v>87</v>
          </cell>
        </row>
        <row r="2693">
          <cell r="A2693" t="str">
            <v>SOROCABA</v>
          </cell>
          <cell r="C2693" t="str">
            <v>SPAZIO SALAMANCA</v>
          </cell>
          <cell r="D2693" t="str">
            <v>5BBFEF69-1984-E111-A73F-001F2909E810</v>
          </cell>
          <cell r="E2693">
            <v>704</v>
          </cell>
        </row>
        <row r="2694">
          <cell r="A2694" t="str">
            <v>SOROCABA</v>
          </cell>
          <cell r="C2694" t="str">
            <v>SPAZIO SALUTE</v>
          </cell>
          <cell r="D2694" t="str">
            <v>1E7FFAB9-C0CD-DC11-9ED6-001B7845B4A6</v>
          </cell>
          <cell r="E2694">
            <v>176</v>
          </cell>
        </row>
        <row r="2695">
          <cell r="A2695" t="str">
            <v>SÃO BERNARDO DO CAMPO</v>
          </cell>
          <cell r="C2695" t="str">
            <v>SPAZIO SALVADOR DALI</v>
          </cell>
          <cell r="D2695" t="str">
            <v>AE907963-F8CD-DC11-9ED6-001B7845B4A6</v>
          </cell>
          <cell r="E2695">
            <v>160</v>
          </cell>
        </row>
        <row r="2696">
          <cell r="A2696" t="str">
            <v>SÃO PAULO</v>
          </cell>
          <cell r="C2696" t="str">
            <v>SPAZIO SAN BERNARD</v>
          </cell>
          <cell r="D2696" t="str">
            <v>4A6D8A9E-B3CE-DC11-9ED6-001B7845B4A6</v>
          </cell>
          <cell r="E2696">
            <v>52</v>
          </cell>
        </row>
        <row r="2697">
          <cell r="A2697" t="str">
            <v>SÃO PAULO</v>
          </cell>
          <cell r="C2697" t="str">
            <v>SPAZIO SAN CONRADO</v>
          </cell>
          <cell r="D2697" t="str">
            <v>68CD9EA3-3BEA-DC11-ABD0-001B7845B4A6</v>
          </cell>
          <cell r="E2697">
            <v>84</v>
          </cell>
        </row>
        <row r="2698">
          <cell r="A2698" t="str">
            <v>SÃO PAULO</v>
          </cell>
          <cell r="C2698" t="str">
            <v>SPAZIO SAN CRISTOVAN</v>
          </cell>
          <cell r="D2698" t="str">
            <v>7CCB1676-BFCE-DC11-9ED6-001B7845B4A6</v>
          </cell>
          <cell r="E2698">
            <v>44</v>
          </cell>
        </row>
        <row r="2699">
          <cell r="A2699" t="str">
            <v>CAJAMAR</v>
          </cell>
          <cell r="C2699" t="str">
            <v>SPAZIO SAN DENIS</v>
          </cell>
          <cell r="D2699" t="str">
            <v>E115B067-0FCA-E311-B03C-80C16E075108</v>
          </cell>
          <cell r="E2699">
            <v>672</v>
          </cell>
        </row>
        <row r="2700">
          <cell r="A2700" t="str">
            <v>SÃO PAULO</v>
          </cell>
          <cell r="C2700" t="str">
            <v>SPAZIO SAN FIRMINO</v>
          </cell>
          <cell r="D2700" t="str">
            <v>DB87C01E-BAEB-DC11-A2F9-001B7845B4A6</v>
          </cell>
          <cell r="E2700">
            <v>79</v>
          </cell>
        </row>
        <row r="2701">
          <cell r="A2701" t="str">
            <v>SÃO PAULO</v>
          </cell>
          <cell r="C2701" t="str">
            <v>SPAZIO SAN FRANCESCO</v>
          </cell>
          <cell r="D2701" t="str">
            <v>921B38A8-92EB-DC11-A2F9-001B7845B4A6</v>
          </cell>
          <cell r="E2701">
            <v>108</v>
          </cell>
        </row>
        <row r="2702">
          <cell r="A2702" t="str">
            <v>SÃO PAULO</v>
          </cell>
          <cell r="C2702" t="str">
            <v>SPAZIO SAN GABRIEL</v>
          </cell>
          <cell r="D2702" t="str">
            <v>E2156581-BACE-DC11-9ED6-001B7845B4A6</v>
          </cell>
          <cell r="E2702">
            <v>30</v>
          </cell>
        </row>
        <row r="2703">
          <cell r="A2703" t="str">
            <v>SÃO BERNARDO DO CAMPO</v>
          </cell>
          <cell r="C2703" t="str">
            <v>SPAZIO SAN GENARO</v>
          </cell>
          <cell r="D2703" t="str">
            <v>86B00BBC-B8CE-DC11-9ED6-001B7845B4A6</v>
          </cell>
          <cell r="E2703">
            <v>96</v>
          </cell>
        </row>
        <row r="2704">
          <cell r="A2704" t="str">
            <v>SÃO PAULO</v>
          </cell>
          <cell r="C2704" t="str">
            <v>SPAZIO SAN GIACOMO</v>
          </cell>
          <cell r="D2704" t="str">
            <v>286D5F4F-B4CE-DC11-9ED6-001B7845B4A6</v>
          </cell>
          <cell r="E2704">
            <v>72</v>
          </cell>
        </row>
        <row r="2705">
          <cell r="A2705" t="str">
            <v>SANTO ANDRÉ</v>
          </cell>
          <cell r="C2705" t="str">
            <v>SPAZIO SAN GOTARDO</v>
          </cell>
          <cell r="D2705" t="str">
            <v>8F9D07D7-BDEB-DC11-A2F9-001B7845B4A6</v>
          </cell>
          <cell r="E2705">
            <v>440</v>
          </cell>
        </row>
        <row r="2706">
          <cell r="A2706" t="str">
            <v>SÃO PAULO</v>
          </cell>
          <cell r="C2706" t="str">
            <v>SPAZIO SAN JONAS</v>
          </cell>
          <cell r="D2706" t="str">
            <v>B8412071-2784-DD11-8A4F-001B78B9D994</v>
          </cell>
          <cell r="E2706">
            <v>192</v>
          </cell>
        </row>
        <row r="2707">
          <cell r="A2707" t="str">
            <v>SÃO PAULO</v>
          </cell>
          <cell r="C2707" t="str">
            <v>SPAZIO SAN JUAN</v>
          </cell>
          <cell r="D2707" t="str">
            <v>AE257DC5-A0CE-DC11-9ED6-001B7845B4A6</v>
          </cell>
          <cell r="E2707">
            <v>65</v>
          </cell>
        </row>
        <row r="2708">
          <cell r="A2708" t="str">
            <v>SÃO PAULO</v>
          </cell>
          <cell r="C2708" t="str">
            <v>SPAZIO SAN LEONARD</v>
          </cell>
          <cell r="D2708" t="str">
            <v>15438A2A-3FFB-DC11-8284-001B7845B4A6</v>
          </cell>
          <cell r="E2708">
            <v>72</v>
          </cell>
        </row>
        <row r="2709">
          <cell r="A2709" t="str">
            <v>SÃO PAULO</v>
          </cell>
          <cell r="C2709" t="str">
            <v>SPAZIO SAN LUCA</v>
          </cell>
          <cell r="D2709" t="str">
            <v>8497A5B5-B3CE-DC11-9ED6-001B7845B4A6</v>
          </cell>
          <cell r="E2709">
            <v>42</v>
          </cell>
        </row>
        <row r="2710">
          <cell r="A2710" t="str">
            <v>SANTO ANDRÉ</v>
          </cell>
          <cell r="C2710" t="str">
            <v>SPAZIO SAN MARCO</v>
          </cell>
          <cell r="D2710" t="str">
            <v>FE568ADC-AFCE-DC11-9ED6-001B7845B4A6</v>
          </cell>
          <cell r="E2710">
            <v>240</v>
          </cell>
        </row>
        <row r="2711">
          <cell r="A2711" t="str">
            <v>SÃO PAULO</v>
          </cell>
          <cell r="C2711" t="str">
            <v>SPAZIO SAN MATEO</v>
          </cell>
          <cell r="D2711" t="str">
            <v>D24F4310-BD0E-E511-A3A7-80C16E075108</v>
          </cell>
          <cell r="E2711">
            <v>288</v>
          </cell>
        </row>
        <row r="2712">
          <cell r="A2712" t="str">
            <v>SANTO ANDRÉ</v>
          </cell>
          <cell r="C2712" t="str">
            <v>SPAZIO SAN PATRICK</v>
          </cell>
          <cell r="D2712" t="str">
            <v>75620D9A-1DBA-DD11-BEF7-001B78B9D994</v>
          </cell>
          <cell r="E2712">
            <v>64</v>
          </cell>
        </row>
        <row r="2713">
          <cell r="A2713" t="str">
            <v>SÃO PAULO</v>
          </cell>
          <cell r="C2713" t="str">
            <v>SPAZIO SAN RAFAEL</v>
          </cell>
          <cell r="D2713" t="str">
            <v>8928ED6A-AECE-DC11-9ED6-001B7845B4A6</v>
          </cell>
          <cell r="E2713">
            <v>172</v>
          </cell>
        </row>
        <row r="2714">
          <cell r="A2714" t="str">
            <v>SÃO PAULO</v>
          </cell>
          <cell r="C2714" t="str">
            <v>SPAZIO SAN SALVATORE</v>
          </cell>
          <cell r="D2714" t="str">
            <v>257B4911-B3CE-DC11-9ED6-001B7845B4A6</v>
          </cell>
          <cell r="E2714">
            <v>76</v>
          </cell>
        </row>
        <row r="2715">
          <cell r="A2715" t="str">
            <v>SÃO PAULO</v>
          </cell>
          <cell r="C2715" t="str">
            <v>SPAZIO SAN SEBASTIAN</v>
          </cell>
          <cell r="D2715" t="str">
            <v>024B6525-B7CE-DC11-9ED6-001B7845B4A6</v>
          </cell>
          <cell r="E2715">
            <v>72</v>
          </cell>
        </row>
        <row r="2716">
          <cell r="A2716" t="str">
            <v>SÃO PAULO</v>
          </cell>
          <cell r="C2716" t="str">
            <v>SPAZIO SAN SIRO</v>
          </cell>
          <cell r="D2716" t="str">
            <v>798C0A0A-2784-DD11-8A4F-001B78B9D994</v>
          </cell>
          <cell r="E2716">
            <v>120</v>
          </cell>
        </row>
        <row r="2717">
          <cell r="A2717" t="str">
            <v>SÃO PAULO</v>
          </cell>
          <cell r="C2717" t="str">
            <v>SPAZIO SAN STEFANO</v>
          </cell>
          <cell r="D2717" t="str">
            <v>C5163EE6-B4CE-DC11-9ED6-001B7845B4A6</v>
          </cell>
          <cell r="E2717">
            <v>32</v>
          </cell>
        </row>
        <row r="2718">
          <cell r="A2718" t="str">
            <v>SÃO PAULO</v>
          </cell>
          <cell r="C2718" t="str">
            <v>SPAZIO SAN TELMO</v>
          </cell>
          <cell r="D2718" t="str">
            <v>766E08F1-BFCE-DC11-9ED6-001B7845B4A6</v>
          </cell>
          <cell r="E2718">
            <v>296</v>
          </cell>
        </row>
        <row r="2719">
          <cell r="A2719" t="str">
            <v>SANTO ANDRÉ</v>
          </cell>
          <cell r="C2719" t="str">
            <v>SPAZIO SAN THEODORO</v>
          </cell>
          <cell r="D2719" t="str">
            <v>FE69752E-9F04-DD11-8284-001B7845B4A6</v>
          </cell>
          <cell r="E2719">
            <v>30</v>
          </cell>
        </row>
        <row r="2720">
          <cell r="A2720" t="str">
            <v>SÃO BERNARDO DO CAMPO</v>
          </cell>
          <cell r="C2720" t="str">
            <v>SPAZIO SAN THIAGO</v>
          </cell>
          <cell r="D2720" t="str">
            <v>6588FA98-D8F9-DC11-8284-001B7845B4A6</v>
          </cell>
          <cell r="E2720">
            <v>176</v>
          </cell>
        </row>
        <row r="2721">
          <cell r="A2721" t="str">
            <v>SÃO PAULO</v>
          </cell>
          <cell r="C2721" t="str">
            <v>SPAZIO SAN VALENTIN</v>
          </cell>
          <cell r="D2721" t="str">
            <v>561D6CF5-F703-E211-9E30-001F2909E810</v>
          </cell>
          <cell r="E2721">
            <v>384</v>
          </cell>
        </row>
        <row r="2722">
          <cell r="A2722" t="str">
            <v>SÃO BERNARDO DO CAMPO</v>
          </cell>
          <cell r="C2722" t="str">
            <v>SPAZIO SAN VINCENT</v>
          </cell>
          <cell r="D2722" t="str">
            <v>F0E06519-3B50-DE11-B0E8-001F2909E83C</v>
          </cell>
          <cell r="E2722">
            <v>384</v>
          </cell>
        </row>
        <row r="2723">
          <cell r="A2723" t="str">
            <v>SÃO PAULO</v>
          </cell>
          <cell r="C2723" t="str">
            <v>SPAZIO SANTO AMARO</v>
          </cell>
          <cell r="D2723" t="str">
            <v>79A5D95D-BCCE-DC11-9ED6-001B7845B4A6</v>
          </cell>
          <cell r="E2723">
            <v>118</v>
          </cell>
        </row>
        <row r="2724">
          <cell r="A2724" t="str">
            <v>SOROCABA</v>
          </cell>
          <cell r="C2724" t="str">
            <v>SPAZIO SANTORINI</v>
          </cell>
          <cell r="D2724" t="str">
            <v>06A0CACA-E0F5-DC11-A2F9-001B7845B4A6</v>
          </cell>
          <cell r="E2724">
            <v>48</v>
          </cell>
        </row>
        <row r="2725">
          <cell r="A2725" t="str">
            <v>SÃO JOSÉ DOS CAMPOS</v>
          </cell>
          <cell r="C2725" t="str">
            <v>SPAZIO SANTOS DUMONT</v>
          </cell>
          <cell r="D2725" t="str">
            <v>59C9D36A-2984-DD11-8A4F-001B78B9D994</v>
          </cell>
          <cell r="E2725">
            <v>150</v>
          </cell>
        </row>
        <row r="2726">
          <cell r="A2726" t="str">
            <v>SOROCABA</v>
          </cell>
          <cell r="C2726" t="str">
            <v>SPAZIO SARAGOZA</v>
          </cell>
          <cell r="D2726" t="str">
            <v>D60FC906-9DCE-DC11-9ED6-001B7845B4A6</v>
          </cell>
          <cell r="E2726">
            <v>288</v>
          </cell>
        </row>
        <row r="2727">
          <cell r="A2727" t="str">
            <v>SOROCABA</v>
          </cell>
          <cell r="C2727" t="str">
            <v>SPAZIO SARDEGNA</v>
          </cell>
          <cell r="D2727" t="str">
            <v>E8B0163A-CECD-DC11-9ED6-001B7845B4A6</v>
          </cell>
          <cell r="E2727">
            <v>144</v>
          </cell>
        </row>
        <row r="2728">
          <cell r="A2728" t="str">
            <v>SOROCABA</v>
          </cell>
          <cell r="C2728" t="str">
            <v>SPAZIO SARTORI</v>
          </cell>
          <cell r="D2728" t="str">
            <v>AA08CCBE-6316-E411-B03C-80C16E075108</v>
          </cell>
          <cell r="E2728">
            <v>128</v>
          </cell>
        </row>
        <row r="2729">
          <cell r="A2729" t="str">
            <v>SÃO PAULO</v>
          </cell>
          <cell r="C2729" t="str">
            <v>SPAZIO SERRA DA MANTIQUEIRA</v>
          </cell>
          <cell r="D2729" t="str">
            <v>C639D713-F1DF-E511-B93A-80C16E075108</v>
          </cell>
          <cell r="E2729">
            <v>288</v>
          </cell>
        </row>
        <row r="2730">
          <cell r="A2730" t="str">
            <v>SÃO PAULO</v>
          </cell>
          <cell r="C2730" t="str">
            <v>SPAZIO SERRA DO MAR</v>
          </cell>
          <cell r="D2730" t="str">
            <v>FDA843CB-F1DE-E511-B93A-80C16E075108</v>
          </cell>
          <cell r="E2730">
            <v>288</v>
          </cell>
        </row>
        <row r="2731">
          <cell r="A2731" t="str">
            <v>LAURO DE FREITAS</v>
          </cell>
          <cell r="C2731" t="str">
            <v>SPAZIO SINGULAR</v>
          </cell>
          <cell r="D2731" t="str">
            <v>4E5F0BA1-2C90-E811-8D3F-80C16E075108</v>
          </cell>
          <cell r="E2731">
            <v>240</v>
          </cell>
        </row>
        <row r="2732">
          <cell r="A2732" t="str">
            <v>LAURO DE FREITAS</v>
          </cell>
          <cell r="C2732" t="str">
            <v>SPAZIO SOBERANO</v>
          </cell>
          <cell r="D2732" t="str">
            <v>655FD62C-92FF-E211-BAEB-009C02B0CB58</v>
          </cell>
          <cell r="E2732">
            <v>640</v>
          </cell>
        </row>
        <row r="2733">
          <cell r="A2733" t="str">
            <v>LAURO DE FREITAS</v>
          </cell>
          <cell r="C2733" t="str">
            <v>SPAZIO SOLARIUM</v>
          </cell>
          <cell r="D2733" t="str">
            <v>5D2B5B4F-FF89-DF11-B20E-001F2909E810</v>
          </cell>
          <cell r="E2733">
            <v>360</v>
          </cell>
        </row>
        <row r="2734">
          <cell r="A2734" t="str">
            <v>BELO HORIZONTE</v>
          </cell>
          <cell r="C2734" t="str">
            <v>SPAZIO SOLEIL</v>
          </cell>
          <cell r="D2734" t="str">
            <v>50AFB717-52E9-DC11-ABD0-001B7845B4A6</v>
          </cell>
          <cell r="E2734">
            <v>58</v>
          </cell>
        </row>
        <row r="2735">
          <cell r="A2735" t="str">
            <v>SOROCABA</v>
          </cell>
          <cell r="C2735" t="str">
            <v>SPAZIO SPECIALE</v>
          </cell>
          <cell r="D2735" t="str">
            <v>E2B5B405-23CF-DC11-9ED6-001B7845B4A6</v>
          </cell>
          <cell r="E2735">
            <v>64</v>
          </cell>
        </row>
        <row r="2736">
          <cell r="A2736" t="str">
            <v>SOROCABA</v>
          </cell>
          <cell r="C2736" t="str">
            <v>SPAZIO SPERANZA</v>
          </cell>
          <cell r="D2736" t="str">
            <v>30D35305-9D69-DF11-9F9A-001F2909E810</v>
          </cell>
          <cell r="E2736">
            <v>112</v>
          </cell>
        </row>
        <row r="2737">
          <cell r="A2737" t="str">
            <v>SOROCABA</v>
          </cell>
          <cell r="C2737" t="str">
            <v>SPAZIO SPLENDIDO</v>
          </cell>
          <cell r="D2737" t="str">
            <v>27A02013-A4C3-DC11-8D7D-001B7845B4A6</v>
          </cell>
          <cell r="E2737">
            <v>320</v>
          </cell>
        </row>
        <row r="2738">
          <cell r="A2738" t="str">
            <v>LAURO DE FREITAS</v>
          </cell>
          <cell r="C2738" t="str">
            <v>SPAZIO SUNRISE</v>
          </cell>
          <cell r="D2738" t="str">
            <v>F77A302A-4B8E-DD11-917B-001B78B9D994</v>
          </cell>
          <cell r="E2738">
            <v>180</v>
          </cell>
        </row>
        <row r="2739">
          <cell r="A2739" t="str">
            <v>SALVADOR</v>
          </cell>
          <cell r="C2739" t="str">
            <v>SPAZIO SUNSET</v>
          </cell>
          <cell r="D2739" t="str">
            <v>DE2E50FA-3349-DD11-BC22-001B78B9D994</v>
          </cell>
          <cell r="E2739">
            <v>108</v>
          </cell>
        </row>
        <row r="2740">
          <cell r="A2740" t="str">
            <v>SUZANO</v>
          </cell>
          <cell r="C2740" t="str">
            <v>SPAZIO SUPERE</v>
          </cell>
          <cell r="D2740" t="str">
            <v>D1007BA3-CB54-DD11-BC22-001B78B9D994</v>
          </cell>
          <cell r="E2740">
            <v>360</v>
          </cell>
        </row>
        <row r="2741">
          <cell r="A2741" t="str">
            <v>TAUBATÉ</v>
          </cell>
          <cell r="C2741" t="str">
            <v>SPAZIO TENDENCE</v>
          </cell>
          <cell r="D2741" t="str">
            <v>981EDBFD-C9CC-DC11-9ED6-001B7845B4A6</v>
          </cell>
          <cell r="E2741">
            <v>192</v>
          </cell>
        </row>
        <row r="2742">
          <cell r="A2742" t="str">
            <v>TAUBATÉ</v>
          </cell>
          <cell r="C2742" t="str">
            <v>SPAZIO TIFANY</v>
          </cell>
          <cell r="D2742" t="str">
            <v>D8E78283-C0CE-DC11-9ED6-001B7845B4A6</v>
          </cell>
          <cell r="E2742">
            <v>96</v>
          </cell>
        </row>
        <row r="2743">
          <cell r="A2743" t="str">
            <v>TAUBATÉ</v>
          </cell>
          <cell r="C2743" t="str">
            <v>SPAZIO TOTAL LIFE</v>
          </cell>
          <cell r="D2743" t="str">
            <v>0458C53A-F8CC-DC11-9ED6-001B7845B4A6</v>
          </cell>
          <cell r="E2743">
            <v>224</v>
          </cell>
        </row>
        <row r="2744">
          <cell r="A2744" t="str">
            <v>TAUBATÉ</v>
          </cell>
          <cell r="C2744" t="str">
            <v>SPAZIO TREVILLE</v>
          </cell>
          <cell r="D2744" t="str">
            <v>C2144FB4-E46D-DD11-A282-001B78B9D994</v>
          </cell>
          <cell r="E2744">
            <v>256</v>
          </cell>
        </row>
        <row r="2745">
          <cell r="A2745" t="str">
            <v>UBERABA</v>
          </cell>
          <cell r="C2745" t="str">
            <v>SPAZIO UCCELLO</v>
          </cell>
          <cell r="D2745" t="str">
            <v>E0521E2E-DCEA-DC11-A2F9-001B7845B4A6</v>
          </cell>
          <cell r="E2745">
            <v>160</v>
          </cell>
        </row>
        <row r="2746">
          <cell r="A2746" t="str">
            <v>UBERLÂNDIA</v>
          </cell>
          <cell r="C2746" t="str">
            <v>SPAZIO UDINE</v>
          </cell>
          <cell r="D2746" t="str">
            <v>32C0B50E-ACEB-DC11-A2F9-001B7845B4A6</v>
          </cell>
          <cell r="E2746">
            <v>48</v>
          </cell>
        </row>
        <row r="2747">
          <cell r="A2747" t="str">
            <v>UBERLÂNDIA</v>
          </cell>
          <cell r="C2747" t="str">
            <v>SPAZIO UMBRIA</v>
          </cell>
          <cell r="D2747" t="str">
            <v>367F7AA3-DDEA-DC11-A2F9-001B7845B4A6</v>
          </cell>
          <cell r="E2747">
            <v>28</v>
          </cell>
        </row>
        <row r="2748">
          <cell r="A2748" t="str">
            <v>UBERLÂNDIA</v>
          </cell>
          <cell r="C2748" t="str">
            <v>SPAZIO ÚNICO</v>
          </cell>
          <cell r="D2748" t="str">
            <v>21712C4C-57B4-DE11-8D16-001F2909E810</v>
          </cell>
          <cell r="E2748">
            <v>1232</v>
          </cell>
        </row>
        <row r="2749">
          <cell r="A2749" t="str">
            <v>UBERLÂNDIA</v>
          </cell>
          <cell r="C2749" t="str">
            <v>SPAZIO UNIGARDEN</v>
          </cell>
          <cell r="D2749" t="str">
            <v>A988E3B2-F7E5-E011-9823-001F2909E810</v>
          </cell>
          <cell r="E2749">
            <v>384</v>
          </cell>
        </row>
        <row r="2750">
          <cell r="A2750" t="str">
            <v>UBERLÂNDIA</v>
          </cell>
          <cell r="C2750" t="str">
            <v>SPAZIO UNIONE</v>
          </cell>
          <cell r="D2750" t="str">
            <v>9E0ACB47-3A48-DD11-BC22-001B78B9D994</v>
          </cell>
          <cell r="E2750">
            <v>96</v>
          </cell>
        </row>
        <row r="2751">
          <cell r="A2751" t="str">
            <v>UBERLÂNDIA</v>
          </cell>
          <cell r="C2751" t="str">
            <v>SPAZIO UNIPLACE</v>
          </cell>
          <cell r="D2751" t="str">
            <v>4392D153-8BC9-E411-9DC0-80C16E075108</v>
          </cell>
          <cell r="E2751">
            <v>264</v>
          </cell>
        </row>
        <row r="2752">
          <cell r="A2752" t="str">
            <v>UBERLÂNDIA</v>
          </cell>
          <cell r="C2752" t="str">
            <v>SPAZIO UNISTAR</v>
          </cell>
          <cell r="D2752" t="str">
            <v>BF318C77-F8E5-E011-9823-001F2909E810</v>
          </cell>
          <cell r="E2752">
            <v>160</v>
          </cell>
        </row>
        <row r="2753">
          <cell r="A2753" t="str">
            <v>UBERABA</v>
          </cell>
          <cell r="C2753" t="str">
            <v>SPAZIO UNITÁ</v>
          </cell>
          <cell r="D2753" t="str">
            <v>A9F37417-DDEA-DC11-A2F9-001B7845B4A6</v>
          </cell>
          <cell r="E2753">
            <v>48</v>
          </cell>
        </row>
        <row r="2754">
          <cell r="A2754" t="str">
            <v>UBERLÂNDIA</v>
          </cell>
          <cell r="C2754" t="str">
            <v>SPAZIO UNO</v>
          </cell>
          <cell r="D2754" t="str">
            <v>9328D1B3-48DC-DF11-B242-001F2909E810</v>
          </cell>
          <cell r="E2754">
            <v>12</v>
          </cell>
        </row>
        <row r="2755">
          <cell r="A2755" t="str">
            <v>UBERLÂNDIA</v>
          </cell>
          <cell r="C2755" t="str">
            <v>SPAZIO UP CLASS</v>
          </cell>
          <cell r="D2755" t="str">
            <v>ED65F2DE-485E-DD11-B13B-001B78B9D994</v>
          </cell>
          <cell r="E2755">
            <v>96</v>
          </cell>
        </row>
        <row r="2756">
          <cell r="A2756" t="str">
            <v>UBERABA</v>
          </cell>
          <cell r="C2756" t="str">
            <v>SPAZIO UP LIFE</v>
          </cell>
          <cell r="D2756" t="str">
            <v>847117A2-C754-DD11-BC22-001B78B9D994</v>
          </cell>
          <cell r="E2756">
            <v>192</v>
          </cell>
        </row>
        <row r="2757">
          <cell r="A2757" t="str">
            <v>UBERABA</v>
          </cell>
          <cell r="C2757" t="str">
            <v>SPAZIO UP VILLE</v>
          </cell>
          <cell r="D2757" t="str">
            <v>01C1E74C-CB54-DD11-BC22-001B78B9D994</v>
          </cell>
          <cell r="E2757">
            <v>160</v>
          </cell>
        </row>
        <row r="2758">
          <cell r="A2758" t="str">
            <v>UBERLÂNDIA</v>
          </cell>
          <cell r="C2758" t="str">
            <v>SPAZIO UPTOWN</v>
          </cell>
          <cell r="D2758" t="str">
            <v>561F775F-DDEA-DC11-A2F9-001B7845B4A6</v>
          </cell>
          <cell r="E2758">
            <v>80</v>
          </cell>
        </row>
        <row r="2759">
          <cell r="A2759" t="str">
            <v>UBERLÂNDIA</v>
          </cell>
          <cell r="C2759" t="str">
            <v>SPAZIO URANO</v>
          </cell>
          <cell r="D2759" t="str">
            <v>B2079338-CA54-DD11-BC22-001B78B9D994</v>
          </cell>
          <cell r="E2759">
            <v>176</v>
          </cell>
        </row>
        <row r="2760">
          <cell r="A2760" t="str">
            <v>UBERABA</v>
          </cell>
          <cell r="C2760" t="str">
            <v>SPAZIO URBANUS</v>
          </cell>
          <cell r="D2760" t="str">
            <v>93E868F5-0CEB-DE11-89FA-001F2909E810</v>
          </cell>
          <cell r="E2760">
            <v>224</v>
          </cell>
        </row>
        <row r="2761">
          <cell r="A2761" t="str">
            <v>UBERABA</v>
          </cell>
          <cell r="C2761" t="str">
            <v>SPAZIO URCA</v>
          </cell>
          <cell r="D2761" t="str">
            <v>80BCD1DD-1966-E011-8AF4-001B78B9D994</v>
          </cell>
          <cell r="E2761">
            <v>160</v>
          </cell>
        </row>
        <row r="2762">
          <cell r="A2762" t="str">
            <v>UBERLÂNDIA</v>
          </cell>
          <cell r="C2762" t="str">
            <v>SPAZIO URUGUAI</v>
          </cell>
          <cell r="D2762" t="str">
            <v>D0795E0A-DEEA-DC11-A2F9-001B7845B4A6</v>
          </cell>
          <cell r="E2762">
            <v>48</v>
          </cell>
        </row>
        <row r="2763">
          <cell r="A2763" t="str">
            <v>UBERLÂNDIA</v>
          </cell>
          <cell r="C2763" t="str">
            <v>SPAZIO USUALE</v>
          </cell>
          <cell r="D2763" t="str">
            <v>03F5606B-3A48-DD11-BC22-001B78B9D994</v>
          </cell>
          <cell r="E2763">
            <v>128</v>
          </cell>
        </row>
        <row r="2764">
          <cell r="A2764" t="str">
            <v>SERRA</v>
          </cell>
          <cell r="C2764" t="str">
            <v>SPAZIO VANGUARDIA</v>
          </cell>
          <cell r="D2764" t="str">
            <v>DD06B425-7D65-DD11-B13B-001B78B9D994</v>
          </cell>
          <cell r="E2764">
            <v>160</v>
          </cell>
        </row>
        <row r="2765">
          <cell r="A2765" t="str">
            <v>SÃO PAULO</v>
          </cell>
          <cell r="C2765" t="str">
            <v>SPAZIO VENETO</v>
          </cell>
          <cell r="D2765" t="str">
            <v>4ABE5054-AACE-DC11-9ED6-001B7845B4A6</v>
          </cell>
          <cell r="E2765">
            <v>144</v>
          </cell>
        </row>
        <row r="2766">
          <cell r="A2766" t="str">
            <v>VILA VELHA</v>
          </cell>
          <cell r="C2766" t="str">
            <v>SPAZIO VILA DA GLÓRIA</v>
          </cell>
          <cell r="D2766" t="str">
            <v>87151488-13B3-E611-ABB6-80C16E075108</v>
          </cell>
          <cell r="E2766">
            <v>320</v>
          </cell>
        </row>
        <row r="2767">
          <cell r="A2767" t="str">
            <v>VILA VELHA</v>
          </cell>
          <cell r="C2767" t="str">
            <v>SPAZIO VILA DO FAROL</v>
          </cell>
          <cell r="D2767" t="str">
            <v>19217217-14B3-E611-ABB6-80C16E075108</v>
          </cell>
          <cell r="E2767">
            <v>352</v>
          </cell>
        </row>
        <row r="2768">
          <cell r="A2768" t="str">
            <v>SÃO PAULO</v>
          </cell>
          <cell r="C2768" t="str">
            <v>SPAZIO VILLA LOBOS</v>
          </cell>
          <cell r="D2768" t="str">
            <v>E81B06C6-D6DF-E511-B93A-80C16E075108</v>
          </cell>
          <cell r="E2768">
            <v>288</v>
          </cell>
        </row>
        <row r="2769">
          <cell r="A2769" t="str">
            <v>BELO HORIZONTE</v>
          </cell>
          <cell r="C2769" t="str">
            <v>SPAZIO VIVACE</v>
          </cell>
          <cell r="D2769" t="str">
            <v>CAF63D69-21DA-DC11-ABCF-001B7845B4A6</v>
          </cell>
          <cell r="E2769">
            <v>15</v>
          </cell>
        </row>
        <row r="2770">
          <cell r="A2770" t="str">
            <v>SÃO PAULO</v>
          </cell>
          <cell r="C2770" t="str">
            <v>SPZ CACHOEIRA DA NASCENTE</v>
          </cell>
          <cell r="D2770" t="str">
            <v>5A2C41B2-00DC-E511-B93A-80C16E075108</v>
          </cell>
          <cell r="E2770">
            <v>288</v>
          </cell>
        </row>
        <row r="2771">
          <cell r="A2771" t="str">
            <v>RIBEIRÃO PRETO</v>
          </cell>
          <cell r="C2771" t="str">
            <v>STUART LITTLE EMP 01</v>
          </cell>
          <cell r="D2771" t="str">
            <v>65B0FEE0-187F-EE11-8E2D-009C02B0CB58</v>
          </cell>
          <cell r="E2771">
            <v>0</v>
          </cell>
        </row>
        <row r="2772">
          <cell r="A2772" t="str">
            <v>RIBEIRÃO PRETO</v>
          </cell>
          <cell r="C2772" t="str">
            <v>STUART LITTLE EMP 02</v>
          </cell>
          <cell r="D2772" t="str">
            <v>19DEB441-197F-EE11-8E2D-009C02B0CB58</v>
          </cell>
          <cell r="E2772">
            <v>0</v>
          </cell>
        </row>
        <row r="2773">
          <cell r="A2773" t="str">
            <v>SÃO PAULO</v>
          </cell>
          <cell r="C2773" t="str">
            <v>SUEZ</v>
          </cell>
          <cell r="D2773" t="str">
            <v>3CDEF2A0-81E4-DC11-ABD0-001B7845B4A6</v>
          </cell>
          <cell r="E2773">
            <v>40</v>
          </cell>
        </row>
        <row r="2774">
          <cell r="A2774" t="str">
            <v>CAMPINAS</v>
          </cell>
          <cell r="C2774" t="str">
            <v>SUGARFOOT EMP01</v>
          </cell>
          <cell r="D2774" t="str">
            <v>2716883C-1C04-EC11-A30E-0050568A2E98</v>
          </cell>
          <cell r="E2774">
            <v>0</v>
          </cell>
        </row>
        <row r="2775">
          <cell r="A2775" t="str">
            <v>CAMPINAS</v>
          </cell>
          <cell r="C2775" t="str">
            <v>SUGARFOOT EMP02</v>
          </cell>
          <cell r="D2775" t="str">
            <v>EA70CDBD-BB17-EC11-B501-005056856B6C</v>
          </cell>
          <cell r="E2775">
            <v>0</v>
          </cell>
        </row>
        <row r="2776">
          <cell r="A2776" t="str">
            <v>CAMPINAS</v>
          </cell>
          <cell r="C2776" t="str">
            <v>SUGARFOOT EMP03</v>
          </cell>
          <cell r="D2776" t="str">
            <v>2F7AF2D4-BD17-EC11-B501-005056856B6C</v>
          </cell>
          <cell r="E2776">
            <v>0</v>
          </cell>
        </row>
        <row r="2777">
          <cell r="A2777" t="str">
            <v>CAMPINAS</v>
          </cell>
          <cell r="C2777" t="str">
            <v>SUGARFOOT EMP04</v>
          </cell>
          <cell r="D2777" t="str">
            <v>B16BB025-BE17-EC11-B501-005056856B6C</v>
          </cell>
          <cell r="E2777">
            <v>0</v>
          </cell>
        </row>
        <row r="2778">
          <cell r="A2778" t="str">
            <v>CAMPINAS</v>
          </cell>
          <cell r="C2778" t="str">
            <v>SUGARFOOT EMP05</v>
          </cell>
          <cell r="D2778" t="str">
            <v>BAB7A696-BE17-EC11-B501-005056856B6C</v>
          </cell>
          <cell r="E2778">
            <v>0</v>
          </cell>
        </row>
        <row r="2779">
          <cell r="A2779" t="str">
            <v>CAMPINAS</v>
          </cell>
          <cell r="C2779" t="str">
            <v>SUGARFOOT EMP06</v>
          </cell>
          <cell r="D2779" t="str">
            <v>29F49F5B-BE17-EC11-B501-005056856B6C</v>
          </cell>
          <cell r="E2779">
            <v>0</v>
          </cell>
        </row>
        <row r="2780">
          <cell r="A2780" t="str">
            <v>CAMAÇARI</v>
          </cell>
          <cell r="C2780" t="str">
            <v>SUN PARK</v>
          </cell>
          <cell r="D2780" t="str">
            <v>A81876BF-369C-E011-BDCF-001F2909E810</v>
          </cell>
          <cell r="E2780">
            <v>170</v>
          </cell>
        </row>
        <row r="2781">
          <cell r="A2781" t="str">
            <v>APARECIDA DE GOIÂNIA</v>
          </cell>
          <cell r="C2781" t="str">
            <v>SV RIZZO EMP 05</v>
          </cell>
          <cell r="D2781" t="str">
            <v>57254186-2DE6-EE11-9143-80C16E075108</v>
          </cell>
          <cell r="E2781">
            <v>0</v>
          </cell>
        </row>
        <row r="2782">
          <cell r="A2782" t="str">
            <v>APARECIDA DE GOIÂNIA</v>
          </cell>
          <cell r="C2782" t="str">
            <v>SV RIZZO EMP 06</v>
          </cell>
          <cell r="D2782" t="str">
            <v>2EBFE35A-2EE6-EE11-9143-80C16E075108</v>
          </cell>
          <cell r="E2782">
            <v>0</v>
          </cell>
        </row>
        <row r="2783">
          <cell r="A2783" t="str">
            <v>APARECIDA DE GOIÂNIA</v>
          </cell>
          <cell r="C2783" t="str">
            <v>SV RIZZO EMP 07</v>
          </cell>
          <cell r="D2783" t="str">
            <v>AA009106-2FE6-EE11-9143-80C16E075108</v>
          </cell>
          <cell r="E2783">
            <v>0</v>
          </cell>
        </row>
        <row r="2784">
          <cell r="A2784" t="str">
            <v>APARECIDA DE GOIÂNIA</v>
          </cell>
          <cell r="C2784" t="str">
            <v>SV RIZZO EMP 08</v>
          </cell>
          <cell r="D2784" t="str">
            <v>8E64267B-2FE6-EE11-9143-80C16E075108</v>
          </cell>
          <cell r="E2784">
            <v>0</v>
          </cell>
        </row>
        <row r="2785">
          <cell r="A2785" t="str">
            <v>APARECIDA DE GOIÂNIA</v>
          </cell>
          <cell r="C2785" t="str">
            <v>SV RIZZO EMP 09</v>
          </cell>
          <cell r="D2785" t="str">
            <v>2C4135EC-2FE6-EE11-9143-80C16E075108</v>
          </cell>
          <cell r="E2785">
            <v>0</v>
          </cell>
        </row>
        <row r="2786">
          <cell r="A2786" t="str">
            <v>SÃO CARLOS</v>
          </cell>
          <cell r="C2786" t="str">
            <v>TECUNSEH EMP 01</v>
          </cell>
          <cell r="D2786" t="str">
            <v>935E3FC2-412F-EF11-9143-80C16E075108</v>
          </cell>
          <cell r="E2786">
            <v>0</v>
          </cell>
        </row>
        <row r="2787">
          <cell r="A2787" t="str">
            <v>TAUBATÉ</v>
          </cell>
          <cell r="C2787" t="str">
            <v>TENERIFFE</v>
          </cell>
          <cell r="D2787" t="str">
            <v>ADE139D7-D2F9-DC11-8284-001B7845B4A6</v>
          </cell>
          <cell r="E2787">
            <v>256</v>
          </cell>
        </row>
        <row r="2788">
          <cell r="A2788" t="str">
            <v>BAURU</v>
          </cell>
          <cell r="C2788" t="str">
            <v>TERRA BRASILIS_RESIDENCIAL COPACABANA</v>
          </cell>
          <cell r="D2788" t="str">
            <v>C2987489-6E0B-DF11-89FA-001F2909E810</v>
          </cell>
          <cell r="E2788">
            <v>200</v>
          </cell>
        </row>
        <row r="2789">
          <cell r="A2789" t="str">
            <v>BAURU</v>
          </cell>
          <cell r="C2789" t="str">
            <v>TERRA BRASILIS_RESIDENCIAL CORCOVADO</v>
          </cell>
          <cell r="D2789" t="str">
            <v>434E7D42-B9FA-DE11-89FA-001F2909E810</v>
          </cell>
          <cell r="E2789">
            <v>200</v>
          </cell>
        </row>
        <row r="2790">
          <cell r="A2790" t="str">
            <v>BAURU</v>
          </cell>
          <cell r="C2790" t="str">
            <v>TERRA BRASILIS_RESIDENCIAL CRISTO REDENTOR</v>
          </cell>
          <cell r="D2790" t="str">
            <v>4B41F5A7-6E0B-DF11-89FA-001F2909E810</v>
          </cell>
          <cell r="E2790">
            <v>150</v>
          </cell>
        </row>
        <row r="2791">
          <cell r="A2791" t="str">
            <v>BAURU</v>
          </cell>
          <cell r="C2791" t="str">
            <v>TERRA BRASILIS_RESIDENCIAL GUANABARA</v>
          </cell>
          <cell r="D2791" t="str">
            <v>0DBF5DFA-6E0B-DF11-89FA-001F2909E810</v>
          </cell>
          <cell r="E2791">
            <v>190</v>
          </cell>
        </row>
        <row r="2792">
          <cell r="A2792" t="str">
            <v>BAURU</v>
          </cell>
          <cell r="C2792" t="str">
            <v>TERRA BRASILIS_RESIDENCIAL IPANEMA</v>
          </cell>
          <cell r="D2792" t="str">
            <v>A280E7DA-6E0B-DF11-89FA-001F2909E810</v>
          </cell>
          <cell r="E2792">
            <v>200</v>
          </cell>
        </row>
        <row r="2793">
          <cell r="A2793" t="str">
            <v>SALVADOR</v>
          </cell>
          <cell r="C2793" t="str">
            <v>TERRAZO ROYALE</v>
          </cell>
          <cell r="D2793" t="str">
            <v>BF94D9E0-2BA1-EF11-B65C-009C02B0CB58</v>
          </cell>
          <cell r="E2793">
            <v>0</v>
          </cell>
        </row>
        <row r="2794">
          <cell r="A2794" t="str">
            <v>BELO HORIZONTE</v>
          </cell>
          <cell r="C2794" t="str">
            <v>TERRAZO SION</v>
          </cell>
          <cell r="D2794" t="str">
            <v>492AF9D5-9113-DD11-8B33-001B7845B4A6</v>
          </cell>
          <cell r="E2794">
            <v>108</v>
          </cell>
        </row>
        <row r="2795">
          <cell r="A2795" t="str">
            <v>SALVADOR</v>
          </cell>
          <cell r="C2795" t="str">
            <v>TERRAZO SUPREME</v>
          </cell>
          <cell r="D2795" t="str">
            <v>4329BC91-2DA1-EF11-B65C-009C02B0CB58</v>
          </cell>
          <cell r="E2795">
            <v>0</v>
          </cell>
        </row>
        <row r="2796">
          <cell r="A2796" t="str">
            <v>TERESINA</v>
          </cell>
          <cell r="C2796" t="str">
            <v>TERRAZZO HORIZONTE</v>
          </cell>
          <cell r="D2796" t="str">
            <v>253088BC-31AA-E811-944B-009C02B0CB58</v>
          </cell>
          <cell r="E2796">
            <v>344</v>
          </cell>
        </row>
        <row r="2797">
          <cell r="A2797" t="str">
            <v>UBERLÂNDIA</v>
          </cell>
          <cell r="C2797" t="str">
            <v>THE PALMS HOUSES &amp; CLUB</v>
          </cell>
          <cell r="D2797" t="str">
            <v>BF18DFEB-21DB-DC11-ABCF-001B7845B4A6</v>
          </cell>
          <cell r="E2797">
            <v>262</v>
          </cell>
        </row>
        <row r="2798">
          <cell r="A2798" t="str">
            <v>TAUBATÉ</v>
          </cell>
          <cell r="C2798" t="str">
            <v>TIBET</v>
          </cell>
          <cell r="D2798" t="str">
            <v>4215449D-672B-DE11-AF0B-001F2909E83C</v>
          </cell>
          <cell r="E2798">
            <v>160</v>
          </cell>
        </row>
        <row r="2799">
          <cell r="A2799" t="str">
            <v>BELO HORIZONTE</v>
          </cell>
          <cell r="C2799" t="str">
            <v>TIRADENTES</v>
          </cell>
          <cell r="D2799" t="str">
            <v>8F334C9B-7E86-DD11-8A4F-001B78B9D994</v>
          </cell>
          <cell r="E2799">
            <v>40</v>
          </cell>
        </row>
        <row r="2800">
          <cell r="A2800" t="str">
            <v>BELO HORIZONTE</v>
          </cell>
          <cell r="C2800" t="str">
            <v>TIVOLI</v>
          </cell>
          <cell r="D2800" t="str">
            <v>2E4F1CC5-46DC-DF11-B242-001F2909E810</v>
          </cell>
          <cell r="E2800">
            <v>4</v>
          </cell>
        </row>
        <row r="2801">
          <cell r="A2801" t="str">
            <v>BRASÍLIA</v>
          </cell>
          <cell r="C2801" t="str">
            <v>TOP LIFE - LAGUNA BEACH</v>
          </cell>
          <cell r="D2801" t="str">
            <v>D5743270-935D-DD11-B13B-001B78B9D994</v>
          </cell>
          <cell r="E2801">
            <v>192</v>
          </cell>
        </row>
        <row r="2802">
          <cell r="A2802" t="str">
            <v>TAGUATINGA</v>
          </cell>
          <cell r="C2802" t="str">
            <v>TOP LIFE - LONG BEACH</v>
          </cell>
          <cell r="D2802" t="str">
            <v>71BE44E6-AC4C-DF11-9F9A-001F2909E810</v>
          </cell>
          <cell r="E2802">
            <v>1416</v>
          </cell>
        </row>
        <row r="2803">
          <cell r="A2803" t="str">
            <v>BRASÍLIA</v>
          </cell>
          <cell r="C2803" t="str">
            <v>TOP LIFE - PALM BEACH</v>
          </cell>
          <cell r="D2803" t="str">
            <v>E7A8BB5A-3649-DD11-BC22-001B78B9D994</v>
          </cell>
          <cell r="E2803">
            <v>278</v>
          </cell>
        </row>
        <row r="2804">
          <cell r="A2804" t="str">
            <v>BRASÍLIA</v>
          </cell>
          <cell r="C2804" t="str">
            <v>TOP LIFE - PUNTA DEL ESTE</v>
          </cell>
          <cell r="D2804" t="str">
            <v>8D0F8257-935D-DD11-B13B-001B78B9D994</v>
          </cell>
          <cell r="E2804">
            <v>312</v>
          </cell>
        </row>
        <row r="2805">
          <cell r="A2805" t="str">
            <v>BRASÍLIA</v>
          </cell>
          <cell r="C2805" t="str">
            <v>TOP LIFE - SAINT TROPEZ</v>
          </cell>
          <cell r="D2805" t="str">
            <v>C7B07C5D-935D-DD11-B13B-001B78B9D994</v>
          </cell>
          <cell r="E2805">
            <v>278</v>
          </cell>
        </row>
        <row r="2806">
          <cell r="A2806" t="str">
            <v>SERRA</v>
          </cell>
          <cell r="C2806" t="str">
            <v>TOP LIFE _ ARUBA</v>
          </cell>
          <cell r="D2806" t="str">
            <v>999B9D77-234C-DD11-BC22-001B78B9D994</v>
          </cell>
          <cell r="E2806">
            <v>310</v>
          </cell>
        </row>
        <row r="2807">
          <cell r="A2807" t="str">
            <v>SERRA</v>
          </cell>
          <cell r="C2807" t="str">
            <v>TOP LIFE _ CANCUN</v>
          </cell>
          <cell r="D2807" t="str">
            <v>771E5E56-234C-DD11-BC22-001B78B9D994</v>
          </cell>
          <cell r="E2807">
            <v>540</v>
          </cell>
        </row>
        <row r="2808">
          <cell r="A2808" t="str">
            <v>SERRA</v>
          </cell>
          <cell r="C2808" t="str">
            <v>TOP LIFE _ MALLORCA</v>
          </cell>
          <cell r="D2808" t="str">
            <v>CFE4BC5C-234C-DD11-BC22-001B78B9D994</v>
          </cell>
          <cell r="E2808">
            <v>460</v>
          </cell>
        </row>
        <row r="2809">
          <cell r="A2809" t="str">
            <v>TAGUATINGA</v>
          </cell>
          <cell r="C2809" t="str">
            <v>TOP LIFE _ MIAMI BEACH</v>
          </cell>
          <cell r="D2809" t="str">
            <v>8CB73E74-EC97-DE11-910C-001B78B9D994</v>
          </cell>
          <cell r="E2809">
            <v>1320</v>
          </cell>
        </row>
        <row r="2810">
          <cell r="A2810" t="str">
            <v>PARNAMIRIM</v>
          </cell>
          <cell r="C2810" t="str">
            <v>TOP LIFE PARNAMIRIM</v>
          </cell>
          <cell r="D2810" t="str">
            <v>4260C0F3-254C-DD11-BC22-001B78B9D994</v>
          </cell>
          <cell r="E2810">
            <v>784</v>
          </cell>
        </row>
        <row r="2811">
          <cell r="A2811" t="str">
            <v>CAMPINAS</v>
          </cell>
          <cell r="C2811" t="str">
            <v>TOPÁZIO VILLE</v>
          </cell>
          <cell r="D2811" t="str">
            <v>2EA9C84C-C05F-DD11-B13B-001B78B9D994</v>
          </cell>
          <cell r="E2811">
            <v>400</v>
          </cell>
        </row>
        <row r="2812">
          <cell r="A2812" t="str">
            <v>BELO HORIZONTE</v>
          </cell>
          <cell r="C2812" t="str">
            <v>TORONTO</v>
          </cell>
          <cell r="D2812" t="str">
            <v>1B44BCC0-91AA-DD11-A0C7-001B78B9D994</v>
          </cell>
          <cell r="E2812">
            <v>36</v>
          </cell>
        </row>
        <row r="2813">
          <cell r="A2813" t="str">
            <v>BOTUCATU</v>
          </cell>
          <cell r="C2813" t="str">
            <v>TORRÃO DE OURO EMP 01</v>
          </cell>
          <cell r="D2813" t="str">
            <v>4D849F45-2B3A-EF11-9E4D-009C02B0CB58</v>
          </cell>
          <cell r="E2813">
            <v>0</v>
          </cell>
        </row>
        <row r="2814">
          <cell r="A2814" t="str">
            <v>FORTALEZA</v>
          </cell>
          <cell r="C2814" t="str">
            <v>TORRE DOS IPÊS</v>
          </cell>
          <cell r="D2814" t="str">
            <v>AEAAA0F5-7D80-E911-A828-005056856875</v>
          </cell>
          <cell r="E2814">
            <v>224</v>
          </cell>
        </row>
        <row r="2815">
          <cell r="A2815" t="str">
            <v>CEILÂNDIA</v>
          </cell>
          <cell r="C2815" t="str">
            <v>TORRES DA ALVORADA</v>
          </cell>
          <cell r="D2815" t="str">
            <v>450837B4-E981-EF11-B65C-009C02B0CB58</v>
          </cell>
          <cell r="E2815">
            <v>0</v>
          </cell>
        </row>
        <row r="2816">
          <cell r="A2816" t="str">
            <v>RECIFE</v>
          </cell>
          <cell r="C2816" t="str">
            <v>TORRES DA TAMARINEIRA II</v>
          </cell>
          <cell r="D2816" t="str">
            <v>E1AF7895-8084-DF11-B20E-001F2909E810</v>
          </cell>
          <cell r="E2816">
            <v>120</v>
          </cell>
        </row>
        <row r="2817">
          <cell r="A2817" t="str">
            <v>NATAL</v>
          </cell>
          <cell r="C2817" t="str">
            <v>TORRES DAS DUNAS</v>
          </cell>
          <cell r="D2817" t="str">
            <v>7CA1BB48-6658-E811-8D3F-80C16E075108</v>
          </cell>
          <cell r="E2817">
            <v>432</v>
          </cell>
        </row>
        <row r="2818">
          <cell r="A2818" t="str">
            <v>SÃO LUÍS</v>
          </cell>
          <cell r="C2818" t="str">
            <v>TORRES DE MÔNACO</v>
          </cell>
          <cell r="D2818" t="str">
            <v>A40C195C-4969-EF11-A9C6-80C16E075108</v>
          </cell>
          <cell r="E2818">
            <v>384</v>
          </cell>
        </row>
        <row r="2819">
          <cell r="A2819" t="str">
            <v>SÃO LUÍS</v>
          </cell>
          <cell r="C2819" t="str">
            <v>TORRES DE VERSALHES</v>
          </cell>
          <cell r="D2819" t="str">
            <v>3C07C312-6165-EF11-B65C-009C02B0CB58</v>
          </cell>
          <cell r="E2819">
            <v>0</v>
          </cell>
        </row>
        <row r="2820">
          <cell r="A2820" t="str">
            <v>BRASÍLIA</v>
          </cell>
          <cell r="C2820" t="str">
            <v>TORRES DO PARQUE</v>
          </cell>
          <cell r="D2820" t="str">
            <v>D8DC845F-EDCB-E811-A4F5-80C16E075108</v>
          </cell>
          <cell r="E2820">
            <v>240</v>
          </cell>
        </row>
        <row r="2821">
          <cell r="A2821" t="str">
            <v>BELO HORIZONTE</v>
          </cell>
          <cell r="C2821" t="str">
            <v>TOULOUSE</v>
          </cell>
          <cell r="D2821" t="str">
            <v>2C85E44C-EF3F-DE11-B0E7-001F2909E83C</v>
          </cell>
          <cell r="E2821">
            <v>0</v>
          </cell>
        </row>
        <row r="2822">
          <cell r="A2822" t="str">
            <v>SANTO ANDRÉ</v>
          </cell>
          <cell r="C2822" t="str">
            <v>TRATO FEITO EMP 01</v>
          </cell>
          <cell r="D2822" t="str">
            <v>B8A42FF2-59FE-ED11-98D9-009C02B0CB58</v>
          </cell>
          <cell r="E2822">
            <v>0</v>
          </cell>
        </row>
        <row r="2823">
          <cell r="A2823" t="str">
            <v>BELO HORIZONTE</v>
          </cell>
          <cell r="C2823" t="str">
            <v>TREVISO</v>
          </cell>
          <cell r="D2823" t="str">
            <v>ADA55549-A60B-DD11-8284-001B7845B4A6</v>
          </cell>
          <cell r="E2823">
            <v>624</v>
          </cell>
        </row>
        <row r="2824">
          <cell r="A2824" t="str">
            <v>CAMPINAS</v>
          </cell>
          <cell r="C2824" t="str">
            <v>TREZE MIL EMP 01</v>
          </cell>
          <cell r="D2824" t="str">
            <v>397639B8-FC7A-EC11-B501-005056856B6C</v>
          </cell>
          <cell r="E2824">
            <v>0</v>
          </cell>
        </row>
        <row r="2825">
          <cell r="A2825" t="str">
            <v>CAMPINAS</v>
          </cell>
          <cell r="C2825" t="str">
            <v>TROPICAL GARDEN</v>
          </cell>
          <cell r="D2825" t="str">
            <v>02AD3DBA-1E0F-E711-AC8B-80C16E075108</v>
          </cell>
          <cell r="E2825">
            <v>408</v>
          </cell>
        </row>
        <row r="2826">
          <cell r="A2826" t="str">
            <v>MANAUS</v>
          </cell>
          <cell r="C2826" t="str">
            <v>TUIA EMP 01</v>
          </cell>
          <cell r="D2826" t="str">
            <v>D85501D4-BD48-ED11-BBD2-80C16E075108</v>
          </cell>
          <cell r="E2826">
            <v>0</v>
          </cell>
        </row>
        <row r="2827">
          <cell r="A2827" t="str">
            <v>BELO HORIZONTE</v>
          </cell>
          <cell r="C2827" t="str">
            <v>TULSA EMP 01</v>
          </cell>
          <cell r="D2827" t="str">
            <v>6F18D231-E8E3-EF11-AB5A-80C16E075108</v>
          </cell>
          <cell r="E2827">
            <v>0</v>
          </cell>
        </row>
        <row r="2828">
          <cell r="A2828" t="str">
            <v>CAMPINAS</v>
          </cell>
          <cell r="C2828" t="str">
            <v>TURQUESA VILLE</v>
          </cell>
          <cell r="D2828" t="str">
            <v>D59DA731-C05F-DD11-B13B-001B78B9D994</v>
          </cell>
          <cell r="E2828">
            <v>448</v>
          </cell>
        </row>
        <row r="2829">
          <cell r="A2829" t="str">
            <v>UBERLÂNDIA</v>
          </cell>
          <cell r="C2829" t="str">
            <v>UNIPARK RESID_HYDE PARK</v>
          </cell>
          <cell r="D2829" t="str">
            <v>3925D311-205B-E511-834F-80C16E075108</v>
          </cell>
          <cell r="E2829">
            <v>340</v>
          </cell>
        </row>
        <row r="2830">
          <cell r="A2830" t="str">
            <v>UBERLÂNDIA</v>
          </cell>
          <cell r="C2830" t="str">
            <v>UNIPARK RESIDENCIAL CENTRAL PARK</v>
          </cell>
          <cell r="D2830" t="str">
            <v>BC3A380A-F890-E811-8D3F-80C16E075108</v>
          </cell>
          <cell r="E2830">
            <v>500</v>
          </cell>
        </row>
        <row r="2831">
          <cell r="A2831" t="str">
            <v>MARÍLIA</v>
          </cell>
          <cell r="C2831" t="str">
            <v>URBANIZAÇÃO TAC MARÍLIA</v>
          </cell>
          <cell r="D2831" t="str">
            <v>67010598-164E-EC11-B2FE-005056895191</v>
          </cell>
          <cell r="E2831">
            <v>0</v>
          </cell>
        </row>
        <row r="2832">
          <cell r="A2832" t="str">
            <v>SÃO JOSÉ DOS CAMPOS</v>
          </cell>
          <cell r="C2832" t="str">
            <v>URBANIZAÇÃO TAC SÃO PAULO</v>
          </cell>
          <cell r="D2832" t="str">
            <v>1257D6B7-147E-EC11-B501-005056856B6C</v>
          </cell>
          <cell r="E2832">
            <v>0</v>
          </cell>
        </row>
        <row r="2833">
          <cell r="A2833" t="str">
            <v>SÃO PAULO</v>
          </cell>
          <cell r="C2833" t="str">
            <v>URUCUM EMP 01</v>
          </cell>
          <cell r="D2833" t="str">
            <v>43BFFDE7-E5CC-EF11-B65C-009C02B0CB58</v>
          </cell>
          <cell r="E2833">
            <v>0</v>
          </cell>
        </row>
        <row r="2834">
          <cell r="A2834" t="str">
            <v>ARARAQUARA</v>
          </cell>
          <cell r="C2834" t="str">
            <v>VALDECI EMP 01</v>
          </cell>
          <cell r="D2834" t="str">
            <v>D81C1B44-5D16-EC11-B501-005056856B6C</v>
          </cell>
          <cell r="E2834">
            <v>0</v>
          </cell>
        </row>
        <row r="2835">
          <cell r="A2835" t="str">
            <v>ARARAQUARA</v>
          </cell>
          <cell r="C2835" t="str">
            <v>VALDECI EMP 02</v>
          </cell>
          <cell r="D2835" t="str">
            <v>FF78B6A9-2C16-EF11-9143-80C16E075108</v>
          </cell>
          <cell r="E2835">
            <v>0</v>
          </cell>
        </row>
        <row r="2836">
          <cell r="A2836" t="str">
            <v>ARARAQUARA</v>
          </cell>
          <cell r="C2836" t="str">
            <v>VALDECI EMP 03</v>
          </cell>
          <cell r="D2836" t="str">
            <v>A824B208-2D16-EF11-9143-80C16E075108</v>
          </cell>
          <cell r="E2836">
            <v>0</v>
          </cell>
        </row>
        <row r="2837">
          <cell r="A2837" t="str">
            <v>JACAREÍ</v>
          </cell>
          <cell r="C2837" t="str">
            <v>VALE BELO</v>
          </cell>
          <cell r="D2837" t="str">
            <v>6240E446-C3B7-DD11-A0C7-001B78B9D994</v>
          </cell>
          <cell r="E2837">
            <v>180</v>
          </cell>
        </row>
        <row r="2838">
          <cell r="A2838" t="str">
            <v>CONTAGEM</v>
          </cell>
          <cell r="C2838" t="str">
            <v>VALE DAS ESTRELAS_RESIDENCIAL CORONA</v>
          </cell>
          <cell r="D2838" t="str">
            <v>0E01DB95-C0E8-DD11-BD2B-001B78B9D994</v>
          </cell>
          <cell r="E2838">
            <v>96</v>
          </cell>
        </row>
        <row r="2839">
          <cell r="A2839" t="str">
            <v>CONTAGEM</v>
          </cell>
          <cell r="C2839" t="str">
            <v>VALE DAS ESTRELAS_RESIDENCIAL DORADO</v>
          </cell>
          <cell r="D2839" t="str">
            <v>9789AACE-C0E8-DD11-BD2B-001B78B9D994</v>
          </cell>
          <cell r="E2839">
            <v>80</v>
          </cell>
        </row>
        <row r="2840">
          <cell r="A2840" t="str">
            <v>CONTAGEM</v>
          </cell>
          <cell r="C2840" t="str">
            <v>VALE DAS ESTRELAS_RESIDENCIAL HYDRA</v>
          </cell>
          <cell r="D2840" t="str">
            <v>3686CF6D-9463-E411-9DC0-80C16E075108</v>
          </cell>
          <cell r="E2840">
            <v>800</v>
          </cell>
        </row>
        <row r="2841">
          <cell r="A2841" t="str">
            <v>CONTAGEM</v>
          </cell>
          <cell r="C2841" t="str">
            <v>VALE DAS ESTRELAS_RESIDENCIAL ORION</v>
          </cell>
          <cell r="D2841" t="str">
            <v>A95FC9DD-2B9F-DF11-B20E-001F2909E810</v>
          </cell>
          <cell r="E2841">
            <v>544</v>
          </cell>
        </row>
        <row r="2842">
          <cell r="A2842" t="str">
            <v>CONTAGEM</v>
          </cell>
          <cell r="C2842" t="str">
            <v>VALE DAS ESTRELAS_RESIDENCIAL PEGASUS</v>
          </cell>
          <cell r="D2842" t="str">
            <v>A9AC16ED-BEE8-DD11-BD2B-001B78B9D994</v>
          </cell>
          <cell r="E2842">
            <v>96</v>
          </cell>
        </row>
        <row r="2843">
          <cell r="A2843" t="str">
            <v>CONTAGEM</v>
          </cell>
          <cell r="C2843" t="str">
            <v>VALE DAS ESTRELAS_RESIDENCIAL SAGITTA</v>
          </cell>
          <cell r="D2843" t="str">
            <v>B96C6370-C0E8-DD11-BD2B-001B78B9D994</v>
          </cell>
          <cell r="E2843">
            <v>80</v>
          </cell>
        </row>
        <row r="2844">
          <cell r="A2844" t="str">
            <v>CONTAGEM</v>
          </cell>
          <cell r="C2844" t="str">
            <v>VALE DAS ESTRELAS_RESIDENCIAL SIRIUS</v>
          </cell>
          <cell r="D2844" t="str">
            <v>627F7E70-69E9-DC11-ABD0-001B7845B4A6</v>
          </cell>
          <cell r="E2844">
            <v>96</v>
          </cell>
        </row>
        <row r="2845">
          <cell r="A2845" t="str">
            <v>FERRAZ DE VASCONCELOS</v>
          </cell>
          <cell r="C2845" t="str">
            <v>VALE DO LUAR</v>
          </cell>
          <cell r="D2845" t="str">
            <v>5C170430-6562-DE11-B0E8-001F2909E83C</v>
          </cell>
          <cell r="E2845">
            <v>160</v>
          </cell>
        </row>
        <row r="2846">
          <cell r="A2846" t="str">
            <v>SOROCABA</v>
          </cell>
          <cell r="C2846" t="str">
            <v>VALE DO SERENO_RESIDENCIAL DOS COLIBRIS</v>
          </cell>
          <cell r="D2846" t="str">
            <v>5347BD5C-4D60-E911-90BB-80C16E075108</v>
          </cell>
          <cell r="E2846">
            <v>192</v>
          </cell>
        </row>
        <row r="2847">
          <cell r="A2847" t="str">
            <v>SOROCABA</v>
          </cell>
          <cell r="C2847" t="str">
            <v>VALE DO SERENO_RESIDENCIAL DOS MANACÁS</v>
          </cell>
          <cell r="D2847" t="str">
            <v>1AB86B17-C4FA-E711-A541-009C02B0CB58</v>
          </cell>
          <cell r="E2847">
            <v>232</v>
          </cell>
        </row>
        <row r="2848">
          <cell r="A2848" t="str">
            <v>SOROCABA</v>
          </cell>
          <cell r="C2848" t="str">
            <v>VALE DO SERENO_RESIDENCIAL SOL DO ALVORADA</v>
          </cell>
          <cell r="D2848" t="str">
            <v>DAA8CD9F-C4FA-E711-A541-009C02B0CB58</v>
          </cell>
          <cell r="E2848">
            <v>256</v>
          </cell>
        </row>
        <row r="2849">
          <cell r="A2849" t="str">
            <v>JACAREÍ</v>
          </cell>
          <cell r="C2849" t="str">
            <v>VALE DOS CRISTAIS</v>
          </cell>
          <cell r="D2849" t="str">
            <v>4458E780-C3B7-DD11-A0C7-001B78B9D994</v>
          </cell>
          <cell r="E2849">
            <v>60</v>
          </cell>
        </row>
        <row r="2850">
          <cell r="A2850" t="str">
            <v>JACAREÍ</v>
          </cell>
          <cell r="C2850" t="str">
            <v>VALE VERDE</v>
          </cell>
          <cell r="D2850" t="str">
            <v>14B683B7-C2B7-DD11-A0C7-001B78B9D994</v>
          </cell>
          <cell r="E2850">
            <v>360</v>
          </cell>
        </row>
        <row r="2851">
          <cell r="A2851" t="str">
            <v>LONDRINA</v>
          </cell>
          <cell r="C2851" t="str">
            <v>VALENCIA</v>
          </cell>
          <cell r="D2851" t="str">
            <v>3D146408-A989-DD11-8A4F-001B78B9D994</v>
          </cell>
          <cell r="E2851">
            <v>0</v>
          </cell>
        </row>
        <row r="2852">
          <cell r="A2852" t="str">
            <v>PORTO ALEGRE</v>
          </cell>
          <cell r="C2852" t="str">
            <v>PORTO BARCELONA</v>
          </cell>
          <cell r="D2852" t="str">
            <v>6D611C7C-AD7A-EF11-B65C-009C02B0CB58</v>
          </cell>
          <cell r="E2852">
            <v>0</v>
          </cell>
        </row>
        <row r="2853">
          <cell r="A2853" t="str">
            <v>PORTO ALEGRE</v>
          </cell>
          <cell r="C2853" t="str">
            <v>VAP EMP 02</v>
          </cell>
          <cell r="D2853" t="str">
            <v>FCFDAF8A-E595-EF11-AB5A-80C16E075108</v>
          </cell>
          <cell r="E2853">
            <v>0</v>
          </cell>
        </row>
        <row r="2854">
          <cell r="A2854" t="str">
            <v>PORTO ALEGRE</v>
          </cell>
          <cell r="C2854" t="str">
            <v>VAP EMP 03</v>
          </cell>
          <cell r="D2854" t="str">
            <v>6AF1A3D7-E595-EF11-AB5A-80C16E075108</v>
          </cell>
          <cell r="E2854">
            <v>0</v>
          </cell>
        </row>
        <row r="2855">
          <cell r="A2855" t="str">
            <v>UBERLÂNDIA</v>
          </cell>
          <cell r="C2855" t="str">
            <v>VASCO NORTE EMP 01</v>
          </cell>
          <cell r="D2855" t="str">
            <v>8D509DA1-A8B0-EF11-AB5A-80C16E075108</v>
          </cell>
          <cell r="E2855">
            <v>0</v>
          </cell>
        </row>
        <row r="2856">
          <cell r="A2856" t="str">
            <v>UBERLÂNDIA</v>
          </cell>
          <cell r="C2856" t="str">
            <v>VASCO NORTE EMP 02</v>
          </cell>
          <cell r="D2856" t="str">
            <v>4D3511D4-A8B0-EF11-AB5A-80C16E075108</v>
          </cell>
          <cell r="E2856">
            <v>0</v>
          </cell>
        </row>
        <row r="2857">
          <cell r="A2857" t="str">
            <v>UBERLÂNDIA</v>
          </cell>
          <cell r="C2857" t="str">
            <v>VASCO NORTE EMP 03</v>
          </cell>
          <cell r="D2857" t="str">
            <v>4808E8AC-74C4-EF11-AB5A-80C16E075108</v>
          </cell>
          <cell r="E2857">
            <v>0</v>
          </cell>
        </row>
        <row r="2858">
          <cell r="A2858" t="str">
            <v>SERRA</v>
          </cell>
          <cell r="C2858" t="str">
            <v>VÊNETO EMP 01</v>
          </cell>
          <cell r="D2858" t="str">
            <v>68722703-FEC1-EE11-8386-009C02B0CB58</v>
          </cell>
          <cell r="E2858">
            <v>0</v>
          </cell>
        </row>
        <row r="2859">
          <cell r="A2859" t="str">
            <v>BELO HORIZONTE</v>
          </cell>
          <cell r="C2859" t="str">
            <v>VENEZA</v>
          </cell>
          <cell r="D2859" t="str">
            <v>83E8C89C-7669-DD11-AD97-001B78B9D994</v>
          </cell>
          <cell r="E2859">
            <v>0</v>
          </cell>
        </row>
        <row r="2860">
          <cell r="A2860" t="str">
            <v>FORTALEZA</v>
          </cell>
          <cell r="C2860" t="str">
            <v>VENICE CONDOMÍNIO CLUBE</v>
          </cell>
          <cell r="D2860" t="str">
            <v>6A18355B-E98A-E011-BDCF-001F2909E810</v>
          </cell>
          <cell r="E2860">
            <v>210</v>
          </cell>
        </row>
        <row r="2861">
          <cell r="A2861" t="str">
            <v>SOROCABA</v>
          </cell>
          <cell r="C2861" t="str">
            <v>VERA LÚCIA</v>
          </cell>
          <cell r="D2861" t="str">
            <v>2687C5D4-CF1F-E311-BAEB-009C02B0CB58</v>
          </cell>
          <cell r="E2861">
            <v>0</v>
          </cell>
        </row>
        <row r="2862">
          <cell r="A2862" t="str">
            <v>FORTALEZA</v>
          </cell>
          <cell r="C2862" t="str">
            <v>RESIDENCIAL TORRES DA LAGOA</v>
          </cell>
          <cell r="D2862" t="str">
            <v>3E2ED8E5-ED81-EF11-B65C-009C02B0CB58</v>
          </cell>
          <cell r="E2862">
            <v>252</v>
          </cell>
        </row>
        <row r="2863">
          <cell r="A2863" t="str">
            <v>BELO HORIZONTE</v>
          </cell>
          <cell r="C2863" t="str">
            <v>VERMONT</v>
          </cell>
          <cell r="D2863" t="str">
            <v>97624088-A0BC-DD11-BEF7-001B78B9D994</v>
          </cell>
          <cell r="E2863">
            <v>0</v>
          </cell>
        </row>
        <row r="2864">
          <cell r="A2864" t="str">
            <v>BELO HORIZONTE</v>
          </cell>
          <cell r="C2864" t="str">
            <v>VERONA</v>
          </cell>
          <cell r="D2864" t="str">
            <v>56B2CFFD-46DC-DF11-B242-001F2909E810</v>
          </cell>
          <cell r="E2864">
            <v>0</v>
          </cell>
        </row>
        <row r="2865">
          <cell r="A2865" t="str">
            <v>BELO HORIZONTE</v>
          </cell>
          <cell r="C2865" t="str">
            <v>VERSAILLES</v>
          </cell>
          <cell r="D2865" t="str">
            <v>00525F36-47DC-DF11-B242-001F2909E810</v>
          </cell>
          <cell r="E2865">
            <v>2</v>
          </cell>
        </row>
        <row r="2866">
          <cell r="A2866" t="str">
            <v>CAMPINAS</v>
          </cell>
          <cell r="C2866" t="str">
            <v>VERSALHES GARDEN</v>
          </cell>
          <cell r="D2866" t="str">
            <v>3AF4F049-1F0F-E711-AC8B-80C16E075108</v>
          </cell>
          <cell r="E2866">
            <v>384</v>
          </cell>
        </row>
        <row r="2867">
          <cell r="A2867" t="str">
            <v>CONTAGEM</v>
          </cell>
          <cell r="C2867" t="str">
            <v>VETERINÁRIO I EMP 01</v>
          </cell>
          <cell r="D2867" t="str">
            <v>CA108CE9-9C17-EF11-9143-80C16E075108</v>
          </cell>
          <cell r="E2867">
            <v>0</v>
          </cell>
        </row>
        <row r="2868">
          <cell r="A2868" t="str">
            <v>CONTAGEM</v>
          </cell>
          <cell r="C2868" t="str">
            <v>VETERINÁRIO II EMP 2</v>
          </cell>
          <cell r="D2868" t="str">
            <v>387C9364-A317-EF11-9143-80C16E075108</v>
          </cell>
          <cell r="E2868">
            <v>0</v>
          </cell>
        </row>
        <row r="2869">
          <cell r="A2869" t="str">
            <v>BELO HORIZONTE</v>
          </cell>
          <cell r="C2869" t="str">
            <v>VIA ÁPIA</v>
          </cell>
          <cell r="D2869" t="str">
            <v>B87FD494-AB06-E311-A6EF-80C16E075108</v>
          </cell>
          <cell r="E2869">
            <v>0</v>
          </cell>
        </row>
        <row r="2870">
          <cell r="A2870" t="str">
            <v>CONTAGEM</v>
          </cell>
          <cell r="C2870" t="str">
            <v>VILA ALPINA</v>
          </cell>
          <cell r="D2870" t="str">
            <v>2F290833-6AE9-DC11-ABD0-001B7845B4A6</v>
          </cell>
          <cell r="E2870">
            <v>224</v>
          </cell>
        </row>
        <row r="2871">
          <cell r="A2871" t="str">
            <v>SERRA</v>
          </cell>
          <cell r="C2871" t="str">
            <v>VILA AURORA</v>
          </cell>
          <cell r="D2871" t="str">
            <v>29D6FD9E-C31A-DE11-AF0B-001F2909E83C</v>
          </cell>
          <cell r="E2871">
            <v>50</v>
          </cell>
        </row>
        <row r="2872">
          <cell r="A2872" t="str">
            <v>CONTAGEM</v>
          </cell>
          <cell r="C2872" t="str">
            <v>VILA CASTELO</v>
          </cell>
          <cell r="D2872" t="str">
            <v>142A596E-9FD9-DC11-ABCF-001B7845B4A6</v>
          </cell>
          <cell r="E2872">
            <v>32</v>
          </cell>
        </row>
        <row r="2873">
          <cell r="A2873" t="str">
            <v>SERRA</v>
          </cell>
          <cell r="C2873" t="str">
            <v>VILA DA MATA</v>
          </cell>
          <cell r="D2873" t="str">
            <v>0575C5F1-049F-DE11-8D16-001F2909E810</v>
          </cell>
          <cell r="E2873">
            <v>299</v>
          </cell>
        </row>
        <row r="2874">
          <cell r="A2874" t="str">
            <v>SERRA</v>
          </cell>
          <cell r="C2874" t="str">
            <v>VILA DA SERRA</v>
          </cell>
          <cell r="D2874" t="str">
            <v>73F21E31-3349-DD11-BC22-001B78B9D994</v>
          </cell>
          <cell r="E2874">
            <v>240</v>
          </cell>
        </row>
        <row r="2875">
          <cell r="A2875" t="str">
            <v>TERESINA</v>
          </cell>
          <cell r="C2875" t="str">
            <v>VILA DI VENEZA</v>
          </cell>
          <cell r="D2875" t="str">
            <v>C2D1918D-A806-EC11-A30E-0050568A2E98</v>
          </cell>
          <cell r="E2875">
            <v>0</v>
          </cell>
        </row>
        <row r="2876">
          <cell r="A2876" t="str">
            <v>NATAL</v>
          </cell>
          <cell r="C2876" t="str">
            <v>VILA DO MAR_PRAIA DE PIPA</v>
          </cell>
          <cell r="D2876" t="str">
            <v>FB020C6A-71FF-E611-AC8B-80C16E075108</v>
          </cell>
          <cell r="E2876">
            <v>140</v>
          </cell>
        </row>
        <row r="2877">
          <cell r="A2877" t="str">
            <v>CONTAGEM</v>
          </cell>
          <cell r="C2877" t="str">
            <v>VILA D'ORO</v>
          </cell>
          <cell r="D2877" t="str">
            <v>514A1E7F-F2E9-DC11-ABD0-001B7845B4A6</v>
          </cell>
          <cell r="E2877">
            <v>64</v>
          </cell>
        </row>
        <row r="2878">
          <cell r="A2878" t="str">
            <v>TERESINA</v>
          </cell>
          <cell r="C2878" t="str">
            <v>VILA ÔNIX</v>
          </cell>
          <cell r="D2878" t="str">
            <v>5B573B4F-6FB0-E811-9B21-80C16E075108</v>
          </cell>
          <cell r="E2878">
            <v>480</v>
          </cell>
        </row>
        <row r="2879">
          <cell r="A2879" t="str">
            <v>CONTAGEM</v>
          </cell>
          <cell r="C2879" t="str">
            <v>VILA REAL</v>
          </cell>
          <cell r="D2879" t="str">
            <v>000DC8AF-6D8A-DD11-8A4F-001B78B9D994</v>
          </cell>
          <cell r="E2879">
            <v>32</v>
          </cell>
        </row>
        <row r="2880">
          <cell r="A2880" t="str">
            <v>CONTAGEM</v>
          </cell>
          <cell r="C2880" t="str">
            <v>VILA ROMANA</v>
          </cell>
          <cell r="D2880" t="str">
            <v>1A03A027-A2D9-DC11-ABCF-001B7845B4A6</v>
          </cell>
          <cell r="E2880">
            <v>32</v>
          </cell>
        </row>
        <row r="2881">
          <cell r="A2881" t="str">
            <v>CONTAGEM</v>
          </cell>
          <cell r="C2881" t="str">
            <v>VILA SERRANA</v>
          </cell>
          <cell r="D2881" t="str">
            <v>D1A436CD-A3D9-DC11-ABCF-001B7845B4A6</v>
          </cell>
          <cell r="E2881">
            <v>64</v>
          </cell>
        </row>
        <row r="2882">
          <cell r="A2882" t="str">
            <v>BELO HORIZONTE</v>
          </cell>
          <cell r="C2882" t="str">
            <v>VILAGE DAS ORQUÍDEAS</v>
          </cell>
          <cell r="D2882" t="str">
            <v>D4F672F3-708A-DD11-8A4F-001B78B9D994</v>
          </cell>
          <cell r="E2882">
            <v>25</v>
          </cell>
        </row>
        <row r="2883">
          <cell r="A2883" t="str">
            <v>BAURU</v>
          </cell>
          <cell r="C2883" t="str">
            <v>VILLA ALVORADA</v>
          </cell>
          <cell r="D2883" t="str">
            <v>A9F5EF46-4861-EE11-8ACD-80C16E075108</v>
          </cell>
          <cell r="E2883">
            <v>0</v>
          </cell>
        </row>
        <row r="2884">
          <cell r="A2884" t="str">
            <v>JABOATÃO DOS GUARARAPES</v>
          </cell>
          <cell r="C2884" t="str">
            <v>VILLA DAS CASTANHEIRAS</v>
          </cell>
          <cell r="D2884" t="str">
            <v>F69478FF-5D64-E111-A73F-001F2909E810</v>
          </cell>
          <cell r="E2884">
            <v>328</v>
          </cell>
        </row>
        <row r="2885">
          <cell r="A2885" t="str">
            <v>BELO HORIZONTE</v>
          </cell>
          <cell r="C2885" t="str">
            <v>VILLA LOBOS</v>
          </cell>
          <cell r="D2885" t="str">
            <v>8BD40D08-C5CC-DF11-B242-001F2909E810</v>
          </cell>
          <cell r="E2885">
            <v>6</v>
          </cell>
        </row>
        <row r="2886">
          <cell r="A2886" t="str">
            <v>JABOATÃO DOS GUARARAPES</v>
          </cell>
          <cell r="C2886" t="str">
            <v>VILLA NATURE</v>
          </cell>
          <cell r="D2886" t="str">
            <v>446FAB33-31A1-EF11-B65C-009C02B0CB58</v>
          </cell>
          <cell r="E2886">
            <v>0</v>
          </cell>
        </row>
        <row r="2887">
          <cell r="A2887" t="str">
            <v>SALVADOR</v>
          </cell>
          <cell r="C2887" t="str">
            <v>VILLA PIRAJÁ</v>
          </cell>
          <cell r="D2887" t="str">
            <v>41A366AB-312C-F011-AB5A-80C16E075108</v>
          </cell>
          <cell r="E2887">
            <v>0</v>
          </cell>
        </row>
        <row r="2888">
          <cell r="A2888" t="str">
            <v>SALVADOR</v>
          </cell>
          <cell r="C2888" t="str">
            <v>VILLA PRIME RESIDENCE</v>
          </cell>
          <cell r="D2888" t="str">
            <v>31C7DC41-AD82-EB11-8864-0050568AA20F</v>
          </cell>
          <cell r="E2888">
            <v>320</v>
          </cell>
        </row>
        <row r="2889">
          <cell r="A2889" t="str">
            <v>VILA VELHA</v>
          </cell>
          <cell r="C2889" t="str">
            <v>VILLADORATA</v>
          </cell>
          <cell r="D2889" t="str">
            <v>35D434DB-7D65-DD11-B13B-001B78B9D994</v>
          </cell>
          <cell r="E2889">
            <v>84</v>
          </cell>
        </row>
        <row r="2890">
          <cell r="A2890" t="str">
            <v>ARARAQUARA</v>
          </cell>
          <cell r="C2890" t="str">
            <v>VILLAGE ALLEGRO</v>
          </cell>
          <cell r="D2890" t="str">
            <v>41082F0A-D4F5-DC11-A2F9-001B7845B4A6</v>
          </cell>
          <cell r="E2890">
            <v>75</v>
          </cell>
        </row>
        <row r="2891">
          <cell r="A2891" t="str">
            <v>ARARAQUARA</v>
          </cell>
          <cell r="C2891" t="str">
            <v>VILLAGE ANCHIETA</v>
          </cell>
          <cell r="D2891" t="str">
            <v>22744197-C5F5-DC11-A2F9-001B7845B4A6</v>
          </cell>
          <cell r="E2891">
            <v>62</v>
          </cell>
        </row>
        <row r="2892">
          <cell r="A2892" t="str">
            <v>SÃO JOSÉ DOS CAMPOS</v>
          </cell>
          <cell r="C2892" t="str">
            <v>VILLAGE CAMPO FELICE</v>
          </cell>
          <cell r="D2892" t="str">
            <v>DDBA38D7-4780-DD11-8A4F-001B78B9D994</v>
          </cell>
          <cell r="E2892">
            <v>0</v>
          </cell>
        </row>
        <row r="2893">
          <cell r="A2893" t="str">
            <v>CAMPINAS</v>
          </cell>
          <cell r="C2893" t="str">
            <v>VILLAGE CARPE DIEM</v>
          </cell>
          <cell r="D2893" t="str">
            <v>E7F519D7-71F0-DC11-A2F9-001B7845B4A6</v>
          </cell>
          <cell r="E2893">
            <v>17</v>
          </cell>
        </row>
        <row r="2894">
          <cell r="A2894" t="str">
            <v>CAMPINAS</v>
          </cell>
          <cell r="C2894" t="str">
            <v>VILLAGE CARTIER</v>
          </cell>
          <cell r="D2894" t="str">
            <v>BCA8A76F-90CE-DC11-9ED6-001B7845B4A6</v>
          </cell>
          <cell r="E2894">
            <v>8</v>
          </cell>
        </row>
        <row r="2895">
          <cell r="A2895" t="str">
            <v>CAMPINAS</v>
          </cell>
          <cell r="C2895" t="str">
            <v>VILLAGE CEDRUS</v>
          </cell>
          <cell r="D2895" t="str">
            <v>E7EDBCF2-AA7E-DD11-8A4F-001B78B9D994</v>
          </cell>
          <cell r="E2895">
            <v>14</v>
          </cell>
        </row>
        <row r="2896">
          <cell r="A2896" t="str">
            <v>CAMPINAS</v>
          </cell>
          <cell r="C2896" t="str">
            <v>VILLAGE CHATEAUX LAFITE</v>
          </cell>
          <cell r="D2896" t="str">
            <v>83601EEE-D946-DD11-BC22-001B78B9D994</v>
          </cell>
          <cell r="E2896">
            <v>21</v>
          </cell>
        </row>
        <row r="2897">
          <cell r="A2897" t="str">
            <v>CAMPINAS</v>
          </cell>
          <cell r="C2897" t="str">
            <v>VILLAGE CHATEAUX TIVOLI</v>
          </cell>
          <cell r="D2897" t="str">
            <v>27C25CDE-DE46-DD11-BC22-001B78B9D994</v>
          </cell>
          <cell r="E2897">
            <v>14</v>
          </cell>
        </row>
        <row r="2898">
          <cell r="A2898" t="str">
            <v>CAMPINAS</v>
          </cell>
          <cell r="C2898" t="str">
            <v>VILLAGE CHATEAUX VICTORIA</v>
          </cell>
          <cell r="D2898" t="str">
            <v>93F97375-AD7E-DD11-8A4F-001B78B9D994</v>
          </cell>
          <cell r="E2898">
            <v>20</v>
          </cell>
        </row>
        <row r="2899">
          <cell r="A2899" t="str">
            <v>CAMPINAS</v>
          </cell>
          <cell r="C2899" t="str">
            <v>VILLAGE CHATEUAX LORANE</v>
          </cell>
          <cell r="D2899" t="str">
            <v>FBA9626F-DA46-DD11-BC22-001B78B9D994</v>
          </cell>
          <cell r="E2899">
            <v>21</v>
          </cell>
        </row>
        <row r="2900">
          <cell r="A2900" t="str">
            <v>CAMPINAS</v>
          </cell>
          <cell r="C2900" t="str">
            <v>VILLAGE CHOPIN</v>
          </cell>
          <cell r="D2900" t="str">
            <v>43D5A5C4-16DF-DC11-ABD0-001B7845B4A6</v>
          </cell>
          <cell r="E2900">
            <v>36</v>
          </cell>
        </row>
        <row r="2901">
          <cell r="A2901" t="str">
            <v>CAMPINAS</v>
          </cell>
          <cell r="C2901" t="str">
            <v>VILLAGE COLINA VERDI</v>
          </cell>
          <cell r="D2901" t="str">
            <v>9275D77D-AAEF-DC11-A2F9-001B7845B4A6</v>
          </cell>
          <cell r="E2901">
            <v>14</v>
          </cell>
        </row>
        <row r="2902">
          <cell r="A2902" t="str">
            <v>CAMPINAS</v>
          </cell>
          <cell r="C2902" t="str">
            <v>VILLAGE CONRAD</v>
          </cell>
          <cell r="D2902" t="str">
            <v>F54CD0F4-EA28-DD11-A6D4-001B7845B4A6</v>
          </cell>
          <cell r="E2902">
            <v>16</v>
          </cell>
        </row>
        <row r="2903">
          <cell r="A2903" t="str">
            <v>CAMPINAS</v>
          </cell>
          <cell r="C2903" t="str">
            <v>VILLAGE CÓRSEGA</v>
          </cell>
          <cell r="D2903" t="str">
            <v>47833D38-77F0-DC11-A2F9-001B7845B4A6</v>
          </cell>
          <cell r="E2903">
            <v>56</v>
          </cell>
        </row>
        <row r="2904">
          <cell r="A2904" t="str">
            <v>CAMPINAS</v>
          </cell>
          <cell r="C2904" t="str">
            <v>VILLAGE COSABELLA</v>
          </cell>
          <cell r="D2904" t="str">
            <v>B4FC6403-5A27-DD11-A6D4-001B7845B4A6</v>
          </cell>
          <cell r="E2904">
            <v>48</v>
          </cell>
        </row>
        <row r="2905">
          <cell r="A2905" t="str">
            <v>SÃO CARLOS</v>
          </cell>
          <cell r="C2905" t="str">
            <v>VILLAGE DA PAINEIRA</v>
          </cell>
          <cell r="D2905" t="str">
            <v>5B7FDA55-DEF5-DC11-A2F9-001B7845B4A6</v>
          </cell>
          <cell r="E2905">
            <v>66</v>
          </cell>
        </row>
        <row r="2906">
          <cell r="A2906" t="str">
            <v>AMERICANA</v>
          </cell>
          <cell r="C2906" t="str">
            <v>VILLAGE DAS AMERICAS</v>
          </cell>
          <cell r="D2906" t="str">
            <v>FD752047-AE05-DD11-8284-001B7845B4A6</v>
          </cell>
          <cell r="E2906">
            <v>68</v>
          </cell>
        </row>
        <row r="2907">
          <cell r="A2907" t="str">
            <v>SOROCABA</v>
          </cell>
          <cell r="C2907" t="str">
            <v>VILLAGE DI SATORE</v>
          </cell>
          <cell r="D2907" t="str">
            <v>69855110-EFF5-DC11-A2F9-001B7845B4A6</v>
          </cell>
          <cell r="E2907">
            <v>52</v>
          </cell>
        </row>
        <row r="2908">
          <cell r="A2908" t="str">
            <v>CAMPINAS</v>
          </cell>
          <cell r="C2908" t="str">
            <v>VILLAGE DOS COLIBRIS</v>
          </cell>
          <cell r="D2908" t="str">
            <v>659DFD1F-2E06-DD11-8284-001B7845B4A6</v>
          </cell>
          <cell r="E2908">
            <v>39</v>
          </cell>
        </row>
        <row r="2909">
          <cell r="A2909" t="str">
            <v>FRANCA</v>
          </cell>
          <cell r="C2909" t="str">
            <v>VILLAGE FELICITÁ</v>
          </cell>
          <cell r="D2909" t="str">
            <v>7955DCA6-09EB-DC11-A2F9-001B7845B4A6</v>
          </cell>
          <cell r="E2909">
            <v>78</v>
          </cell>
        </row>
        <row r="2910">
          <cell r="A2910" t="str">
            <v>BELO HORIZONTE</v>
          </cell>
          <cell r="C2910" t="str">
            <v>VILLAGE FIRENZE</v>
          </cell>
          <cell r="D2910" t="str">
            <v>3B97E571-738A-DD11-8A4F-001B78B9D994</v>
          </cell>
          <cell r="E2910">
            <v>85</v>
          </cell>
        </row>
        <row r="2911">
          <cell r="A2911" t="str">
            <v>JUNDIAÍ</v>
          </cell>
          <cell r="C2911" t="str">
            <v>VILLAGE JARDIM DE VERSAILES</v>
          </cell>
          <cell r="D2911" t="str">
            <v>9D1BDCAB-7E05-DD11-8284-001B7845B4A6</v>
          </cell>
          <cell r="E2911">
            <v>48</v>
          </cell>
        </row>
        <row r="2912">
          <cell r="A2912" t="str">
            <v>RIBEIRÃO PRETO</v>
          </cell>
          <cell r="C2912" t="str">
            <v>VILLAGE JARDIM DOS GERÂNIOS</v>
          </cell>
          <cell r="D2912" t="str">
            <v>1D5DF39F-6DFB-DC11-8284-001B7845B4A6</v>
          </cell>
          <cell r="E2912">
            <v>169</v>
          </cell>
        </row>
        <row r="2913">
          <cell r="A2913" t="str">
            <v>RIBEIRÃO PRETO</v>
          </cell>
          <cell r="C2913" t="str">
            <v>VILLAGE JARDIM DOS HIBISCOS</v>
          </cell>
          <cell r="D2913" t="str">
            <v>F62BA35D-11EB-DC11-A2F9-001B7845B4A6</v>
          </cell>
          <cell r="E2913">
            <v>177</v>
          </cell>
        </row>
        <row r="2914">
          <cell r="A2914" t="str">
            <v>LONDRINA</v>
          </cell>
          <cell r="C2914" t="str">
            <v>VILLAGE LA CORUÑA</v>
          </cell>
          <cell r="D2914" t="str">
            <v>750F066D-8D02-DD11-8284-001B7845B4A6</v>
          </cell>
          <cell r="E2914">
            <v>16</v>
          </cell>
        </row>
        <row r="2915">
          <cell r="A2915" t="str">
            <v>MOGI DAS CRUZES</v>
          </cell>
          <cell r="C2915" t="str">
            <v>VILLAGE MELIÁ</v>
          </cell>
          <cell r="D2915" t="str">
            <v>BDAB469E-B089-DD11-8A4F-001B78B9D994</v>
          </cell>
          <cell r="E2915">
            <v>50</v>
          </cell>
        </row>
        <row r="2916">
          <cell r="A2916" t="str">
            <v>UBERABA</v>
          </cell>
          <cell r="C2916" t="str">
            <v>VILLAGE MERCÊS</v>
          </cell>
          <cell r="D2916" t="str">
            <v>9666D8A6-BC38-DE11-B0E7-001F2909E83C</v>
          </cell>
          <cell r="E2916">
            <v>0</v>
          </cell>
        </row>
        <row r="2917">
          <cell r="A2917" t="str">
            <v>MOGI DAS CRUZES</v>
          </cell>
          <cell r="C2917" t="str">
            <v>VILLAGE MILANO</v>
          </cell>
          <cell r="D2917" t="str">
            <v>663C90D8-9789-DD11-8A4F-001B78B9D994</v>
          </cell>
          <cell r="E2917">
            <v>18</v>
          </cell>
        </row>
        <row r="2918">
          <cell r="A2918" t="str">
            <v>MOGI DAS CRUZES</v>
          </cell>
          <cell r="C2918" t="str">
            <v>VILLAGE MILLENIUM</v>
          </cell>
          <cell r="D2918" t="str">
            <v>97592792-FFBC-E411-B5D2-009C02B0CB58</v>
          </cell>
          <cell r="E2918">
            <v>150</v>
          </cell>
        </row>
        <row r="2919">
          <cell r="A2919" t="str">
            <v>MARINGÁ</v>
          </cell>
          <cell r="C2919" t="str">
            <v>VILLAGE MIRANTE BIANCHINI I</v>
          </cell>
          <cell r="D2919" t="str">
            <v>1BAB30E7-5F28-DE11-A226-001B78B9D994</v>
          </cell>
          <cell r="E2919">
            <v>46</v>
          </cell>
        </row>
        <row r="2920">
          <cell r="A2920" t="str">
            <v>MARINGÁ</v>
          </cell>
          <cell r="C2920" t="str">
            <v>VILLAGE MIRANTE BIANCHINI II</v>
          </cell>
          <cell r="D2920" t="str">
            <v>A12C950C-6028-DE11-A226-001B78B9D994</v>
          </cell>
          <cell r="E2920">
            <v>2</v>
          </cell>
        </row>
        <row r="2921">
          <cell r="A2921" t="str">
            <v>MARINGÁ</v>
          </cell>
          <cell r="C2921" t="str">
            <v>VILLAGE MIRANTE BIANCHINI III</v>
          </cell>
          <cell r="D2921" t="str">
            <v>33493973-6028-DE11-A226-001B78B9D994</v>
          </cell>
          <cell r="E2921">
            <v>8</v>
          </cell>
        </row>
        <row r="2922">
          <cell r="A2922" t="str">
            <v>SÃO CARLOS</v>
          </cell>
          <cell r="C2922" t="str">
            <v>VILLAGE MONT SERRAT</v>
          </cell>
          <cell r="D2922" t="str">
            <v>359ED2EA-78FB-DC11-8284-001B7845B4A6</v>
          </cell>
          <cell r="E2922">
            <v>52</v>
          </cell>
        </row>
        <row r="2923">
          <cell r="A2923" t="str">
            <v>MOGI DAS CRUZES</v>
          </cell>
          <cell r="C2923" t="str">
            <v>VILLAGE MONTANA</v>
          </cell>
          <cell r="D2923" t="str">
            <v>94DA9FC6-B7CE-DC11-9ED6-001B7845B4A6</v>
          </cell>
          <cell r="E2923">
            <v>18</v>
          </cell>
        </row>
        <row r="2924">
          <cell r="A2924" t="str">
            <v>MOGI DAS CRUZES</v>
          </cell>
          <cell r="C2924" t="str">
            <v>VILLAGE MONTICELLI</v>
          </cell>
          <cell r="D2924" t="str">
            <v>3571CE1D-C401-DD11-8284-001B7845B4A6</v>
          </cell>
          <cell r="E2924">
            <v>23</v>
          </cell>
        </row>
        <row r="2925">
          <cell r="A2925" t="str">
            <v>MOGI DAS CRUZES</v>
          </cell>
          <cell r="C2925" t="str">
            <v>VILLAGE MONTPELIER</v>
          </cell>
          <cell r="D2925" t="str">
            <v>572C87BB-BACE-DC11-9ED6-001B7845B4A6</v>
          </cell>
          <cell r="E2925">
            <v>50</v>
          </cell>
        </row>
        <row r="2926">
          <cell r="A2926" t="str">
            <v>MOGI DAS CRUZES</v>
          </cell>
          <cell r="C2926" t="str">
            <v>VILLAGE MOSAICO</v>
          </cell>
          <cell r="D2926" t="str">
            <v>D8FC1E27-01BD-E411-B5D2-009C02B0CB58</v>
          </cell>
          <cell r="E2926">
            <v>150</v>
          </cell>
        </row>
        <row r="2927">
          <cell r="A2927" t="str">
            <v>SÃO JOSÉ DO RIO PRETO</v>
          </cell>
          <cell r="C2927" t="str">
            <v>VILLAGE RIO SENA</v>
          </cell>
          <cell r="D2927" t="str">
            <v>849AF25B-7BEB-DC11-A2F9-001B7845B4A6</v>
          </cell>
          <cell r="E2927">
            <v>48</v>
          </cell>
        </row>
        <row r="2928">
          <cell r="A2928" t="str">
            <v>SÃO JOSÉ DO RIO PRETO</v>
          </cell>
          <cell r="C2928" t="str">
            <v>VILLAGE RIO VOLGA</v>
          </cell>
          <cell r="D2928" t="str">
            <v>F1FF5230-09EB-DC11-A2F9-001B7845B4A6</v>
          </cell>
          <cell r="E2928">
            <v>99</v>
          </cell>
        </row>
        <row r="2929">
          <cell r="A2929" t="str">
            <v>NOVA LIMA</v>
          </cell>
          <cell r="C2929" t="str">
            <v>VILLAGE ROYALE</v>
          </cell>
          <cell r="D2929" t="str">
            <v>61475FE6-F5E9-DC11-ABD0-001B7845B4A6</v>
          </cell>
          <cell r="E2929">
            <v>174</v>
          </cell>
        </row>
        <row r="2930">
          <cell r="A2930" t="str">
            <v>SÃO BERNARDO DO CAMPO</v>
          </cell>
          <cell r="C2930" t="str">
            <v>VILLAGE SAINT JAMES</v>
          </cell>
          <cell r="D2930" t="str">
            <v>A35DD31E-F2DB-DC11-ABCF-001B7845B4A6</v>
          </cell>
          <cell r="E2930">
            <v>111</v>
          </cell>
        </row>
        <row r="2931">
          <cell r="A2931" t="str">
            <v>SÃO BERNARDO DO CAMPO</v>
          </cell>
          <cell r="C2931" t="str">
            <v>VILLAGE SAINT LAURENT</v>
          </cell>
          <cell r="D2931" t="str">
            <v>1870F9A3-F6CD-DC11-9ED6-001B7845B4A6</v>
          </cell>
          <cell r="E2931">
            <v>95</v>
          </cell>
        </row>
        <row r="2932">
          <cell r="A2932" t="str">
            <v>SOROCABA</v>
          </cell>
          <cell r="C2932" t="str">
            <v>VILLAGE SALERMO</v>
          </cell>
          <cell r="D2932" t="str">
            <v>46ED55E0-52CE-DC11-9ED6-001B7845B4A6</v>
          </cell>
          <cell r="E2932">
            <v>135</v>
          </cell>
        </row>
        <row r="2933">
          <cell r="A2933" t="str">
            <v>SÃO PAULO</v>
          </cell>
          <cell r="C2933" t="str">
            <v>VILLAGE SAN PIETRO</v>
          </cell>
          <cell r="D2933" t="str">
            <v>A47911B9-B0CE-DC11-9ED6-001B7845B4A6</v>
          </cell>
          <cell r="E2933">
            <v>12</v>
          </cell>
        </row>
        <row r="2934">
          <cell r="A2934" t="str">
            <v>SOROCABA</v>
          </cell>
          <cell r="C2934" t="str">
            <v>VILLAGE SARRIÁ</v>
          </cell>
          <cell r="D2934" t="str">
            <v>8B3CE65F-A4EF-DC11-A2F9-001B7845B4A6</v>
          </cell>
          <cell r="E2934">
            <v>93</v>
          </cell>
        </row>
        <row r="2935">
          <cell r="A2935" t="str">
            <v>SOROCABA</v>
          </cell>
          <cell r="C2935" t="str">
            <v>VILLAGE SPLENDORE</v>
          </cell>
          <cell r="D2935" t="str">
            <v>E37D99A4-358A-DD11-8A4F-001B78B9D994</v>
          </cell>
          <cell r="E2935">
            <v>91</v>
          </cell>
        </row>
        <row r="2936">
          <cell r="A2936" t="str">
            <v>SUZANO</v>
          </cell>
          <cell r="C2936" t="str">
            <v>VILLAGE SUPREME</v>
          </cell>
          <cell r="D2936" t="str">
            <v>1BD6B119-B7EB-DC11-A2F9-001B7845B4A6</v>
          </cell>
          <cell r="E2936">
            <v>86</v>
          </cell>
        </row>
        <row r="2937">
          <cell r="A2937" t="str">
            <v>TAUBATÉ</v>
          </cell>
          <cell r="C2937" t="str">
            <v>VILLAGE TEMPUS</v>
          </cell>
          <cell r="D2937" t="str">
            <v>A28347D2-C9CC-DC11-9ED6-001B7845B4A6</v>
          </cell>
          <cell r="E2937">
            <v>54</v>
          </cell>
        </row>
        <row r="2938">
          <cell r="A2938" t="str">
            <v>UBERLÂNDIA</v>
          </cell>
          <cell r="C2938" t="str">
            <v>VILLAGE UNIQUE</v>
          </cell>
          <cell r="D2938" t="str">
            <v>0F58876C-DEEA-DC11-A2F9-001B7845B4A6</v>
          </cell>
          <cell r="E2938">
            <v>36</v>
          </cell>
        </row>
        <row r="2939">
          <cell r="A2939" t="str">
            <v>BELO HORIZONTE</v>
          </cell>
          <cell r="C2939" t="str">
            <v>VILLAGE VIVERE</v>
          </cell>
          <cell r="D2939" t="str">
            <v>A13E842C-657F-DD11-8A4F-001B78B9D994</v>
          </cell>
          <cell r="E2939">
            <v>90</v>
          </cell>
        </row>
        <row r="2940">
          <cell r="A2940" t="str">
            <v>COTIA</v>
          </cell>
          <cell r="C2940" t="str">
            <v>VILLAGE WIMBLEDON</v>
          </cell>
          <cell r="D2940" t="str">
            <v>F2FA1C13-E6CD-DC11-9ED6-001B7845B4A6</v>
          </cell>
          <cell r="E2940">
            <v>57</v>
          </cell>
        </row>
        <row r="2941">
          <cell r="A2941" t="str">
            <v>FORTALEZA</v>
          </cell>
          <cell r="C2941" t="str">
            <v>VILLAGIO MARAPONGA CONDOMINIO CLUBE</v>
          </cell>
          <cell r="D2941" t="str">
            <v>EDA6BA64-E3A2-DE11-8D16-001F2909E810</v>
          </cell>
          <cell r="E2941">
            <v>320</v>
          </cell>
        </row>
        <row r="2942">
          <cell r="A2942" t="str">
            <v>PARNAMIRIM</v>
          </cell>
          <cell r="C2942" t="str">
            <v>VILLE DAS ÁGUAS</v>
          </cell>
          <cell r="D2942" t="str">
            <v>8DA6CC36-B477-ED11-9E0C-00505685534B</v>
          </cell>
          <cell r="E2942">
            <v>0</v>
          </cell>
        </row>
        <row r="2943">
          <cell r="A2943" t="str">
            <v>PARNAMIRIM</v>
          </cell>
          <cell r="C2943" t="str">
            <v>VILLE DAS BRISAS</v>
          </cell>
          <cell r="D2943" t="str">
            <v>4807FD9D-0129-EB11-85D0-005056856875</v>
          </cell>
          <cell r="E2943">
            <v>0</v>
          </cell>
        </row>
        <row r="2944">
          <cell r="A2944" t="str">
            <v>PARNAMIRIM</v>
          </cell>
          <cell r="C2944" t="str">
            <v>VILLE DAS OLIVEIRAS</v>
          </cell>
          <cell r="D2944" t="str">
            <v>3222109C-B377-ED11-9E0C-00505685534B</v>
          </cell>
          <cell r="E2944">
            <v>0</v>
          </cell>
        </row>
        <row r="2945">
          <cell r="A2945" t="str">
            <v>CAUCAIA</v>
          </cell>
          <cell r="C2945" t="str">
            <v>VILLE DE GAIA</v>
          </cell>
          <cell r="D2945" t="str">
            <v>9E83536C-695D-EE11-8ACD-80C16E075108</v>
          </cell>
          <cell r="E2945">
            <v>0</v>
          </cell>
        </row>
        <row r="2946">
          <cell r="A2946" t="str">
            <v>CAUCAIA</v>
          </cell>
          <cell r="C2946" t="str">
            <v>VILLE DE SINTRA</v>
          </cell>
          <cell r="D2946" t="str">
            <v>6A2B101B-695D-EE11-8ACD-80C16E075108</v>
          </cell>
          <cell r="E2946">
            <v>0</v>
          </cell>
        </row>
        <row r="2947">
          <cell r="A2947" t="str">
            <v>PARNAMIRIM</v>
          </cell>
          <cell r="C2947" t="str">
            <v>VILLE DOS PÁSSAROS</v>
          </cell>
          <cell r="D2947" t="str">
            <v>0FDD7A82-B477-ED11-9E0C-00505685534B</v>
          </cell>
          <cell r="E2947">
            <v>0</v>
          </cell>
        </row>
        <row r="2948">
          <cell r="A2948" t="str">
            <v>BELO HORIZONTE</v>
          </cell>
          <cell r="C2948" t="str">
            <v>VILLE VERDI</v>
          </cell>
          <cell r="D2948" t="str">
            <v>F24DE712-F5E9-DC11-ABD0-001B7845B4A6</v>
          </cell>
          <cell r="E2948">
            <v>33</v>
          </cell>
        </row>
        <row r="2949">
          <cell r="A2949" t="str">
            <v>MANAUS</v>
          </cell>
          <cell r="C2949" t="str">
            <v>VISTA ARUANÃ</v>
          </cell>
          <cell r="D2949" t="str">
            <v>9F748FDD-2B2C-F011-AB5A-80C16E075108</v>
          </cell>
          <cell r="E2949">
            <v>0</v>
          </cell>
        </row>
        <row r="2950">
          <cell r="A2950" t="str">
            <v>MANAUS</v>
          </cell>
          <cell r="C2950" t="str">
            <v>VISTA AURORA</v>
          </cell>
          <cell r="D2950" t="str">
            <v>564AAFC6-8AAD-EF11-B65C-009C02B0CB58</v>
          </cell>
          <cell r="E2950">
            <v>0</v>
          </cell>
        </row>
        <row r="2951">
          <cell r="A2951" t="str">
            <v>MANAUS</v>
          </cell>
          <cell r="C2951" t="str">
            <v>VISTA DAS ANDIROBAS</v>
          </cell>
          <cell r="D2951" t="str">
            <v>A2ED2322-7F62-E711-91B2-80C16E075108</v>
          </cell>
          <cell r="E2951">
            <v>0</v>
          </cell>
        </row>
        <row r="2952">
          <cell r="A2952" t="str">
            <v>MANAUS</v>
          </cell>
          <cell r="C2952" t="str">
            <v>VISTA DAS ARARAS</v>
          </cell>
          <cell r="D2952" t="str">
            <v>2A45DB40-3321-F011-AAAE-005056856875</v>
          </cell>
          <cell r="E2952">
            <v>0</v>
          </cell>
        </row>
        <row r="2953">
          <cell r="A2953" t="str">
            <v>MANAUS</v>
          </cell>
          <cell r="C2953" t="str">
            <v>VISTA DAS CASTANHEIRAS</v>
          </cell>
          <cell r="D2953" t="str">
            <v>9234DDAB-6C62-E711-91B2-80C16E075108</v>
          </cell>
          <cell r="E2953">
            <v>300</v>
          </cell>
        </row>
        <row r="2954">
          <cell r="A2954" t="str">
            <v>MANAUS</v>
          </cell>
          <cell r="C2954" t="str">
            <v>VISTA DAS COPAÍBAS</v>
          </cell>
          <cell r="D2954" t="str">
            <v>697B9E96-8B65-EB11-AA45-005056856875</v>
          </cell>
          <cell r="E2954">
            <v>300</v>
          </cell>
        </row>
        <row r="2955">
          <cell r="A2955" t="str">
            <v>MANAUS</v>
          </cell>
          <cell r="C2955" t="str">
            <v>VISTA DAS EMBAÚBAS</v>
          </cell>
          <cell r="D2955" t="str">
            <v>0C676CF1-7D62-E711-91B2-80C16E075108</v>
          </cell>
          <cell r="E2955">
            <v>256</v>
          </cell>
        </row>
        <row r="2956">
          <cell r="A2956" t="str">
            <v>MANAUS</v>
          </cell>
          <cell r="C2956" t="str">
            <v>VISTA DAS MANGUEIRAS</v>
          </cell>
          <cell r="D2956" t="str">
            <v>5C856269-8C65-EB11-AA45-005056856875</v>
          </cell>
          <cell r="E2956">
            <v>300</v>
          </cell>
        </row>
        <row r="2957">
          <cell r="A2957" t="str">
            <v>MANAUS</v>
          </cell>
          <cell r="C2957" t="str">
            <v>VISTA DAS PALMEIRAS</v>
          </cell>
          <cell r="D2957" t="str">
            <v>4D3EB3B0-7E62-E711-91B2-80C16E075108</v>
          </cell>
          <cell r="E2957">
            <v>192</v>
          </cell>
        </row>
        <row r="2958">
          <cell r="A2958" t="str">
            <v>SALVADOR</v>
          </cell>
          <cell r="C2958" t="str">
            <v>VISTA DO ATLÂNTICO</v>
          </cell>
          <cell r="D2958" t="str">
            <v>7718C8D1-F281-EF11-B65C-009C02B0CB58</v>
          </cell>
          <cell r="E2958">
            <v>0</v>
          </cell>
        </row>
        <row r="2959">
          <cell r="A2959" t="str">
            <v>MANAUS</v>
          </cell>
          <cell r="C2959" t="str">
            <v>VISTA DOS ARAÇÁS</v>
          </cell>
          <cell r="D2959" t="str">
            <v>7238373A-0368-E811-8D3F-80C16E075108</v>
          </cell>
          <cell r="E2959">
            <v>0</v>
          </cell>
        </row>
        <row r="2960">
          <cell r="A2960" t="str">
            <v>MANAUS</v>
          </cell>
          <cell r="C2960" t="str">
            <v>VISTA DOS BÁLSAMOS</v>
          </cell>
          <cell r="D2960" t="str">
            <v>4ECE0773-0768-E811-8D3F-80C16E075108</v>
          </cell>
          <cell r="E2960">
            <v>0</v>
          </cell>
        </row>
        <row r="2961">
          <cell r="A2961" t="str">
            <v>MANAUS</v>
          </cell>
          <cell r="C2961" t="str">
            <v>VISTA DOS IGAPÓS</v>
          </cell>
          <cell r="D2961" t="str">
            <v>87C7DE40-5163-E811-8D3F-80C16E075108</v>
          </cell>
          <cell r="E2961">
            <v>0</v>
          </cell>
        </row>
        <row r="2962">
          <cell r="A2962" t="str">
            <v>MANAUS</v>
          </cell>
          <cell r="C2962" t="str">
            <v>VISTA DOS IPÊS</v>
          </cell>
          <cell r="D2962" t="str">
            <v>29805E2A-6E62-E711-91B2-80C16E075108</v>
          </cell>
          <cell r="E2962">
            <v>220</v>
          </cell>
        </row>
        <row r="2963">
          <cell r="A2963" t="str">
            <v>MANAUS</v>
          </cell>
          <cell r="C2963" t="str">
            <v>VISTA DOS JATOBÁS</v>
          </cell>
          <cell r="D2963" t="str">
            <v>9CD212C1-6E62-E711-91B2-80C16E075108</v>
          </cell>
          <cell r="E2963">
            <v>420</v>
          </cell>
        </row>
        <row r="2964">
          <cell r="A2964" t="str">
            <v>MANAUS</v>
          </cell>
          <cell r="C2964" t="str">
            <v>VISTA DOS JUAZEIROS</v>
          </cell>
          <cell r="D2964" t="str">
            <v>A230D686-D665-E811-8D3F-80C16E075108</v>
          </cell>
          <cell r="E2964">
            <v>0</v>
          </cell>
        </row>
        <row r="2965">
          <cell r="A2965" t="str">
            <v>NATAL</v>
          </cell>
          <cell r="C2965" t="str">
            <v>VISTA MAR RESIDENCE</v>
          </cell>
          <cell r="D2965" t="str">
            <v>48FDE41C-7F37-EE11-9510-005056856875</v>
          </cell>
          <cell r="E2965">
            <v>0</v>
          </cell>
        </row>
        <row r="2966">
          <cell r="A2966" t="str">
            <v>GOIÂNIA</v>
          </cell>
          <cell r="C2966" t="str">
            <v>VISTA PARK</v>
          </cell>
          <cell r="D2966" t="str">
            <v>2822BB1A-6981-ED11-879A-80C16E075108</v>
          </cell>
          <cell r="E2966">
            <v>0</v>
          </cell>
        </row>
        <row r="2967">
          <cell r="A2967" t="str">
            <v>MANAUS</v>
          </cell>
          <cell r="C2967" t="str">
            <v>VISTA TARUMÃ</v>
          </cell>
          <cell r="D2967" t="str">
            <v>1E77A65B-E24D-F011-B65C-009C02B0CB58</v>
          </cell>
          <cell r="E2967">
            <v>0</v>
          </cell>
        </row>
        <row r="2968">
          <cell r="A2968" t="str">
            <v>MANAUS</v>
          </cell>
          <cell r="C2968" t="str">
            <v>VISTAS DAS AURORAS</v>
          </cell>
          <cell r="D2968" t="str">
            <v>2E66F68B-B187-E911-A3A8-0050568AA20F</v>
          </cell>
          <cell r="E2968">
            <v>0</v>
          </cell>
        </row>
        <row r="2969">
          <cell r="A2969" t="str">
            <v>FORTALEZA</v>
          </cell>
          <cell r="C2969" t="str">
            <v>VITALICE CONDOMÍNIO CLUBE</v>
          </cell>
          <cell r="D2969" t="str">
            <v>5BE4EAAE-244C-DD11-BC22-001B78B9D994</v>
          </cell>
          <cell r="E2969">
            <v>200</v>
          </cell>
        </row>
        <row r="2970">
          <cell r="A2970" t="str">
            <v>VITÓRIA DA CONQUISTA</v>
          </cell>
          <cell r="C2970" t="str">
            <v>VITÓRIA REAL</v>
          </cell>
          <cell r="D2970" t="str">
            <v>52D4A816-E863-E611-B1E9-009C02B0CB58</v>
          </cell>
          <cell r="E2970">
            <v>160</v>
          </cell>
        </row>
        <row r="2971">
          <cell r="A2971" t="str">
            <v>FRANCA</v>
          </cell>
          <cell r="C2971" t="str">
            <v>VITTA CLUB</v>
          </cell>
          <cell r="D2971" t="str">
            <v>BE4DC0E6-A7EB-DC11-A2F9-001B7845B4A6</v>
          </cell>
          <cell r="E2971">
            <v>160</v>
          </cell>
        </row>
        <row r="2972">
          <cell r="A2972" t="str">
            <v>BELO HORIZONTE</v>
          </cell>
          <cell r="C2972" t="str">
            <v>VITTA D'OR</v>
          </cell>
          <cell r="D2972" t="str">
            <v>BDAC12DE-C6DB-DC11-ABCF-001B7845B4A6</v>
          </cell>
          <cell r="E2972">
            <v>40</v>
          </cell>
        </row>
        <row r="2973">
          <cell r="A2973" t="str">
            <v>SERRA</v>
          </cell>
          <cell r="C2973" t="str">
            <v>VIVALDI</v>
          </cell>
          <cell r="D2973" t="str">
            <v>BEFBFEFC-3549-DD11-BC22-001B78B9D994</v>
          </cell>
          <cell r="E2973">
            <v>56</v>
          </cell>
        </row>
        <row r="2974">
          <cell r="A2974" t="str">
            <v>RIO DE JANEIRO</v>
          </cell>
          <cell r="C2974" t="str">
            <v>VIVENDA DAS OLIVEIRAS</v>
          </cell>
          <cell r="D2974" t="str">
            <v>E9D5D422-2C4C-DD11-BC22-001B78B9D994</v>
          </cell>
          <cell r="E2974">
            <v>249</v>
          </cell>
        </row>
        <row r="2975">
          <cell r="A2975" t="str">
            <v>RIO DE JANEIRO</v>
          </cell>
          <cell r="C2975" t="str">
            <v>VIVENDA DAS PALMEIRAS</v>
          </cell>
          <cell r="D2975" t="str">
            <v>E23F2C0F-314C-DD11-BC22-001B78B9D994</v>
          </cell>
          <cell r="E2975">
            <v>249</v>
          </cell>
        </row>
        <row r="2976">
          <cell r="A2976" t="str">
            <v>BRASÍLIA</v>
          </cell>
          <cell r="C2976" t="str">
            <v>VIVENDAS DO SOL</v>
          </cell>
          <cell r="D2976" t="str">
            <v>5408DD48-5C54-E811-8D3F-80C16E075108</v>
          </cell>
          <cell r="E2976">
            <v>328</v>
          </cell>
        </row>
        <row r="2977">
          <cell r="A2977" t="str">
            <v>BRASÍLIA</v>
          </cell>
          <cell r="C2977" t="str">
            <v>VIVENDAS DOS PÁSSAROS</v>
          </cell>
          <cell r="D2977" t="str">
            <v>DB0A5DA9-8557-E811-A558-009C02B0CB58</v>
          </cell>
          <cell r="E2977">
            <v>328</v>
          </cell>
        </row>
        <row r="2978">
          <cell r="A2978" t="str">
            <v>FORTALEZA</v>
          </cell>
          <cell r="C2978" t="str">
            <v>VIVERDE CONDOMÍNIO CLUBE</v>
          </cell>
          <cell r="D2978" t="str">
            <v>C5373294-EE0D-E011-B242-001F2909E810</v>
          </cell>
          <cell r="E2978">
            <v>300</v>
          </cell>
        </row>
        <row r="2979">
          <cell r="A2979" t="str">
            <v>SÃO LEOPOLDO</v>
          </cell>
          <cell r="C2979" t="str">
            <v>XIMANGO</v>
          </cell>
          <cell r="D2979" t="str">
            <v>9ABAB4F2-CFBF-EB11-94B3-005056856875</v>
          </cell>
          <cell r="E2979">
            <v>460</v>
          </cell>
        </row>
        <row r="2980">
          <cell r="A2980" t="str">
            <v>BELO HORIZONTE</v>
          </cell>
          <cell r="C2980" t="str">
            <v>XODO MARIZE EMP 01</v>
          </cell>
          <cell r="D2980" t="str">
            <v>2D744644-2D3A-EF11-9E4D-009C02B0CB58</v>
          </cell>
          <cell r="E2980">
            <v>0</v>
          </cell>
        </row>
        <row r="2981">
          <cell r="A2981" t="str">
            <v>BELO HORIZONTE</v>
          </cell>
          <cell r="C2981" t="str">
            <v>XODO MARIZE EMP 02</v>
          </cell>
          <cell r="D2981" t="str">
            <v>20E16C20-7A85-EF11-B65C-009C02B0CB58</v>
          </cell>
          <cell r="E2981">
            <v>0</v>
          </cell>
        </row>
        <row r="2982">
          <cell r="A2982" t="str">
            <v>ARAÇATUBA</v>
          </cell>
          <cell r="C2982" t="str">
            <v>YONEKAZO EMP 01</v>
          </cell>
          <cell r="D2982" t="str">
            <v>287A5C84-E490-ED11-9E0C-00505685534B</v>
          </cell>
          <cell r="E2982">
            <v>0</v>
          </cell>
        </row>
        <row r="2983">
          <cell r="A2983" t="str">
            <v>APARECIDA DE GOIÂNIA</v>
          </cell>
          <cell r="C2983" t="str">
            <v>ZONA DO IMPERADOR EMP 01</v>
          </cell>
          <cell r="D2983" t="str">
            <v>7BC67261-6B3D-F011-AB5A-80C16E075108</v>
          </cell>
          <cell r="E2983">
            <v>0</v>
          </cell>
        </row>
        <row r="2984">
          <cell r="A2984" t="str">
            <v>RECIFE</v>
          </cell>
          <cell r="C2984" t="str">
            <v>RESIDENCIAL GREEN VILLE</v>
          </cell>
          <cell r="D2984" t="str">
            <v>29382585-6513-e511-a3a7-80c16e075108</v>
          </cell>
          <cell r="E2984">
            <v>0</v>
          </cell>
        </row>
        <row r="2985">
          <cell r="A2985" t="str">
            <v>SALVADOR</v>
          </cell>
          <cell r="C2985" t="str">
            <v>BELA VISTA RESIDENCIAL</v>
          </cell>
          <cell r="D2985" t="str">
            <v>9150E180-FDB9-EE11-8ACD-80C16E075108</v>
          </cell>
          <cell r="E2985">
            <v>288</v>
          </cell>
        </row>
        <row r="2986">
          <cell r="A2986" t="str">
            <v>LAURO DE FREITAS</v>
          </cell>
          <cell r="C2986" t="str">
            <v>BRISA RIVIERA</v>
          </cell>
          <cell r="D2986" t="str">
            <v>65A898F2-79B9-EB11-94B3-005056856875</v>
          </cell>
          <cell r="E2986">
            <v>320</v>
          </cell>
        </row>
        <row r="2987">
          <cell r="A2987" t="str">
            <v>SÃO JOSÉ DOS CAMPOS</v>
          </cell>
          <cell r="C2987" t="str">
            <v>CAMINHOS DA FLORESTA</v>
          </cell>
          <cell r="D2987" t="str">
            <v>AA4ACC9F-88CE-DC11-9ED6-001B7845B4A6</v>
          </cell>
          <cell r="E2987">
            <v>288</v>
          </cell>
        </row>
        <row r="2988">
          <cell r="A2988" t="str">
            <v>SÃO JOSÉ DOS CAMPOS</v>
          </cell>
          <cell r="C2988" t="str">
            <v>CAMINHOS DA MANTIQUEIRA</v>
          </cell>
          <cell r="D2988" t="str">
            <v>8E56EA89-B66A-E911-90BB-80C16E075108</v>
          </cell>
          <cell r="E2988">
            <v>264</v>
          </cell>
        </row>
        <row r="2989">
          <cell r="A2989" t="str">
            <v>SÃO JOSÉ DOS CAMPOS</v>
          </cell>
          <cell r="C2989" t="str">
            <v>CAMINHOS DA SERRA</v>
          </cell>
          <cell r="D2989" t="str">
            <v>600B2D28-A76A-E911-90BB-80C16E075108</v>
          </cell>
          <cell r="E2989">
            <v>288</v>
          </cell>
        </row>
        <row r="2990">
          <cell r="A2990" t="str">
            <v>SÃO JOSÉ DOS CAMPOS</v>
          </cell>
          <cell r="C2990" t="str">
            <v>CAMPO DAS VIDEIRAS</v>
          </cell>
          <cell r="D2990" t="str">
            <v>1B171C23-05C4-ED11-98D9-009C02B0CB58</v>
          </cell>
          <cell r="E2990">
            <v>299</v>
          </cell>
        </row>
        <row r="2991">
          <cell r="A2991" t="str">
            <v>CUIABÁ</v>
          </cell>
          <cell r="C2991" t="str">
            <v>CHAPADA DAS MELISSAS</v>
          </cell>
          <cell r="D2991" t="str">
            <v>D0A2804F-8C52-F011-8E0C-80C16E075108</v>
          </cell>
          <cell r="E2991">
            <v>0</v>
          </cell>
        </row>
        <row r="2992">
          <cell r="A2992" t="str">
            <v>SALVADOR</v>
          </cell>
          <cell r="C2992" t="str">
            <v>PARQUE DOS MONARCAS</v>
          </cell>
          <cell r="D2992" t="str">
            <v>FB781D1A-660C-E611-A5BB-009C02B0CB58</v>
          </cell>
          <cell r="E2992">
            <v>380</v>
          </cell>
        </row>
        <row r="2993">
          <cell r="A2993" t="str">
            <v>SALVADOR</v>
          </cell>
          <cell r="C2993" t="str">
            <v>RESIDENCIAL GOLF LAGUNA</v>
          </cell>
          <cell r="D2993" t="str">
            <v>50E42ECB-CBB3-EE11-8ACD-80C16E075108</v>
          </cell>
          <cell r="E2993">
            <v>0</v>
          </cell>
        </row>
        <row r="2994">
          <cell r="A2994" t="str">
            <v>SALVADOR</v>
          </cell>
          <cell r="C2994" t="str">
            <v>RESIDENCIAL GOLF TERRAVISTA</v>
          </cell>
          <cell r="D2994" t="str">
            <v>63AAB077-CCB3-EE11-8ACD-80C16E075108</v>
          </cell>
          <cell r="E2994">
            <v>0</v>
          </cell>
        </row>
        <row r="2995">
          <cell r="A2995" t="str">
            <v>LONDRINA</v>
          </cell>
          <cell r="C2995" t="str">
            <v>RESIDENCIAL LA SIERRA</v>
          </cell>
          <cell r="D2995" t="str">
            <v>D83E5F33-6CC7-EE11-A95E-005056856875</v>
          </cell>
          <cell r="E2995">
            <v>0</v>
          </cell>
        </row>
        <row r="2996">
          <cell r="A2996" t="str">
            <v>RIO DE JANEIRO</v>
          </cell>
          <cell r="C2996" t="str">
            <v>RESIDENCIAL SOLAR DAS OLARIAS</v>
          </cell>
          <cell r="D2996" t="str">
            <v>C2B17D20-8597-EF11-B65C-009C02B0CB58</v>
          </cell>
          <cell r="E2996">
            <v>0</v>
          </cell>
        </row>
        <row r="2997">
          <cell r="A2997" t="str">
            <v>SALVADOR</v>
          </cell>
          <cell r="C2997" t="str">
            <v>RESIDENCIAL VENTURA</v>
          </cell>
          <cell r="D2997" t="str">
            <v>FBA5E5D2-DAF3-EF11-B65C-009C02B0CB58</v>
          </cell>
          <cell r="E2997">
            <v>0</v>
          </cell>
        </row>
        <row r="2998">
          <cell r="A2998" t="str">
            <v>CAMPINAS</v>
          </cell>
          <cell r="C2998" t="str">
            <v>VEM VIVER BRISAS</v>
          </cell>
          <cell r="D2998" t="str">
            <v>6FC81AB8-294C-EE11-8ACD-80C16E075108</v>
          </cell>
          <cell r="E2998">
            <v>0</v>
          </cell>
        </row>
        <row r="2999">
          <cell r="A2999" t="str">
            <v>CAMPINAS</v>
          </cell>
          <cell r="C2999" t="str">
            <v>VEM VIVER SOLARE</v>
          </cell>
          <cell r="D2999" t="str">
            <v>351D1059-284C-EE11-8ACD-80C16E075108</v>
          </cell>
          <cell r="E2999">
            <v>0</v>
          </cell>
        </row>
        <row r="3000">
          <cell r="A3000" t="str">
            <v>SÃO LUÍS</v>
          </cell>
          <cell r="C3000" t="str">
            <v>ARDIDA EMP 01</v>
          </cell>
          <cell r="D3000" t="str">
            <v>3225718B-7F7F-F011-BA7E-009C02B0CB58</v>
          </cell>
          <cell r="E3000">
            <v>0</v>
          </cell>
        </row>
        <row r="3001">
          <cell r="A3001" t="str">
            <v>SÃO LUÍS</v>
          </cell>
          <cell r="C3001" t="str">
            <v>ARDIDA EMP 02</v>
          </cell>
          <cell r="D3001" t="str">
            <v>A852462E-4995-F011-9D63-80C16E075108</v>
          </cell>
          <cell r="E3001">
            <v>0</v>
          </cell>
        </row>
        <row r="3002">
          <cell r="A3002" t="str">
            <v>BAURU</v>
          </cell>
          <cell r="C3002" t="str">
            <v>AREA CABELUDO EMP 02</v>
          </cell>
          <cell r="D3002" t="str">
            <v>9A8714D7-5484-F011-BA7E-009C02B0CB58</v>
          </cell>
          <cell r="E3002">
            <v>0</v>
          </cell>
        </row>
        <row r="3003">
          <cell r="A3003" t="str">
            <v>GOIÂNIA</v>
          </cell>
          <cell r="C3003" t="str">
            <v>ATRIUM EMP 01</v>
          </cell>
          <cell r="D3003" t="str">
            <v>D97CAEB6-0C6E-F011-A9C1-009C02B0CB58</v>
          </cell>
          <cell r="E3003">
            <v>0</v>
          </cell>
        </row>
        <row r="3004">
          <cell r="A3004" t="str">
            <v>FORTALEZA</v>
          </cell>
          <cell r="C3004" t="str">
            <v>MONTE CARLO RESIDENCE</v>
          </cell>
          <cell r="D3004" t="str">
            <v>BC34FD44-ED88-F011-A087-005056856875</v>
          </cell>
          <cell r="E3004">
            <v>0</v>
          </cell>
        </row>
        <row r="3005">
          <cell r="A3005" t="str">
            <v>LIMEIRA</v>
          </cell>
          <cell r="C3005" t="str">
            <v>BANG BANG EMP 02</v>
          </cell>
          <cell r="D3005" t="str">
            <v>C50675BA-896C-F011-B580-005056856875</v>
          </cell>
          <cell r="E3005">
            <v>0</v>
          </cell>
        </row>
        <row r="3006">
          <cell r="A3006" t="str">
            <v>MARÍLIA</v>
          </cell>
          <cell r="C3006" t="str">
            <v>BENCJON EMP 01</v>
          </cell>
          <cell r="D3006" t="str">
            <v>C830F12B-E1C3-F011-981A-009C02B0CB58</v>
          </cell>
          <cell r="E3006">
            <v>0</v>
          </cell>
        </row>
        <row r="3007">
          <cell r="A3007" t="str">
            <v>SÃO LUÍS</v>
          </cell>
          <cell r="C3007" t="str">
            <v>ILHA DOS COLIBRIS</v>
          </cell>
          <cell r="D3007" t="str">
            <v>3AD46741-BF9F-F011-9D63-80C16E075108</v>
          </cell>
          <cell r="E3007">
            <v>336</v>
          </cell>
        </row>
        <row r="3008">
          <cell r="A3008" t="str">
            <v>CUIABÁ</v>
          </cell>
          <cell r="C3008" t="str">
            <v>CHAPADA ARAÇÁ</v>
          </cell>
          <cell r="D3008" t="str">
            <v>EA460E40-CA72-F011-A9C1-009C02B0CB58</v>
          </cell>
          <cell r="E3008">
            <v>0</v>
          </cell>
        </row>
        <row r="3009">
          <cell r="A3009" t="str">
            <v>CUIABÁ</v>
          </cell>
          <cell r="C3009" t="str">
            <v>CHAPADA DOS CEDROS</v>
          </cell>
          <cell r="D3009" t="str">
            <v>038706DA-84B9-F011-8DF6-80C16E075108</v>
          </cell>
          <cell r="E3009">
            <v>0</v>
          </cell>
        </row>
        <row r="3010">
          <cell r="A3010" t="str">
            <v>CUIABÁ</v>
          </cell>
          <cell r="C3010" t="str">
            <v>CHAPADA TARUMÃ</v>
          </cell>
          <cell r="D3010" t="str">
            <v>3250926A-DF9E-F011-9D63-80C16E075108</v>
          </cell>
          <cell r="E3010">
            <v>0</v>
          </cell>
        </row>
        <row r="3011">
          <cell r="A3011" t="str">
            <v>RIO DE JANEIRO</v>
          </cell>
          <cell r="C3011" t="str">
            <v>CIA TERRITORIAL EMP 01</v>
          </cell>
          <cell r="D3011" t="str">
            <v>2FA38887-56B3-F011-8DF6-80C16E075108</v>
          </cell>
          <cell r="E3011">
            <v>0</v>
          </cell>
        </row>
        <row r="3012">
          <cell r="A3012" t="str">
            <v>JUNDIAÍ</v>
          </cell>
          <cell r="C3012" t="str">
            <v>CLEMENTE ROSA EMP 01</v>
          </cell>
          <cell r="D3012" t="str">
            <v>C9BCFC06-888D-F011-9D63-80C16E075108</v>
          </cell>
          <cell r="E3012">
            <v>0</v>
          </cell>
        </row>
        <row r="3013">
          <cell r="A3013" t="str">
            <v>CONTAGEM</v>
          </cell>
          <cell r="C3013" t="str">
            <v>CONTEMP SHOPPING EMP 01</v>
          </cell>
          <cell r="D3013" t="str">
            <v>C66FC826-ED81-F011-BA7E-009C02B0CB58</v>
          </cell>
          <cell r="E3013">
            <v>0</v>
          </cell>
        </row>
        <row r="3014">
          <cell r="A3014" t="str">
            <v>CAMPINAS</v>
          </cell>
          <cell r="C3014" t="str">
            <v>CORES DO HORIZONTE 2</v>
          </cell>
          <cell r="D3014" t="str">
            <v>F46698DD-01BC-F011-8DF6-80C16E075108</v>
          </cell>
          <cell r="E3014">
            <v>0</v>
          </cell>
        </row>
        <row r="3015">
          <cell r="A3015" t="str">
            <v>SÃO PAULO</v>
          </cell>
          <cell r="C3015" t="str">
            <v>CORUS EMP 01</v>
          </cell>
          <cell r="D3015" t="str">
            <v>6243633E-BDB5-F011-8DF6-80C16E075108</v>
          </cell>
          <cell r="E3015">
            <v>0</v>
          </cell>
        </row>
        <row r="3016">
          <cell r="A3016" t="str">
            <v>SÃO PAULO</v>
          </cell>
          <cell r="C3016" t="str">
            <v>DUDU EMP 01</v>
          </cell>
          <cell r="D3016" t="str">
            <v>73D1D4CA-987E-F011-BA7E-009C02B0CB58</v>
          </cell>
          <cell r="E3016">
            <v>0</v>
          </cell>
        </row>
        <row r="3017">
          <cell r="A3017" t="str">
            <v>RIO DE JANEIRO</v>
          </cell>
          <cell r="C3017" t="str">
            <v>EDITORA UNIVERSAL EMP 02</v>
          </cell>
          <cell r="D3017" t="str">
            <v>7D8D0F2C-736D-F011-8E0C-80C16E075108</v>
          </cell>
          <cell r="E3017">
            <v>0</v>
          </cell>
        </row>
        <row r="3018">
          <cell r="A3018" t="str">
            <v>JACAREÍ</v>
          </cell>
          <cell r="C3018" t="str">
            <v>EDUCAMAIS EMP 01</v>
          </cell>
          <cell r="D3018" t="str">
            <v>F7F283B7-D6B8-F011-8DF6-80C16E075108</v>
          </cell>
          <cell r="E3018">
            <v>0</v>
          </cell>
        </row>
        <row r="3019">
          <cell r="A3019" t="str">
            <v>JOINVILLE</v>
          </cell>
          <cell r="C3019" t="str">
            <v>EIXO SUL EMP 01</v>
          </cell>
          <cell r="D3019" t="str">
            <v>0B44E0E4-7883-F011-9E52-005056856875</v>
          </cell>
          <cell r="E3019">
            <v>0</v>
          </cell>
        </row>
        <row r="3020">
          <cell r="A3020" t="str">
            <v>JOÃO PESSOA</v>
          </cell>
          <cell r="C3020" t="str">
            <v>EPITÁCIO PESSOA EMP 01</v>
          </cell>
          <cell r="D3020" t="str">
            <v>1FB4C648-2CBF-F011-8DF6-80C16E075108</v>
          </cell>
          <cell r="E3020">
            <v>0</v>
          </cell>
        </row>
        <row r="3021">
          <cell r="A3021" t="str">
            <v>SÃO PAULO</v>
          </cell>
          <cell r="C3021" t="str">
            <v>GRAN VISTA ITAQUERA</v>
          </cell>
          <cell r="D3021" t="str">
            <v>C4BDEBF1-EC24-EF11-9143-80C16E075108</v>
          </cell>
          <cell r="E3021">
            <v>1064</v>
          </cell>
        </row>
        <row r="3022">
          <cell r="A3022" t="str">
            <v>GOIÂNIA</v>
          </cell>
          <cell r="C3022" t="str">
            <v>GRANDE RETIRO EMP 01</v>
          </cell>
          <cell r="D3022" t="str">
            <v>16E55128-E59A-F011-BA7E-009C02B0CB58</v>
          </cell>
          <cell r="E3022">
            <v>0</v>
          </cell>
        </row>
        <row r="3023">
          <cell r="A3023" t="str">
            <v>PORTO ALEGRE</v>
          </cell>
          <cell r="C3023" t="str">
            <v>HUMAITÁ I EMP 03</v>
          </cell>
          <cell r="D3023" t="str">
            <v>7D800F0A-D8B0-F011-8DF6-80C16E075108</v>
          </cell>
          <cell r="E3023">
            <v>0</v>
          </cell>
        </row>
        <row r="3024">
          <cell r="A3024" t="str">
            <v>RECIFE</v>
          </cell>
          <cell r="C3024" t="str">
            <v>IMBIRIBAGEM EMP 01</v>
          </cell>
          <cell r="D3024" t="str">
            <v>EDDA955B-DFC3-F011-981A-009C02B0CB58</v>
          </cell>
          <cell r="E3024">
            <v>0</v>
          </cell>
        </row>
        <row r="3025">
          <cell r="A3025" t="str">
            <v>APARECIDA DE GOIÂNIA</v>
          </cell>
          <cell r="C3025" t="str">
            <v>INFINITO EMP 01</v>
          </cell>
          <cell r="D3025" t="str">
            <v>E5D51C82-0B6E-F011-A9C1-009C02B0CB58</v>
          </cell>
          <cell r="E3025">
            <v>0</v>
          </cell>
        </row>
        <row r="3026">
          <cell r="A3026" t="str">
            <v>BELO HORIZONTE</v>
          </cell>
          <cell r="C3026" t="str">
            <v>LAMAR BETÂNIA EMP 01</v>
          </cell>
          <cell r="D3026" t="str">
            <v>7A00BD2B-7F74-F011-8E0C-80C16E075108</v>
          </cell>
          <cell r="E3026">
            <v>0</v>
          </cell>
        </row>
        <row r="3027">
          <cell r="A3027" t="str">
            <v>JUNDIAÍ</v>
          </cell>
          <cell r="C3027" t="str">
            <v>LINHÃO DE BALLES EMP 01</v>
          </cell>
          <cell r="D3027" t="str">
            <v>098BA3CC-086E-F011-A9C1-009C02B0CB58</v>
          </cell>
          <cell r="E3027">
            <v>0</v>
          </cell>
        </row>
        <row r="3028">
          <cell r="A3028" t="str">
            <v>JUNDIAÍ</v>
          </cell>
          <cell r="C3028" t="str">
            <v>LUNE EMP 01</v>
          </cell>
          <cell r="D3028" t="str">
            <v>936B45CB-1A9E-F011-9D63-80C16E075108</v>
          </cell>
          <cell r="E3028">
            <v>0</v>
          </cell>
        </row>
        <row r="3029">
          <cell r="A3029" t="str">
            <v>RIO DE JANEIRO</v>
          </cell>
          <cell r="C3029" t="str">
            <v>MACEMBU EMP 01</v>
          </cell>
          <cell r="D3029" t="str">
            <v>4B636172-0E93-F011-9D63-80C16E075108</v>
          </cell>
          <cell r="E3029">
            <v>0</v>
          </cell>
        </row>
        <row r="3030">
          <cell r="A3030" t="str">
            <v>SÃO LEOPOLDO</v>
          </cell>
          <cell r="C3030" t="str">
            <v>MANDARIM EMP 01</v>
          </cell>
          <cell r="D3030" t="str">
            <v>0C0BD848-26BF-F011-8DF6-80C16E075108</v>
          </cell>
          <cell r="E3030">
            <v>0</v>
          </cell>
        </row>
        <row r="3031">
          <cell r="A3031" t="str">
            <v>PORTO ALEGRE</v>
          </cell>
          <cell r="C3031" t="str">
            <v>MERCADÃO EMP 01</v>
          </cell>
          <cell r="D3031" t="str">
            <v>3F1C77D3-A0AE-F011-8DF6-80C16E075108</v>
          </cell>
          <cell r="E3031">
            <v>0</v>
          </cell>
        </row>
        <row r="3032">
          <cell r="A3032" t="str">
            <v>PORTO ALEGRE</v>
          </cell>
          <cell r="C3032" t="str">
            <v>MERCADÃO EMP 02</v>
          </cell>
          <cell r="D3032" t="str">
            <v>D2E05B40-7BB6-F011-981A-009C02B0CB58</v>
          </cell>
          <cell r="E3032">
            <v>0</v>
          </cell>
        </row>
        <row r="3033">
          <cell r="A3033" t="str">
            <v>MACEIÓ</v>
          </cell>
          <cell r="C3033" t="str">
            <v>MONUMENTAL II EMP 01</v>
          </cell>
          <cell r="D3033" t="str">
            <v>7A67FB7A-9CAE-F011-8DF6-80C16E075108</v>
          </cell>
          <cell r="E3033">
            <v>0</v>
          </cell>
        </row>
        <row r="3034">
          <cell r="A3034" t="str">
            <v>JOINVILLE</v>
          </cell>
          <cell r="C3034" t="str">
            <v>NICOCHICO EMP 01</v>
          </cell>
          <cell r="D3034" t="str">
            <v>01C670BE-E6BB-F011-8DF6-80C16E075108</v>
          </cell>
          <cell r="E3034">
            <v>0</v>
          </cell>
        </row>
        <row r="3035">
          <cell r="A3035" t="str">
            <v>ITAQUAQUECETUBA</v>
          </cell>
          <cell r="C3035" t="str">
            <v>OZE EMP 01</v>
          </cell>
          <cell r="D3035" t="str">
            <v>F39791A4-C4B8-F011-8DF6-80C16E075108</v>
          </cell>
          <cell r="E3035">
            <v>0</v>
          </cell>
        </row>
        <row r="3036">
          <cell r="A3036" t="str">
            <v>PIRACICABA</v>
          </cell>
          <cell r="C3036" t="str">
            <v>PALAZZO DI SPAGNA</v>
          </cell>
          <cell r="D3036" t="str">
            <v>7CB040FE-16CC-DC11-9ED6-001B7845B4A6</v>
          </cell>
          <cell r="E3036">
            <v>736</v>
          </cell>
        </row>
        <row r="3037">
          <cell r="A3037" t="str">
            <v>PALMAS</v>
          </cell>
          <cell r="C3037" t="str">
            <v>PALMEIRA DAS ÁGUAS</v>
          </cell>
          <cell r="D3037" t="str">
            <v>2CB452D8-9DC0-F011-B77E-005056856875</v>
          </cell>
          <cell r="E3037">
            <v>0</v>
          </cell>
        </row>
        <row r="3038">
          <cell r="A3038" t="str">
            <v>PALMAS</v>
          </cell>
          <cell r="C3038" t="str">
            <v>PALMEIRA DO LAGO</v>
          </cell>
          <cell r="D3038" t="str">
            <v>F590E024-FD84-F011-9E52-005056856875</v>
          </cell>
          <cell r="E3038">
            <v>0</v>
          </cell>
        </row>
        <row r="3039">
          <cell r="A3039" t="str">
            <v>SÃO LUÍS</v>
          </cell>
          <cell r="C3039" t="str">
            <v>PARQUE DUNAS DO MAR</v>
          </cell>
          <cell r="D3039" t="str">
            <v>12B578FD-DB53-E411-B03C-80C16E075108</v>
          </cell>
          <cell r="E3039">
            <v>336</v>
          </cell>
        </row>
        <row r="3040">
          <cell r="A3040" t="str">
            <v>PAÇO DO LUMIAR</v>
          </cell>
          <cell r="C3040" t="str">
            <v>PARQUE FAROL EMP 01</v>
          </cell>
          <cell r="D3040" t="str">
            <v>69E7ACBD-9B89-F011-A087-005056856875</v>
          </cell>
          <cell r="E3040">
            <v>0</v>
          </cell>
        </row>
        <row r="3041">
          <cell r="A3041" t="str">
            <v>RECIFE</v>
          </cell>
          <cell r="C3041" t="str">
            <v>PEQUENO PRÍNCIPE EMP 01</v>
          </cell>
          <cell r="D3041" t="str">
            <v>C01C3116-389A-F011-A087-005056856875</v>
          </cell>
          <cell r="E3041">
            <v>0</v>
          </cell>
        </row>
        <row r="3042">
          <cell r="A3042" t="str">
            <v>CURITIBA</v>
          </cell>
          <cell r="C3042" t="str">
            <v>PERFIPAR EMP 01</v>
          </cell>
          <cell r="D3042" t="str">
            <v>DDC4A344-DCB8-F011-8DF6-80C16E075108</v>
          </cell>
          <cell r="E3042">
            <v>0</v>
          </cell>
        </row>
        <row r="3043">
          <cell r="A3043" t="str">
            <v>SÃO PAULO</v>
          </cell>
          <cell r="C3043" t="str">
            <v>PESQUEIRO EMP 01</v>
          </cell>
          <cell r="D3043" t="str">
            <v>05D79F6C-076E-F011-A9C1-009C02B0CB58</v>
          </cell>
          <cell r="E3043">
            <v>0</v>
          </cell>
        </row>
        <row r="3044">
          <cell r="A3044" t="str">
            <v>SÃO LUÍS</v>
          </cell>
          <cell r="C3044" t="str">
            <v>PIMENTINHA EMP 01</v>
          </cell>
          <cell r="D3044" t="str">
            <v>E9B7F46E-817F-F011-BA7E-009C02B0CB58</v>
          </cell>
          <cell r="E3044">
            <v>0</v>
          </cell>
        </row>
        <row r="3045">
          <cell r="A3045" t="str">
            <v>JOINVILLE</v>
          </cell>
          <cell r="C3045" t="str">
            <v>RESIDENCIAL JARDIM DI VERONA</v>
          </cell>
          <cell r="D3045" t="str">
            <v>B7F0B70C-F76E-F011-8E0C-80C16E075108</v>
          </cell>
          <cell r="E3045">
            <v>400</v>
          </cell>
        </row>
        <row r="3046">
          <cell r="A3046" t="str">
            <v>SÃO JOSÉ DO RIO PRETO</v>
          </cell>
          <cell r="C3046" t="str">
            <v>PRETTE EMP 01</v>
          </cell>
          <cell r="D3046" t="str">
            <v>F96EAB8A-6DBA-F011-B77E-005056856875</v>
          </cell>
          <cell r="E3046">
            <v>0</v>
          </cell>
        </row>
        <row r="3047">
          <cell r="A3047" t="str">
            <v>JUNDIAÍ</v>
          </cell>
          <cell r="C3047" t="str">
            <v>RAFAEZA EMP 01</v>
          </cell>
          <cell r="D3047" t="str">
            <v>666D8C0B-BD9F-F011-9D63-80C16E075108</v>
          </cell>
          <cell r="E3047">
            <v>0</v>
          </cell>
        </row>
        <row r="3048">
          <cell r="A3048" t="str">
            <v>JOINVILLE</v>
          </cell>
          <cell r="C3048" t="str">
            <v>RESIDENCIAL JARDIM CATARINA</v>
          </cell>
          <cell r="D3048" t="str">
            <v>5F0BD90A-72CD-EC11-B1AD-005056856875</v>
          </cell>
          <cell r="E3048">
            <v>280</v>
          </cell>
        </row>
        <row r="3049">
          <cell r="A3049" t="str">
            <v>JABOATÃO DOS GUARARAPES</v>
          </cell>
          <cell r="C3049" t="str">
            <v>ROSA DE SARON EMP 01</v>
          </cell>
          <cell r="D3049" t="str">
            <v>3A62DD14-CC72-F011-A9C1-009C02B0CB58</v>
          </cell>
          <cell r="E3049">
            <v>0</v>
          </cell>
        </row>
        <row r="3050">
          <cell r="A3050" t="str">
            <v>SÃO PAULO</v>
          </cell>
          <cell r="C3050" t="str">
            <v>SAINT GUILHERME</v>
          </cell>
          <cell r="D3050" t="str">
            <v>F00CDF61-1B7F-EE11-8E2D-009C02B0CB58</v>
          </cell>
          <cell r="E3050">
            <v>408</v>
          </cell>
        </row>
        <row r="3051">
          <cell r="A3051" t="str">
            <v>RIBEIRÃO PRETO</v>
          </cell>
          <cell r="C3051" t="str">
            <v>SÃO SEBASTIÃO EMP 01</v>
          </cell>
          <cell r="D3051" t="str">
            <v>49B8C43A-3A9A-F011-A087-005056856875</v>
          </cell>
          <cell r="E3051">
            <v>0</v>
          </cell>
        </row>
        <row r="3052">
          <cell r="A3052" t="str">
            <v>SÃO PAULO</v>
          </cell>
          <cell r="C3052" t="str">
            <v>SETE SÓIS (ÁREA COMERCIAL LOTES 02 + G) 12.521,05M</v>
          </cell>
          <cell r="D3052" t="str">
            <v>24F47978-7477-F011-B1D4-005056856875</v>
          </cell>
          <cell r="E3052">
            <v>0</v>
          </cell>
        </row>
        <row r="3053">
          <cell r="A3053" t="str">
            <v>SÃO PAULO</v>
          </cell>
          <cell r="C3053" t="str">
            <v>SUNGLASSES EMP 01</v>
          </cell>
          <cell r="D3053" t="str">
            <v>D734DF53-F96E-F011-B580-005056856875</v>
          </cell>
          <cell r="E3053">
            <v>0</v>
          </cell>
        </row>
        <row r="3054">
          <cell r="A3054" t="str">
            <v>PAULISTA</v>
          </cell>
          <cell r="C3054" t="str">
            <v>SUSPIRO EMP 01</v>
          </cell>
          <cell r="D3054" t="str">
            <v>2F155840-7B83-F011-9E52-005056856875</v>
          </cell>
          <cell r="E3054">
            <v>0</v>
          </cell>
        </row>
        <row r="3055">
          <cell r="A3055" t="str">
            <v>JUNDIAÍ</v>
          </cell>
          <cell r="C3055" t="str">
            <v>TERRA UVA EMP 01</v>
          </cell>
          <cell r="D3055" t="str">
            <v>0F0F8B15-DEB8-F011-8DF6-80C16E075108</v>
          </cell>
          <cell r="E3055">
            <v>0</v>
          </cell>
        </row>
        <row r="3056">
          <cell r="A3056" t="str">
            <v>SALVADOR</v>
          </cell>
          <cell r="C3056" t="str">
            <v>TERRAZO IMPERIALLE</v>
          </cell>
          <cell r="D3056" t="str">
            <v>E62EB985-A97A-EF11-B65C-009C02B0CB58</v>
          </cell>
          <cell r="E3056">
            <v>0</v>
          </cell>
        </row>
        <row r="3057">
          <cell r="A3057" t="str">
            <v>BELO HORIZONTE</v>
          </cell>
          <cell r="C3057" t="str">
            <v>TESTE TERRENOS RENNE EMP 01</v>
          </cell>
          <cell r="D3057" t="str">
            <v>8C95CE21-77C5-F011-981A-009C02B0CB58</v>
          </cell>
          <cell r="E3057">
            <v>0</v>
          </cell>
        </row>
        <row r="3058">
          <cell r="A3058" t="str">
            <v>BELO HORIZONTE</v>
          </cell>
          <cell r="C3058" t="str">
            <v>TESTE TERRENOS RENNE EMP 02</v>
          </cell>
          <cell r="D3058" t="str">
            <v>CD70CBBA-77C5-F011-981A-009C02B0CB58</v>
          </cell>
          <cell r="E3058">
            <v>0</v>
          </cell>
        </row>
        <row r="3059">
          <cell r="A3059" t="str">
            <v>PORTO ALEGRE</v>
          </cell>
          <cell r="C3059" t="str">
            <v>USIMINAS EMP 05</v>
          </cell>
          <cell r="D3059" t="str">
            <v>142620E2-2F92-F011-9D63-80C16E075108</v>
          </cell>
          <cell r="E3059">
            <v>0</v>
          </cell>
        </row>
        <row r="3060">
          <cell r="A3060" t="str">
            <v>SÃO PAULO</v>
          </cell>
          <cell r="C3060" t="str">
            <v>VAI LARA EMP 01</v>
          </cell>
          <cell r="D3060" t="str">
            <v>79BC4EF3-0485-F011-9E52-005056856875</v>
          </cell>
          <cell r="E3060">
            <v>0</v>
          </cell>
        </row>
        <row r="3061">
          <cell r="A3061" t="str">
            <v>SÃO PAULO</v>
          </cell>
          <cell r="C3061" t="str">
            <v>VERDEJE EMP 01</v>
          </cell>
          <cell r="D3061" t="str">
            <v>EE6BC37C-189E-F011-9D63-80C16E075108</v>
          </cell>
          <cell r="E3061">
            <v>0</v>
          </cell>
        </row>
        <row r="3062">
          <cell r="A3062" t="str">
            <v>APARECIDA DE GOIÂNIA</v>
          </cell>
          <cell r="C3062" t="str">
            <v>VEREDAS EMP 01</v>
          </cell>
          <cell r="D3062" t="str">
            <v>85A3F2C4-4E95-F011-9D63-80C16E075108</v>
          </cell>
          <cell r="E3062">
            <v>0</v>
          </cell>
        </row>
        <row r="3063">
          <cell r="A3063" t="str">
            <v>BELO HORIZONTE</v>
          </cell>
          <cell r="C3063" t="str">
            <v>VIDA DE INSETO EMP 01</v>
          </cell>
          <cell r="D3063" t="str">
            <v>64D74DFE-EA81-F011-BA7E-009C02B0CB58</v>
          </cell>
          <cell r="E3063">
            <v>0</v>
          </cell>
        </row>
        <row r="3064">
          <cell r="A3064" t="str">
            <v>CAMAÇARI</v>
          </cell>
          <cell r="C3064" t="str">
            <v>VILA DAS MANGUEIRAS</v>
          </cell>
          <cell r="D3064" t="str">
            <v>428189CC-5E8A-F011-A087-005056856875</v>
          </cell>
          <cell r="E3064">
            <v>0</v>
          </cell>
        </row>
        <row r="3065">
          <cell r="A3065" t="str">
            <v>CAMAÇARI</v>
          </cell>
          <cell r="C3065" t="str">
            <v>VILA DO SALGUEIRO</v>
          </cell>
          <cell r="D3065" t="str">
            <v>0C31ED23-0A6E-F011-A9C1-009C02B0CB58</v>
          </cell>
          <cell r="E3065">
            <v>0</v>
          </cell>
        </row>
        <row r="3066">
          <cell r="A3066" t="str">
            <v>CAMAÇARI</v>
          </cell>
          <cell r="C3066" t="str">
            <v>VILA DOS IPÊS</v>
          </cell>
          <cell r="D3066" t="str">
            <v>12C9525E-5E8A-F011-A087-005056856875</v>
          </cell>
          <cell r="E3066">
            <v>0</v>
          </cell>
        </row>
        <row r="3067">
          <cell r="A3067" t="str">
            <v>JABOATÃO DOS GUARARAPES</v>
          </cell>
          <cell r="C3067" t="str">
            <v>VILLA GARDEN</v>
          </cell>
          <cell r="D3067" t="str">
            <v>532944EA-FC91-EF11-B65C-009C02B0CB58</v>
          </cell>
          <cell r="E3067">
            <v>0</v>
          </cell>
        </row>
        <row r="3068">
          <cell r="A3068" t="str">
            <v>MANAUS</v>
          </cell>
          <cell r="C3068" t="str">
            <v>VISTA DA MATA</v>
          </cell>
          <cell r="D3068" t="str">
            <v>5F74164D-0385-F011-9E52-005056856875</v>
          </cell>
          <cell r="E3068">
            <v>0</v>
          </cell>
        </row>
        <row r="3069">
          <cell r="A3069" t="str">
            <v>MANAUS</v>
          </cell>
          <cell r="C3069" t="str">
            <v>VISTA DAS ÁGUIAS</v>
          </cell>
          <cell r="D3069" t="str">
            <v>F0DE9453-B4B5-F011-981A-009C02B0CB58</v>
          </cell>
          <cell r="E3069">
            <v>0</v>
          </cell>
        </row>
        <row r="3070">
          <cell r="A3070" t="str">
            <v>MANAUS</v>
          </cell>
          <cell r="C3070" t="str">
            <v>VISTA DOS TAPAJÓS</v>
          </cell>
          <cell r="D3070" t="str">
            <v>F0F9A967-6C52-EE11-AE6A-009C02B0CB58</v>
          </cell>
          <cell r="E3070">
            <v>0</v>
          </cell>
        </row>
        <row r="3071">
          <cell r="A3071" t="str">
            <v>MANAUS</v>
          </cell>
          <cell r="C3071" t="str">
            <v>VISTA DOS TUCANOS</v>
          </cell>
          <cell r="D3071" t="str">
            <v>331203F8-8EB9-F011-8DF6-80C16E075108</v>
          </cell>
          <cell r="E3071">
            <v>0</v>
          </cell>
        </row>
        <row r="3072">
          <cell r="A3072" t="str">
            <v>RIO DAS OSTRAS</v>
          </cell>
          <cell r="C3072" t="str">
            <v>RESERVA DOS PÁSSAROS</v>
          </cell>
          <cell r="D3072">
            <v>0</v>
          </cell>
          <cell r="E3072">
            <v>0</v>
          </cell>
        </row>
        <row r="3073">
          <cell r="A3073" t="str">
            <v>CANOAS</v>
          </cell>
          <cell r="C3073" t="str">
            <v>RESIDENCIAL PORTO CHARDONNAY</v>
          </cell>
          <cell r="D3073" t="str">
            <v>BB2B5016-ADFB-F011-AC21-005056856875</v>
          </cell>
          <cell r="E3073">
            <v>0</v>
          </cell>
        </row>
        <row r="3074">
          <cell r="A3074" t="str">
            <v>CANOAS</v>
          </cell>
          <cell r="C3074" t="str">
            <v>PORTO DAS TULIPAS</v>
          </cell>
          <cell r="D3074">
            <v>0</v>
          </cell>
          <cell r="E3074">
            <v>0</v>
          </cell>
        </row>
        <row r="3075">
          <cell r="A3075" t="str">
            <v>SUZANO</v>
          </cell>
          <cell r="C3075" t="str">
            <v>AK SUZANO EMP 01</v>
          </cell>
          <cell r="D3075" t="str">
            <v>16289ADF-EDE4-F011-B198-005056856875</v>
          </cell>
          <cell r="E3075">
            <v>0</v>
          </cell>
        </row>
        <row r="3076">
          <cell r="A3076" t="str">
            <v>SÃO PAULO</v>
          </cell>
          <cell r="C3076" t="str">
            <v>ALAMEDA DAS FLORES</v>
          </cell>
          <cell r="D3076" t="str">
            <v>6EA3E092-AE89-F011-BA7E-009C02B0CB58</v>
          </cell>
          <cell r="E3076">
            <v>0</v>
          </cell>
        </row>
        <row r="3077">
          <cell r="A3077" t="str">
            <v>LIMEIRA</v>
          </cell>
          <cell r="C3077" t="str">
            <v>ARARA AZUL EMP 01</v>
          </cell>
          <cell r="D3077" t="str">
            <v>93B9B332-73E5-F011-B198-005056856875</v>
          </cell>
          <cell r="E3077">
            <v>0</v>
          </cell>
        </row>
        <row r="3078">
          <cell r="A3078" t="str">
            <v>RIBEIRÃO PRETO</v>
          </cell>
          <cell r="C3078" t="str">
            <v>ÁREA BATE LATA EMP 01</v>
          </cell>
          <cell r="D3078" t="str">
            <v>220BD13D-7AE5-F011-B198-005056856875</v>
          </cell>
          <cell r="E3078">
            <v>0</v>
          </cell>
        </row>
        <row r="3079">
          <cell r="A3079" t="str">
            <v>CONTAGEM</v>
          </cell>
          <cell r="C3079" t="str">
            <v>ÁREA FILOMENA DOIS EMP 01</v>
          </cell>
          <cell r="D3079" t="str">
            <v>BE28087E-72E5-F011-B198-005056856875</v>
          </cell>
          <cell r="E3079">
            <v>0</v>
          </cell>
        </row>
        <row r="3080">
          <cell r="A3080" t="str">
            <v>BELO HORIZONTE</v>
          </cell>
          <cell r="C3080" t="str">
            <v>ÁREA KRUG BIER EMP 01</v>
          </cell>
          <cell r="D3080" t="str">
            <v>3311C00A-70EA-F011-AC21-005056856875</v>
          </cell>
          <cell r="E3080">
            <v>0</v>
          </cell>
        </row>
        <row r="3081">
          <cell r="A3081" t="str">
            <v>SÃO PAULO</v>
          </cell>
          <cell r="C3081" t="str">
            <v>ARISTOCRATA EMP 01</v>
          </cell>
          <cell r="D3081" t="str">
            <v>F2C1137C-3416-F111-A833-80C16E075108</v>
          </cell>
          <cell r="E3081">
            <v>0</v>
          </cell>
        </row>
        <row r="3082">
          <cell r="A3082" t="str">
            <v>LIMEIRA</v>
          </cell>
          <cell r="C3082" t="str">
            <v>BALA DE PRATA EMP 01</v>
          </cell>
          <cell r="D3082" t="str">
            <v>0AECC9DE-37DC-F011-A833-80C16E075108</v>
          </cell>
          <cell r="E3082">
            <v>0</v>
          </cell>
        </row>
        <row r="3083">
          <cell r="A3083" t="str">
            <v>BELO HORIZONTE</v>
          </cell>
          <cell r="C3083" t="str">
            <v>BET LEÃO EMP 01</v>
          </cell>
          <cell r="D3083" t="str">
            <v>E2DE5833-E4DC-F011-B198-005056856875</v>
          </cell>
          <cell r="E3083">
            <v>0</v>
          </cell>
        </row>
        <row r="3084">
          <cell r="A3084" t="str">
            <v>BELO HORIZONTE</v>
          </cell>
          <cell r="C3084" t="str">
            <v>BONFIM ITATIAIA EMP 01</v>
          </cell>
          <cell r="D3084" t="str">
            <v>FDE87BC5-9207-F111-A833-80C16E075108</v>
          </cell>
          <cell r="E3084">
            <v>0</v>
          </cell>
        </row>
        <row r="3085">
          <cell r="A3085" t="str">
            <v>CURITIBA</v>
          </cell>
          <cell r="C3085" t="str">
            <v>CACAU CANELA EMP 01</v>
          </cell>
          <cell r="D3085" t="str">
            <v>4BF06914-79F1-F011-A833-80C16E075108</v>
          </cell>
          <cell r="E3085">
            <v>0</v>
          </cell>
        </row>
        <row r="3086">
          <cell r="A3086" t="str">
            <v>RECIFE</v>
          </cell>
          <cell r="C3086" t="str">
            <v>CALÇADÃO EMP 01</v>
          </cell>
          <cell r="D3086" t="str">
            <v>BEA165FA-7721-F111-A833-80C16E075108</v>
          </cell>
          <cell r="E3086">
            <v>0</v>
          </cell>
        </row>
        <row r="3087">
          <cell r="A3087" t="str">
            <v>RIO DE JANEIRO</v>
          </cell>
          <cell r="C3087" t="str">
            <v>CARREFOUR GP EMP 01</v>
          </cell>
          <cell r="D3087" t="str">
            <v>8C3D8411-2817-F111-A833-80C16E075108</v>
          </cell>
          <cell r="E3087">
            <v>0</v>
          </cell>
        </row>
        <row r="3088">
          <cell r="A3088" t="str">
            <v>CAMPO GRANDE</v>
          </cell>
          <cell r="C3088" t="str">
            <v>CASTELO DAS BRISAS</v>
          </cell>
          <cell r="D3088" t="str">
            <v>8B493C77-FBDC-F011-94D1-009C02B0CB58</v>
          </cell>
          <cell r="E3088">
            <v>0</v>
          </cell>
        </row>
        <row r="3089">
          <cell r="A3089" t="str">
            <v>CAMPO GRANDE</v>
          </cell>
          <cell r="C3089" t="str">
            <v>CASTELO DO SÓTER</v>
          </cell>
          <cell r="D3089" t="str">
            <v>1D44CE11-7311-F111-94D1-009C02B0CB58</v>
          </cell>
          <cell r="E3089">
            <v>0</v>
          </cell>
        </row>
        <row r="3090">
          <cell r="A3090" t="str">
            <v>CAMPO GRANDE</v>
          </cell>
          <cell r="C3090" t="str">
            <v>CASTELO DOS PODERES</v>
          </cell>
          <cell r="D3090" t="str">
            <v>C62570BD-7211-F111-94D1-009C02B0CB58</v>
          </cell>
          <cell r="E3090">
            <v>0</v>
          </cell>
        </row>
        <row r="3091">
          <cell r="A3091" t="str">
            <v>CAMPINAS</v>
          </cell>
          <cell r="C3091" t="str">
            <v>CASTELO BELVEDERE</v>
          </cell>
          <cell r="D3091" t="str">
            <v>B1A5F363-B5CE-F011-B77E-005056856875</v>
          </cell>
          <cell r="E3091">
            <v>0</v>
          </cell>
        </row>
        <row r="3092">
          <cell r="A3092" t="str">
            <v>CUIABÁ</v>
          </cell>
          <cell r="C3092" t="str">
            <v>CONCREGE EMP 01</v>
          </cell>
          <cell r="D3092" t="str">
            <v>470BE543-ECFD-F011-A833-80C16E075108</v>
          </cell>
          <cell r="E3092">
            <v>0</v>
          </cell>
        </row>
        <row r="3093">
          <cell r="A3093" t="str">
            <v>SÃO PAULO</v>
          </cell>
          <cell r="C3093" t="str">
            <v>DORAMA EMP 01</v>
          </cell>
          <cell r="D3093" t="str">
            <v>9DB7594F-6C00-F111-94D1-009C02B0CB58</v>
          </cell>
          <cell r="E3093">
            <v>0</v>
          </cell>
        </row>
        <row r="3094">
          <cell r="A3094" t="str">
            <v>JOINVILLE</v>
          </cell>
          <cell r="C3094" t="str">
            <v>EIXO SUL EMP 02</v>
          </cell>
          <cell r="D3094" t="str">
            <v>29495B1E-D5D5-F011-8DF6-80C16E075108</v>
          </cell>
          <cell r="E3094">
            <v>0</v>
          </cell>
        </row>
        <row r="3095">
          <cell r="A3095" t="str">
            <v>RIBEIRÃO PRETO</v>
          </cell>
          <cell r="C3095" t="str">
            <v>EMPRIMO EMP 01</v>
          </cell>
          <cell r="D3095" t="str">
            <v>407CDA63-BBCB-F011-B77E-005056856875</v>
          </cell>
          <cell r="E3095">
            <v>0</v>
          </cell>
        </row>
        <row r="3096">
          <cell r="A3096" t="str">
            <v>SOROCABA</v>
          </cell>
          <cell r="C3096" t="str">
            <v>ESSENZA ITAVUVU</v>
          </cell>
          <cell r="D3096" t="str">
            <v>6574BD09-B8CB-F011-B77E-005056856875</v>
          </cell>
          <cell r="E3096">
            <v>0</v>
          </cell>
        </row>
        <row r="3097">
          <cell r="A3097" t="str">
            <v>PARNAMIRIM</v>
          </cell>
          <cell r="C3097" t="str">
            <v>FLINTSTONES EMP 02</v>
          </cell>
          <cell r="D3097" t="str">
            <v>EDDF0426-E026-F111-AC21-005056856875</v>
          </cell>
          <cell r="E3097">
            <v>0</v>
          </cell>
        </row>
        <row r="3098">
          <cell r="A3098" t="str">
            <v>GUARULHOS</v>
          </cell>
          <cell r="C3098" t="str">
            <v>GRAND CANTAREIRA</v>
          </cell>
          <cell r="D3098" t="str">
            <v>588CA0E8-ECE4-F011-B198-005056856875</v>
          </cell>
          <cell r="E3098">
            <v>0</v>
          </cell>
        </row>
        <row r="3099">
          <cell r="A3099" t="str">
            <v>JUNDIAÍ</v>
          </cell>
          <cell r="C3099" t="str">
            <v>GURGEL EMP 01</v>
          </cell>
          <cell r="D3099" t="str">
            <v>499DFC4D-7CEA-F011-AC21-005056856875</v>
          </cell>
          <cell r="E3099">
            <v>0</v>
          </cell>
        </row>
        <row r="3100">
          <cell r="A3100" t="str">
            <v>JUNDIAÍ</v>
          </cell>
          <cell r="C3100" t="str">
            <v>JACK CHEN EMP 01</v>
          </cell>
          <cell r="D3100" t="str">
            <v>09A601A9-64EA-F011-AC21-005056856875</v>
          </cell>
          <cell r="E3100">
            <v>0</v>
          </cell>
        </row>
        <row r="3101">
          <cell r="A3101" t="str">
            <v>BETIM</v>
          </cell>
          <cell r="C3101" t="str">
            <v>JAPES EMP 01</v>
          </cell>
          <cell r="D3101" t="str">
            <v>7D281E89-B3CE-F011-B77E-005056856875</v>
          </cell>
          <cell r="E3101">
            <v>0</v>
          </cell>
        </row>
        <row r="3102">
          <cell r="A3102" t="str">
            <v>RECIFE</v>
          </cell>
          <cell r="C3102" t="str">
            <v>JOANA BEZERRA EMP 01</v>
          </cell>
          <cell r="D3102" t="str">
            <v>6B701583-B70D-F111-94D1-009C02B0CB58</v>
          </cell>
          <cell r="E3102">
            <v>0</v>
          </cell>
        </row>
        <row r="3103">
          <cell r="A3103" t="str">
            <v>RIO DE JANEIRO</v>
          </cell>
          <cell r="C3103" t="str">
            <v>MARTIN LUTHER KING EMP 01</v>
          </cell>
          <cell r="D3103" t="str">
            <v>1D6F962D-7DE5-F011-B198-005056856875</v>
          </cell>
          <cell r="E3103">
            <v>0</v>
          </cell>
        </row>
        <row r="3104">
          <cell r="A3104" t="str">
            <v>MACEIÓ</v>
          </cell>
          <cell r="C3104" t="str">
            <v>MATA DO TABULEIRO</v>
          </cell>
          <cell r="D3104" t="str">
            <v>52390DEB-43DF-F011-94D1-009C02B0CB58</v>
          </cell>
          <cell r="E3104">
            <v>0</v>
          </cell>
        </row>
        <row r="3105">
          <cell r="A3105" t="str">
            <v>MACEIÓ</v>
          </cell>
          <cell r="C3105" t="str">
            <v>MATA DOS COCAIS</v>
          </cell>
          <cell r="D3105" t="str">
            <v>352E9132-23D5-F011-8DF6-80C16E075108</v>
          </cell>
          <cell r="E3105">
            <v>0</v>
          </cell>
        </row>
        <row r="3106">
          <cell r="A3106" t="str">
            <v>SÃO PAULO</v>
          </cell>
          <cell r="C3106" t="str">
            <v>MECÂNICA ICHITA EMP 01</v>
          </cell>
          <cell r="D3106" t="str">
            <v>4ED060DE-7421-F111-A833-80C16E075108</v>
          </cell>
          <cell r="E3106">
            <v>0</v>
          </cell>
        </row>
        <row r="3107">
          <cell r="A3107" t="str">
            <v>SÃO PAULO</v>
          </cell>
          <cell r="C3107" t="str">
            <v>MRV PARQUE DAS FONTES</v>
          </cell>
          <cell r="D3107" t="str">
            <v>D8A64B4B-74E5-F011-B198-005056856875</v>
          </cell>
          <cell r="E3107">
            <v>0</v>
          </cell>
        </row>
        <row r="3108">
          <cell r="A3108" t="str">
            <v>SÃO JOSÉ DO RIO PRETO</v>
          </cell>
          <cell r="C3108" t="str">
            <v>NATURE EMP 01</v>
          </cell>
          <cell r="D3108" t="str">
            <v>DEB2567A-9419-F111-AC21-005056856875</v>
          </cell>
          <cell r="E3108">
            <v>0</v>
          </cell>
        </row>
        <row r="3109">
          <cell r="A3109" t="str">
            <v>PALMAS</v>
          </cell>
          <cell r="C3109" t="str">
            <v>PALMEIRA DO CERRADO</v>
          </cell>
          <cell r="D3109" t="str">
            <v>4A05482D-22D5-F011-8DF6-80C16E075108</v>
          </cell>
          <cell r="E3109">
            <v>0</v>
          </cell>
        </row>
        <row r="3110">
          <cell r="A3110" t="str">
            <v>CAMPINAS</v>
          </cell>
          <cell r="C3110" t="str">
            <v>PARQUE ICARAÍ</v>
          </cell>
          <cell r="D3110" t="str">
            <v>B3BF1C3C-78E5-F011-B198-005056856875</v>
          </cell>
          <cell r="E3110">
            <v>0</v>
          </cell>
        </row>
        <row r="3111">
          <cell r="A3111" t="str">
            <v>CURITIBA</v>
          </cell>
          <cell r="C3111" t="str">
            <v>PERFIPAR EMP 02</v>
          </cell>
          <cell r="D3111" t="str">
            <v>EF9D4823-DCFA-F011-A833-80C16E075108</v>
          </cell>
          <cell r="E3111">
            <v>0</v>
          </cell>
        </row>
        <row r="3112">
          <cell r="A3112" t="str">
            <v>FLORIANÓPOLIS</v>
          </cell>
          <cell r="C3112" t="str">
            <v>PONEIS</v>
          </cell>
          <cell r="D3112" t="str">
            <v>E4B452A8-1FD5-F011-8DF6-80C16E075108</v>
          </cell>
          <cell r="E3112">
            <v>0</v>
          </cell>
        </row>
        <row r="3113">
          <cell r="A3113" t="str">
            <v>CANOAS</v>
          </cell>
          <cell r="C3113" t="str">
            <v>QUERO QUERO EMP 01</v>
          </cell>
          <cell r="D3113" t="str">
            <v>044DF20F-7921-F111-A833-80C16E075108</v>
          </cell>
          <cell r="E3113">
            <v>0</v>
          </cell>
        </row>
        <row r="3114">
          <cell r="A3114" t="str">
            <v>CANOAS</v>
          </cell>
          <cell r="C3114" t="str">
            <v>QUERO QUERO EMP 02</v>
          </cell>
          <cell r="D3114" t="str">
            <v>674DF7DF-8021-F111-94D1-009C02B0CB58</v>
          </cell>
          <cell r="E3114">
            <v>0</v>
          </cell>
        </row>
        <row r="3115">
          <cell r="A3115" t="str">
            <v>SÃO PAULO</v>
          </cell>
          <cell r="C3115" t="str">
            <v>RAÍZES DA VILA</v>
          </cell>
          <cell r="D3115" t="str">
            <v>E28FEF9E-B6CE-F011-B77E-005056856875</v>
          </cell>
          <cell r="E3115">
            <v>0</v>
          </cell>
        </row>
        <row r="3116">
          <cell r="A3116" t="str">
            <v>MANAUS</v>
          </cell>
          <cell r="C3116" t="str">
            <v>RESERVA ANAVILHANAS</v>
          </cell>
          <cell r="D3116" t="str">
            <v>8B664090-DFCE-F011-B77E-005056856875</v>
          </cell>
          <cell r="E3116">
            <v>0</v>
          </cell>
        </row>
        <row r="3117">
          <cell r="A3117" t="str">
            <v>MANAUS</v>
          </cell>
          <cell r="C3117" t="str">
            <v>RESERVA DO JAÚ</v>
          </cell>
          <cell r="D3117" t="str">
            <v>B8411F64-DBCE-F011-B77E-005056856875</v>
          </cell>
          <cell r="E3117">
            <v>0</v>
          </cell>
        </row>
        <row r="3118">
          <cell r="A3118" t="str">
            <v>MANAUS</v>
          </cell>
          <cell r="C3118" t="str">
            <v>RESERVA IGARAPÉ</v>
          </cell>
          <cell r="D3118" t="str">
            <v>CDAA39D0-DBCE-F011-B77E-005056856875</v>
          </cell>
          <cell r="E3118">
            <v>0</v>
          </cell>
        </row>
        <row r="3119">
          <cell r="A3119" t="str">
            <v>MANAUS</v>
          </cell>
          <cell r="C3119" t="str">
            <v>RESERVA MAUÉS</v>
          </cell>
          <cell r="D3119" t="str">
            <v>2A084C35-DCCE-F011-B77E-005056856875</v>
          </cell>
          <cell r="E3119">
            <v>0</v>
          </cell>
        </row>
        <row r="3120">
          <cell r="A3120" t="str">
            <v>MANAUS</v>
          </cell>
          <cell r="C3120" t="str">
            <v>RESERVA RIO MADEIRA</v>
          </cell>
          <cell r="D3120" t="str">
            <v>EE790C2F-E2CE-F011-B77E-005056856875</v>
          </cell>
          <cell r="E3120">
            <v>0</v>
          </cell>
        </row>
        <row r="3121">
          <cell r="A3121" t="str">
            <v>MANAUS</v>
          </cell>
          <cell r="C3121" t="str">
            <v>RESERVA RIO NEGRO</v>
          </cell>
          <cell r="D3121" t="str">
            <v>4F64F021-DBCE-F011-B77E-005056856875</v>
          </cell>
          <cell r="E3121">
            <v>0</v>
          </cell>
        </row>
        <row r="3122">
          <cell r="A3122" t="str">
            <v>MANAUS</v>
          </cell>
          <cell r="C3122" t="str">
            <v>RESERVA SUMAÚMA</v>
          </cell>
          <cell r="D3122" t="str">
            <v>01DAD58E-59CC-F011-B77E-005056856875</v>
          </cell>
          <cell r="E3122">
            <v>0</v>
          </cell>
        </row>
        <row r="3123">
          <cell r="A3123" t="str">
            <v>SALVADOR</v>
          </cell>
          <cell r="C3123" t="str">
            <v>RESIDENCIAL ARVOREDO</v>
          </cell>
          <cell r="D3123" t="str">
            <v>947DCB2F-EBFA-F011-A833-80C16E075108</v>
          </cell>
          <cell r="E3123">
            <v>0</v>
          </cell>
        </row>
        <row r="3124">
          <cell r="A3124" t="str">
            <v>GUARULHOS</v>
          </cell>
          <cell r="C3124" t="str">
            <v>RESIDENCIAL BOA VISTA</v>
          </cell>
          <cell r="D3124" t="str">
            <v>84FFFA5E-EED5-F011-8DF6-80C16E075108</v>
          </cell>
          <cell r="E3124">
            <v>0</v>
          </cell>
        </row>
        <row r="3125">
          <cell r="A3125" t="str">
            <v>MACEIÓ</v>
          </cell>
          <cell r="C3125" t="str">
            <v>RESIDENCIAL CANNES</v>
          </cell>
          <cell r="D3125" t="str">
            <v>6986B2BA-9107-F111-A833-80C16E075108</v>
          </cell>
          <cell r="E3125">
            <v>0</v>
          </cell>
        </row>
        <row r="3126">
          <cell r="A3126" t="str">
            <v>SÃO PAULO</v>
          </cell>
          <cell r="C3126" t="str">
            <v>RESIDENCIAL VILA ANASTÁCIO</v>
          </cell>
          <cell r="D3126" t="str">
            <v>EE8442AE-73E5-F011-B198-005056856875</v>
          </cell>
          <cell r="E3126">
            <v>0</v>
          </cell>
        </row>
        <row r="3127">
          <cell r="A3127" t="str">
            <v>UBERLÂNDIA</v>
          </cell>
          <cell r="C3127" t="str">
            <v>TAIAMAN EMP 01</v>
          </cell>
          <cell r="D3127" t="str">
            <v>7849737E-67EA-F011-AC21-005056856875</v>
          </cell>
          <cell r="E3127">
            <v>0</v>
          </cell>
        </row>
        <row r="3128">
          <cell r="A3128" t="str">
            <v>BRASÍLIA</v>
          </cell>
          <cell r="C3128" t="str">
            <v>TORRES DOS JACARANDÁS</v>
          </cell>
          <cell r="D3128" t="str">
            <v>137D48BC-35DC-F011-A833-80C16E075108</v>
          </cell>
          <cell r="E3128">
            <v>0</v>
          </cell>
        </row>
        <row r="3129">
          <cell r="A3129" t="str">
            <v>RIBEIRÃO PRETO</v>
          </cell>
          <cell r="C3129" t="str">
            <v>VENDA CONDOMÍNIO 5</v>
          </cell>
          <cell r="D3129" t="str">
            <v>704D14AA-C31C-F111-94D1-009C02B0CB58</v>
          </cell>
          <cell r="E3129">
            <v>0</v>
          </cell>
        </row>
        <row r="3130">
          <cell r="A3130" t="str">
            <v>SOROCABA</v>
          </cell>
          <cell r="C3130" t="str">
            <v>VENDA LAGO DE LUCA</v>
          </cell>
          <cell r="D3130" t="str">
            <v>85AB592E-C61C-F111-94D1-009C02B0CB58</v>
          </cell>
          <cell r="E3130">
            <v>0</v>
          </cell>
        </row>
        <row r="3131">
          <cell r="A3131" t="str">
            <v>SÃO PAULO</v>
          </cell>
          <cell r="C3131" t="str">
            <v>VENDA LOTES 02 + G</v>
          </cell>
          <cell r="D3131" t="str">
            <v>9B12ED65-C51C-F111-94D1-009C02B0CB58</v>
          </cell>
          <cell r="E3131">
            <v>0</v>
          </cell>
        </row>
        <row r="3132">
          <cell r="A3132" t="str">
            <v>SÃO PAULO</v>
          </cell>
          <cell r="C3132" t="str">
            <v>VENDA RESIDENCIAL PAZ</v>
          </cell>
          <cell r="D3132" t="str">
            <v>B0E2B27F-C41C-F111-94D1-009C02B0CB58</v>
          </cell>
          <cell r="E3132">
            <v>0</v>
          </cell>
        </row>
        <row r="3133">
          <cell r="A3133" t="str">
            <v>VILA VELHA</v>
          </cell>
          <cell r="C3133" t="str">
            <v>VEREDA DA BARRA EMP 01</v>
          </cell>
          <cell r="D3133" t="str">
            <v>B02907A0-B618-F111-AC21-005056856875</v>
          </cell>
          <cell r="E3133">
            <v>0</v>
          </cell>
        </row>
        <row r="3134">
          <cell r="A3134" t="str">
            <v>APARECIDA DE GOIÂNIA</v>
          </cell>
          <cell r="C3134" t="str">
            <v>VEREDAS EMP 02</v>
          </cell>
          <cell r="D3134" t="str">
            <v>C4F68311-85ED-F011-AC21-005056856875</v>
          </cell>
          <cell r="E3134">
            <v>0</v>
          </cell>
        </row>
        <row r="3135">
          <cell r="A3135" t="str">
            <v>SERRA</v>
          </cell>
          <cell r="C3135" t="str">
            <v>VISTA DA SERRA EMP 01</v>
          </cell>
          <cell r="D3135" t="str">
            <v>DCF1060D-60D0-F011-8DF6-80C16E075108</v>
          </cell>
          <cell r="E3135">
            <v>0</v>
          </cell>
        </row>
        <row r="3136">
          <cell r="A3136" t="str">
            <v>PAÇO DO LUMIAR</v>
          </cell>
          <cell r="C3136" t="str">
            <v>YGLÉSIO EMP 01</v>
          </cell>
          <cell r="D3136" t="str">
            <v>589E0F65-2ABF-F011-8DF6-80C16E075108</v>
          </cell>
          <cell r="E3136">
            <v>0</v>
          </cell>
        </row>
        <row r="3137">
          <cell r="A3137" t="str">
            <v>ANÁPOLIS</v>
          </cell>
          <cell r="C3137" t="str">
            <v>ARCOS DO CERRADO</v>
          </cell>
          <cell r="D3137" t="str">
            <v>ca9b184f-1779-e711-91b2-80c16e075108</v>
          </cell>
          <cell r="E3137">
            <v>240</v>
          </cell>
        </row>
        <row r="3138">
          <cell r="A3138" t="str">
            <v>ANÁPOLIS</v>
          </cell>
          <cell r="C3138" t="str">
            <v>ARCOS DO PLANALTO</v>
          </cell>
          <cell r="D3138" t="str">
            <v>de9ba7cb-24c8-e911-8e73-0050568aa20f</v>
          </cell>
          <cell r="E3138">
            <v>384</v>
          </cell>
        </row>
        <row r="3139">
          <cell r="A3139" t="str">
            <v>ANÁPOLIS</v>
          </cell>
          <cell r="C3139" t="str">
            <v>EPIC</v>
          </cell>
          <cell r="D3139" t="str">
            <v>2e60a185-6b0a-ec11-a30e-0050568a2e98</v>
          </cell>
          <cell r="E3139">
            <v>256</v>
          </cell>
        </row>
        <row r="3140">
          <cell r="A3140" t="str">
            <v>ANÁPOLIS</v>
          </cell>
          <cell r="C3140" t="str">
            <v>ARCOS DO JARDIM</v>
          </cell>
          <cell r="D3140" t="str">
            <v>c9a5712a-38d7-ea11-beeb-005056856875</v>
          </cell>
          <cell r="E3140">
            <v>288</v>
          </cell>
        </row>
        <row r="3141">
          <cell r="A3141" t="str">
            <v>APARECIDA DE GOIÂNIA</v>
          </cell>
          <cell r="C3141" t="str">
            <v>GRAN FLORENCE</v>
          </cell>
          <cell r="D3141" t="str">
            <v>d740de82-790c-e611-a5bb-009c02b0cb58</v>
          </cell>
          <cell r="E3141">
            <v>448</v>
          </cell>
        </row>
        <row r="3142">
          <cell r="A3142" t="str">
            <v>APARECIDA DE GOIÂNIA</v>
          </cell>
          <cell r="C3142" t="str">
            <v>GRAN VERONA</v>
          </cell>
          <cell r="D3142" t="str">
            <v>b0807da7-3766-e711-8e92-009c02b0cb58</v>
          </cell>
          <cell r="E3142">
            <v>416</v>
          </cell>
        </row>
        <row r="3143">
          <cell r="A3143" t="str">
            <v>APARECIDA DE GOIÂNIA</v>
          </cell>
          <cell r="C3143" t="str">
            <v>GRAN ESSENCE</v>
          </cell>
          <cell r="D3143" t="str">
            <v>784285ad-440f-ec11-a30e-0050568a2e98</v>
          </cell>
          <cell r="E3143">
            <v>592</v>
          </cell>
        </row>
        <row r="3144">
          <cell r="A3144" t="str">
            <v>ARACAJU</v>
          </cell>
          <cell r="C3144" t="str">
            <v>ESPLENDORE</v>
          </cell>
          <cell r="D3144" t="str">
            <v>b0fff6f9-6f66-eb11-8864-0050568aa20f</v>
          </cell>
          <cell r="E3144">
            <v>384</v>
          </cell>
        </row>
        <row r="3145">
          <cell r="A3145" t="str">
            <v>ARACAJU</v>
          </cell>
          <cell r="C3145" t="str">
            <v>ALAMEDA IMPERIAL</v>
          </cell>
          <cell r="D3145" t="str">
            <v>edf099af-f6fe-ec11-ba45-005056890018</v>
          </cell>
          <cell r="E3145">
            <v>332</v>
          </cell>
        </row>
        <row r="3146">
          <cell r="A3146" t="str">
            <v>ARACAJU</v>
          </cell>
          <cell r="C3146" t="str">
            <v>PRAIA DE ATALAIA</v>
          </cell>
          <cell r="D3146" t="str">
            <v>1a30a729-8ced-e811-b773-80c16e075108</v>
          </cell>
          <cell r="E3146">
            <v>404</v>
          </cell>
        </row>
        <row r="3147">
          <cell r="A3147" t="str">
            <v>ARACAJU</v>
          </cell>
          <cell r="C3147" t="str">
            <v>RESIDENCIAL VALE DO AMANHECER</v>
          </cell>
          <cell r="D3147" t="str">
            <v>ca4a59aa-8ced-e811-b773-80c16e075108</v>
          </cell>
          <cell r="E3147">
            <v>480</v>
          </cell>
        </row>
        <row r="3148">
          <cell r="A3148" t="str">
            <v>ARAÇATUBA</v>
          </cell>
          <cell r="C3148" t="str">
            <v>PARQUE APOTEOSE</v>
          </cell>
          <cell r="D3148" t="str">
            <v>9a88d449-6387-e711-9b04-005056856b6c</v>
          </cell>
          <cell r="E3148">
            <v>164</v>
          </cell>
        </row>
        <row r="3149">
          <cell r="A3149" t="str">
            <v>ARAÇATUBA</v>
          </cell>
          <cell r="C3149" t="str">
            <v>RESIDENCIAL AMARANTO</v>
          </cell>
          <cell r="D3149" t="str">
            <v>9334b761-1c77-e911-b1cd-009c02b0cb58</v>
          </cell>
          <cell r="E3149">
            <v>164</v>
          </cell>
        </row>
        <row r="3150">
          <cell r="A3150" t="str">
            <v>ARAÇATUBA</v>
          </cell>
          <cell r="C3150" t="str">
            <v>RESERVA AQUARIUS</v>
          </cell>
          <cell r="D3150" t="str">
            <v>803b6047-2b36-eb11-85d0-005056856875</v>
          </cell>
          <cell r="E3150">
            <v>0</v>
          </cell>
        </row>
        <row r="3151">
          <cell r="A3151" t="str">
            <v>ARAÇATUBA</v>
          </cell>
          <cell r="C3151" t="str">
            <v>RESIDENCIAL ATLANTA</v>
          </cell>
          <cell r="D3151" t="str">
            <v>42f46835-3112-eb11-9d23-005056856b6c</v>
          </cell>
          <cell r="E3151">
            <v>416</v>
          </cell>
        </row>
        <row r="3152">
          <cell r="A3152" t="str">
            <v>ARARAQUARA</v>
          </cell>
          <cell r="C3152" t="str">
            <v>RESIDENCIAL ARES</v>
          </cell>
          <cell r="D3152" t="str">
            <v>f99c5f8f-3db0-e811-944c-009c02b0cb58</v>
          </cell>
          <cell r="E3152">
            <v>260</v>
          </cell>
        </row>
        <row r="3153">
          <cell r="A3153" t="str">
            <v>ARARAQUARA</v>
          </cell>
          <cell r="C3153" t="str">
            <v>RESIDENCIAL AURORA</v>
          </cell>
          <cell r="D3153" t="str">
            <v>67f57f0f-8678-e711-bf37-005056856b6c</v>
          </cell>
          <cell r="E3153">
            <v>272</v>
          </cell>
        </row>
        <row r="3154">
          <cell r="A3154" t="str">
            <v>ARARAQUARA</v>
          </cell>
          <cell r="C3154" t="str">
            <v>RESIDENCIAL ÁGATA</v>
          </cell>
          <cell r="D3154" t="str">
            <v>ec6498b6-0d03-eb11-8cc6-0050568aa20f</v>
          </cell>
          <cell r="E3154">
            <v>192</v>
          </cell>
        </row>
        <row r="3155">
          <cell r="A3155" t="str">
            <v>ARARAQUARA</v>
          </cell>
          <cell r="C3155" t="str">
            <v>CAMINHOS DOS YPÊS</v>
          </cell>
          <cell r="D3155" t="str">
            <v>95e9fa24-6eaf-ec11-83b8-005056890018</v>
          </cell>
          <cell r="E3155">
            <v>189</v>
          </cell>
        </row>
        <row r="3156">
          <cell r="A3156" t="str">
            <v>BARRA DOS COQUEIROS</v>
          </cell>
          <cell r="C3156" t="str">
            <v>PARQUE ALAMEDA DA COSTA</v>
          </cell>
          <cell r="D3156" t="str">
            <v>53ebd517-2585-e411-b5d2-009c02b0cb58</v>
          </cell>
          <cell r="E3156">
            <v>736</v>
          </cell>
        </row>
        <row r="3157">
          <cell r="A3157" t="str">
            <v>BAURU</v>
          </cell>
          <cell r="C3157" t="str">
            <v>RESIDENCIAL BORUSSIA</v>
          </cell>
          <cell r="D3157" t="str">
            <v>1204ebac-dc40-e911-810a-80c16e075108</v>
          </cell>
          <cell r="E3157">
            <v>240</v>
          </cell>
        </row>
        <row r="3158">
          <cell r="A3158" t="str">
            <v>BAURU</v>
          </cell>
          <cell r="C3158" t="str">
            <v>RESIDENCIAL BELGRANO</v>
          </cell>
          <cell r="D3158" t="str">
            <v>3e6b04b7-973b-e911-810a-80c16e075108</v>
          </cell>
          <cell r="E3158">
            <v>136</v>
          </cell>
        </row>
        <row r="3159">
          <cell r="A3159" t="str">
            <v>BAURU</v>
          </cell>
          <cell r="C3159" t="str">
            <v>BALVANO RESIDENCIAL</v>
          </cell>
          <cell r="D3159" t="str">
            <v>7a5c28a0-61d0-e711-b989-80c16e075108</v>
          </cell>
          <cell r="E3159">
            <v>140</v>
          </cell>
        </row>
        <row r="3160">
          <cell r="A3160" t="str">
            <v>BAURU</v>
          </cell>
          <cell r="C3160" t="str">
            <v>RESIDENCIAL BOSTON</v>
          </cell>
          <cell r="D3160" t="str">
            <v>cf14b360-1e70-e911-b1cd-009c02b0cb58</v>
          </cell>
          <cell r="E3160">
            <v>240</v>
          </cell>
        </row>
        <row r="3161">
          <cell r="A3161" t="str">
            <v>BAURU</v>
          </cell>
          <cell r="C3161" t="str">
            <v>RESIDENCIAL MIRANTE DAS BRISAS</v>
          </cell>
          <cell r="D3161" t="str">
            <v>268dce55-a278-e911-a7ac-80c16e075108</v>
          </cell>
          <cell r="E3161">
            <v>336</v>
          </cell>
        </row>
        <row r="3162">
          <cell r="A3162" t="str">
            <v>BAURU</v>
          </cell>
          <cell r="C3162" t="str">
            <v>RESIDENCIAL MIRANTE DO VALE</v>
          </cell>
          <cell r="D3162" t="str">
            <v>d534e13b-a378-e911-a7ac-80c16e075108</v>
          </cell>
          <cell r="E3162">
            <v>560</v>
          </cell>
        </row>
        <row r="3163">
          <cell r="A3163" t="str">
            <v>BAURU</v>
          </cell>
          <cell r="C3163" t="str">
            <v>PARQUE BARCELONA</v>
          </cell>
          <cell r="D3163" t="str">
            <v>7a381436-b6a7-e411-b5d2-009c02b0cb58</v>
          </cell>
          <cell r="E3163">
            <v>800</v>
          </cell>
        </row>
        <row r="3164">
          <cell r="A3164" t="str">
            <v>BAURU</v>
          </cell>
          <cell r="C3164" t="str">
            <v>BENISSA RESIDENCIAL</v>
          </cell>
          <cell r="D3164" t="str">
            <v>4e858815-7f00-ee11-9510-005056856875</v>
          </cell>
          <cell r="E3164">
            <v>120</v>
          </cell>
        </row>
        <row r="3165">
          <cell r="A3165" t="str">
            <v>BELO HORIZONTE</v>
          </cell>
          <cell r="C3165" t="str">
            <v>VILLA D’ORO</v>
          </cell>
          <cell r="D3165" t="str">
            <v>1dcd9df5-57fd-ec11-ba45-005056890018</v>
          </cell>
          <cell r="E3165">
            <v>160</v>
          </cell>
        </row>
        <row r="3166">
          <cell r="A3166" t="str">
            <v>BELO HORIZONTE</v>
          </cell>
          <cell r="C3166" t="str">
            <v>VILLA FIORI</v>
          </cell>
          <cell r="D3166" t="str">
            <v>b054da8a-3b28-ec11-b501-005056856b6c</v>
          </cell>
          <cell r="E3166">
            <v>96</v>
          </cell>
        </row>
        <row r="3167">
          <cell r="A3167" t="str">
            <v>BELO HORIZONTE</v>
          </cell>
          <cell r="C3167" t="str">
            <v>BLUMENAU</v>
          </cell>
          <cell r="D3167" t="str">
            <v>c31ee8e0-72db-df11-b242-001f2909e810</v>
          </cell>
          <cell r="E3167">
            <v>12</v>
          </cell>
        </row>
        <row r="3168">
          <cell r="A3168" t="str">
            <v>BELO HORIZONTE</v>
          </cell>
          <cell r="C3168" t="str">
            <v>PARQUE CANOAS</v>
          </cell>
          <cell r="D3168" t="str">
            <v>6e67475f-c754-dd11-bc22-001b78b9d994</v>
          </cell>
          <cell r="E3168">
            <v>412</v>
          </cell>
        </row>
        <row r="3169">
          <cell r="A3169" t="str">
            <v>BELO HORIZONTE</v>
          </cell>
          <cell r="C3169" t="str">
            <v>RESIDENCIAL MAR ADRIÁTICO</v>
          </cell>
          <cell r="D3169" t="str">
            <v>1f8bca7e-4686-e611-abb6-80c16e075108</v>
          </cell>
          <cell r="E3169">
            <v>0</v>
          </cell>
        </row>
        <row r="3170">
          <cell r="A3170" t="str">
            <v>BELO HORIZONTE</v>
          </cell>
          <cell r="C3170" t="str">
            <v>MUNIQUE</v>
          </cell>
          <cell r="D3170" t="str">
            <v>ca50db76-44dc-df11-b242-001f2909e810</v>
          </cell>
          <cell r="E3170">
            <v>0</v>
          </cell>
        </row>
        <row r="3171">
          <cell r="A3171" t="str">
            <v>BELO HORIZONTE</v>
          </cell>
          <cell r="C3171" t="str">
            <v>SENSIA PAMPULHA</v>
          </cell>
          <cell r="D3171" t="str">
            <v>5a74f216-da4c-ea11-ba0a-0050568aa20f</v>
          </cell>
          <cell r="E3171">
            <v>248</v>
          </cell>
        </row>
        <row r="3172">
          <cell r="A3172" t="str">
            <v>BELO HORIZONTE</v>
          </cell>
          <cell r="C3172" t="str">
            <v>SENSIA WAY</v>
          </cell>
          <cell r="D3172" t="str">
            <v>5df0a076-c522-eb11-9d23-005056856b6c</v>
          </cell>
          <cell r="E3172">
            <v>104</v>
          </cell>
        </row>
        <row r="3173">
          <cell r="A3173" t="str">
            <v>BELO HORIZONTE</v>
          </cell>
          <cell r="C3173" t="str">
            <v>PRADOS</v>
          </cell>
          <cell r="D3173" t="str">
            <v>232b1c48-7669-dd11-ad97-001b78b9d994</v>
          </cell>
          <cell r="E3173">
            <v>0</v>
          </cell>
        </row>
        <row r="3174">
          <cell r="A3174" t="str">
            <v>BELO HORIZONTE</v>
          </cell>
          <cell r="C3174" t="str">
            <v>SENSIA PARIS</v>
          </cell>
          <cell r="D3174" t="str">
            <v>d1ae8378-2867-eb11-8864-0050568aa20f</v>
          </cell>
          <cell r="E3174">
            <v>58</v>
          </cell>
        </row>
        <row r="3175">
          <cell r="A3175" t="str">
            <v>BELO HORIZONTE</v>
          </cell>
          <cell r="C3175" t="str">
            <v>RESIDENCIAL IRACEMA BARROS</v>
          </cell>
          <cell r="D3175" t="str">
            <v>037540d7-d18f-e111-a73f-001f2909e810</v>
          </cell>
          <cell r="E3175">
            <v>0</v>
          </cell>
        </row>
        <row r="3176">
          <cell r="A3176" t="str">
            <v>BELO HORIZONTE</v>
          </cell>
          <cell r="C3176" t="str">
            <v>RESIDENCIAL OREGON</v>
          </cell>
          <cell r="D3176" t="str">
            <v>e924ed4d-d837-ea11-ba0a-0050568aa20f</v>
          </cell>
          <cell r="E3176">
            <v>180</v>
          </cell>
        </row>
        <row r="3177">
          <cell r="A3177" t="str">
            <v>BELO HORIZONTE</v>
          </cell>
          <cell r="C3177" t="str">
            <v>RESIDENCIAL MONTANA</v>
          </cell>
          <cell r="D3177" t="str">
            <v>d470de20-61df-eb11-930a-0050568aa20f</v>
          </cell>
          <cell r="E3177">
            <v>180</v>
          </cell>
        </row>
        <row r="3178">
          <cell r="A3178" t="str">
            <v>BELO HORIZONTE</v>
          </cell>
          <cell r="C3178" t="str">
            <v>SENSIA SERRA</v>
          </cell>
          <cell r="D3178" t="str">
            <v>84d8d86c-19dc-ea11-beeb-005056856875</v>
          </cell>
          <cell r="E3178">
            <v>118</v>
          </cell>
        </row>
        <row r="3179">
          <cell r="A3179" t="str">
            <v>BELO HORIZONTE</v>
          </cell>
          <cell r="C3179" t="str">
            <v>PARQUE MIRANTE DO CASTELO</v>
          </cell>
          <cell r="D3179" t="str">
            <v>38e8eee6-53e9-dc11-abd0-001b7845b4a6</v>
          </cell>
          <cell r="E3179">
            <v>136</v>
          </cell>
        </row>
        <row r="3180">
          <cell r="A3180" t="str">
            <v>BELO HORIZONTE</v>
          </cell>
          <cell r="C3180" t="str">
            <v>SENSIA GRAN BOSQUE</v>
          </cell>
          <cell r="D3180" t="str">
            <v>854d8ef9-1f62-ee11-8acd-80c16e075108</v>
          </cell>
          <cell r="E3180">
            <v>160</v>
          </cell>
        </row>
        <row r="3181">
          <cell r="A3181" t="str">
            <v>BETIM</v>
          </cell>
          <cell r="C3181" t="str">
            <v>CACHOEIRA DOS ANJOS</v>
          </cell>
          <cell r="D3181" t="str">
            <v>68bbcf94-d2cf-e311-8efb-009c02b0cb58</v>
          </cell>
          <cell r="E3181">
            <v>432</v>
          </cell>
        </row>
        <row r="3182">
          <cell r="A3182" t="str">
            <v>BETIM</v>
          </cell>
          <cell r="C3182" t="str">
            <v>RESIDENCIAL CACHOEIRA DOS SINOS</v>
          </cell>
          <cell r="D3182" t="str">
            <v>808153c0-d3cf-e311-8efb-009c02b0cb58</v>
          </cell>
          <cell r="E3182">
            <v>480</v>
          </cell>
        </row>
        <row r="3183">
          <cell r="A3183" t="str">
            <v>BIRIGÜI</v>
          </cell>
          <cell r="C3183" t="str">
            <v>PARQUE BOSQUE DAS AZALEAS</v>
          </cell>
          <cell r="D3183" t="str">
            <v>444166f5-d951-e111-85a8-001b78b9d994</v>
          </cell>
          <cell r="E3183">
            <v>368</v>
          </cell>
        </row>
        <row r="3184">
          <cell r="A3184" t="str">
            <v>BLUMENAU</v>
          </cell>
          <cell r="C3184" t="str">
            <v>RESIDENCIAL BERGER</v>
          </cell>
          <cell r="D3184" t="str">
            <v>66523922-02d2-ec11-ba45-005056890018</v>
          </cell>
          <cell r="E3184">
            <v>580</v>
          </cell>
        </row>
        <row r="3185">
          <cell r="A3185" t="str">
            <v>BLUMENAU</v>
          </cell>
          <cell r="C3185" t="str">
            <v>RESIDENCIAL BAMBURGO</v>
          </cell>
          <cell r="D3185" t="str">
            <v>b40ce03c-c742-ea11-801d-005056856875</v>
          </cell>
          <cell r="E3185">
            <v>480</v>
          </cell>
        </row>
        <row r="3186">
          <cell r="A3186" t="str">
            <v>BOTUCATU</v>
          </cell>
          <cell r="C3186" t="str">
            <v>RESIDENCIAL BELLA SUÉCIA</v>
          </cell>
          <cell r="D3186" t="str">
            <v>3c13a0ea-88ca-ea11-beeb-005056856875</v>
          </cell>
          <cell r="E3186">
            <v>224</v>
          </cell>
        </row>
        <row r="3187">
          <cell r="A3187" t="str">
            <v>BOTUCATU</v>
          </cell>
          <cell r="C3187" t="str">
            <v>BARÃO DE LINHARES</v>
          </cell>
          <cell r="D3187" t="str">
            <v>eb4923c2-382d-e811-a00d-009c02b0cb58</v>
          </cell>
          <cell r="E3187">
            <v>192</v>
          </cell>
        </row>
        <row r="3188">
          <cell r="A3188" t="str">
            <v>BOTUCATU</v>
          </cell>
          <cell r="C3188" t="str">
            <v>RESIDENCIAL GREEN PARK</v>
          </cell>
          <cell r="D3188" t="str">
            <v>8972b978-ec7a-ec11-b501-005056856b6c</v>
          </cell>
          <cell r="E3188">
            <v>405</v>
          </cell>
        </row>
        <row r="3189">
          <cell r="A3189" t="str">
            <v>CABEDELO</v>
          </cell>
          <cell r="C3189" t="str">
            <v>RESERVA ALMAGRE</v>
          </cell>
          <cell r="D3189" t="str">
            <v>18c97e87-45b9-e911-a3f3-005056856b6c</v>
          </cell>
          <cell r="E3189">
            <v>288</v>
          </cell>
        </row>
        <row r="3190">
          <cell r="A3190" t="str">
            <v>CABEDELO</v>
          </cell>
          <cell r="C3190" t="str">
            <v>RESERVA AREIA VERMELHA</v>
          </cell>
          <cell r="D3190" t="str">
            <v>5b74ef1a-46b9-e911-a3f3-005056856b6c</v>
          </cell>
          <cell r="E3190">
            <v>288</v>
          </cell>
        </row>
        <row r="3191">
          <cell r="A3191" t="str">
            <v>CAMAÇARI</v>
          </cell>
          <cell r="C3191" t="str">
            <v>SOLAR DAS AMOREIRAS</v>
          </cell>
          <cell r="D3191" t="str">
            <v>7a43e2df-aaba-e811-a4f5-80c16e075108</v>
          </cell>
          <cell r="E3191">
            <v>400</v>
          </cell>
        </row>
        <row r="3192">
          <cell r="A3192" t="str">
            <v>CAMAÇARI</v>
          </cell>
          <cell r="C3192" t="str">
            <v>SOLAR DOS CAJUEIROS</v>
          </cell>
          <cell r="D3192" t="str">
            <v>8934b18b-aaba-e811-a4f5-80c16e075108</v>
          </cell>
          <cell r="E3192">
            <v>420</v>
          </cell>
        </row>
        <row r="3193">
          <cell r="A3193" t="str">
            <v>CAMARAGIBE</v>
          </cell>
          <cell r="C3193" t="str">
            <v>RESIDENCIAL REAL PRIME</v>
          </cell>
          <cell r="D3193" t="str">
            <v>1395ff8d-81fd-e811-b503-009c02b0cb58</v>
          </cell>
          <cell r="E3193">
            <v>200</v>
          </cell>
        </row>
        <row r="3194">
          <cell r="A3194" t="str">
            <v>CAMARAGIBE</v>
          </cell>
          <cell r="C3194" t="str">
            <v>RESIDENCIAL REAL PALACE</v>
          </cell>
          <cell r="D3194" t="str">
            <v>719f30b6-421a-e711-ac8c-80c16e075108</v>
          </cell>
          <cell r="E3194">
            <v>248</v>
          </cell>
        </row>
        <row r="3195">
          <cell r="A3195" t="str">
            <v>CAMPINAS</v>
          </cell>
          <cell r="C3195" t="str">
            <v>RESIDENCIAL CANTO DA MATA</v>
          </cell>
          <cell r="D3195" t="str">
            <v>8f6b10b1-3b15-e711-b3b8-009c02b0cb58</v>
          </cell>
          <cell r="E3195">
            <v>296</v>
          </cell>
        </row>
        <row r="3196">
          <cell r="A3196" t="str">
            <v>CAMPINAS</v>
          </cell>
          <cell r="C3196" t="str">
            <v>JOY GARDEN</v>
          </cell>
          <cell r="D3196" t="str">
            <v>432629da-1f0f-e711-ac8b-80c16e075108</v>
          </cell>
          <cell r="E3196">
            <v>360</v>
          </cell>
        </row>
        <row r="3197">
          <cell r="A3197" t="str">
            <v>CAMPINAS</v>
          </cell>
          <cell r="C3197" t="str">
            <v>CORES DA ILHA</v>
          </cell>
          <cell r="D3197" t="str">
            <v>09c2f326-7667-e511-8826-80c16e075108</v>
          </cell>
          <cell r="E3197">
            <v>280</v>
          </cell>
        </row>
        <row r="3198">
          <cell r="A3198" t="str">
            <v>CAMPINAS</v>
          </cell>
          <cell r="C3198" t="str">
            <v>CITY GALLERIA</v>
          </cell>
          <cell r="D3198" t="str">
            <v>d45748e2-7586-de11-9553-001f2909e83c</v>
          </cell>
          <cell r="E3198">
            <v>528</v>
          </cell>
        </row>
        <row r="3199">
          <cell r="A3199" t="str">
            <v>CAMPINAS</v>
          </cell>
          <cell r="C3199" t="str">
            <v>SENSIA GALLERIA</v>
          </cell>
          <cell r="D3199" t="str">
            <v>d8a6d56d-ecdd-e411-b5d2-009c02b0cb58</v>
          </cell>
          <cell r="E3199">
            <v>104</v>
          </cell>
        </row>
        <row r="3200">
          <cell r="A3200" t="str">
            <v>CAMPINAS</v>
          </cell>
          <cell r="C3200" t="str">
            <v>COLINA DO SOL</v>
          </cell>
          <cell r="D3200" t="str">
            <v>586a6b76-625f-ec11-b501-005056856b6c</v>
          </cell>
          <cell r="E3200">
            <v>200</v>
          </cell>
        </row>
        <row r="3201">
          <cell r="A3201" t="str">
            <v>CAMPINAS</v>
          </cell>
          <cell r="C3201" t="str">
            <v>CONDOMÍNIO COSTA DOS VENTOS</v>
          </cell>
          <cell r="D3201" t="str">
            <v>92b6a31c-34c0-e911-a2e9-0050568aa20f</v>
          </cell>
          <cell r="E3201">
            <v>288</v>
          </cell>
        </row>
        <row r="3202">
          <cell r="A3202" t="str">
            <v>CAMPINAS</v>
          </cell>
          <cell r="C3202" t="str">
            <v>RESIDENCIAL SAFIRA VILLE</v>
          </cell>
          <cell r="D3202" t="str">
            <v>f22fd940-c92a-e911-8c00-80c16e075108</v>
          </cell>
          <cell r="E3202">
            <v>336</v>
          </cell>
        </row>
        <row r="3203">
          <cell r="A3203" t="str">
            <v>CAMPINAS</v>
          </cell>
          <cell r="C3203" t="str">
            <v>SENSIA SWISS GARDEN</v>
          </cell>
          <cell r="D3203" t="str">
            <v>5a5f7f85-e25b-eb11-ac7f-005056856875</v>
          </cell>
          <cell r="E3203">
            <v>280</v>
          </cell>
        </row>
        <row r="3204">
          <cell r="A3204" t="str">
            <v>CAMPINAS</v>
          </cell>
          <cell r="C3204" t="str">
            <v>SENSIA SWISS VIEW</v>
          </cell>
          <cell r="D3204" t="str">
            <v>dfad1027-e15b-eb11-ac7f-005056856875</v>
          </cell>
          <cell r="E3204">
            <v>280</v>
          </cell>
        </row>
        <row r="3205">
          <cell r="A3205" t="str">
            <v>CAMPINAS</v>
          </cell>
          <cell r="C3205" t="str">
            <v>RESIDENCIAL CANOAS</v>
          </cell>
          <cell r="D3205" t="str">
            <v>e34069c3-df03-ee11-8acd-80c16e075108</v>
          </cell>
          <cell r="E3205">
            <v>176</v>
          </cell>
        </row>
        <row r="3206">
          <cell r="A3206" t="str">
            <v>CAMPINAS</v>
          </cell>
          <cell r="C3206" t="str">
            <v>COSTA DOS ALPES</v>
          </cell>
          <cell r="D3206" t="str">
            <v>ae4d3843-bc40-ec11-b501-005056856b6c</v>
          </cell>
          <cell r="E3206">
            <v>192</v>
          </cell>
        </row>
        <row r="3207">
          <cell r="A3207" t="str">
            <v>CAMPINAS</v>
          </cell>
          <cell r="C3207" t="str">
            <v>SENSIA TAQUARAL</v>
          </cell>
          <cell r="D3207" t="str">
            <v>812bc8ee-6c1f-eb11-9d23-005056856b6c</v>
          </cell>
          <cell r="E3207">
            <v>108</v>
          </cell>
        </row>
        <row r="3208">
          <cell r="A3208" t="str">
            <v>CAMPINAS</v>
          </cell>
          <cell r="C3208" t="str">
            <v>VEM VIVER ARES</v>
          </cell>
          <cell r="D3208" t="str">
            <v>07b6134b-294c-ee11-8acd-80c16e075108</v>
          </cell>
          <cell r="E3208">
            <v>352</v>
          </cell>
        </row>
        <row r="3209">
          <cell r="A3209" t="str">
            <v>CAMPINAS</v>
          </cell>
          <cell r="C3209" t="str">
            <v>RESIDENCIAL CELESTIAL</v>
          </cell>
          <cell r="D3209" t="str">
            <v>920d4571-3a9f-ec11-b501-005056856b6c</v>
          </cell>
          <cell r="E3209">
            <v>384</v>
          </cell>
        </row>
        <row r="3210">
          <cell r="A3210" t="str">
            <v>CAMPINAS</v>
          </cell>
          <cell r="C3210" t="str">
            <v>RESIDENCIAL COLORADO</v>
          </cell>
          <cell r="D3210" t="str">
            <v>07b64311-239f-ec11-b501-005056856b6c</v>
          </cell>
          <cell r="E3210">
            <v>384</v>
          </cell>
        </row>
        <row r="3211">
          <cell r="A3211" t="str">
            <v>CAMPO GRANDE</v>
          </cell>
          <cell r="C3211" t="str">
            <v>CLASSIQUE</v>
          </cell>
          <cell r="D3211" t="str">
            <v>543ad134-c949-dd11-bc22-001b78b9d994</v>
          </cell>
          <cell r="E3211">
            <v>448</v>
          </cell>
        </row>
        <row r="3212">
          <cell r="A3212" t="str">
            <v>CAMPO GRANDE</v>
          </cell>
          <cell r="C3212" t="str">
            <v>RESIDENCIAL DE FLORENÇA</v>
          </cell>
          <cell r="D3212" t="str">
            <v>494f0c43-6f3f-e511-a3a7-80c16e075108</v>
          </cell>
          <cell r="E3212">
            <v>96</v>
          </cell>
        </row>
        <row r="3213">
          <cell r="A3213" t="str">
            <v>CAMPO GRANDE</v>
          </cell>
          <cell r="C3213" t="str">
            <v>RESIDENCIAL DE SIENA</v>
          </cell>
          <cell r="D3213" t="str">
            <v>2f202285-a5bb-e611-abb6-80c16e075108</v>
          </cell>
          <cell r="E3213">
            <v>96</v>
          </cell>
        </row>
        <row r="3214">
          <cell r="A3214" t="str">
            <v>CAMPO GRANDE</v>
          </cell>
          <cell r="C3214" t="str">
            <v>CASTELLO DI ANGELO</v>
          </cell>
          <cell r="D3214" t="str">
            <v>bcb50c6d-78e9-e611-abb6-80c16e075108</v>
          </cell>
          <cell r="E3214">
            <v>240</v>
          </cell>
        </row>
        <row r="3215">
          <cell r="A3215" t="str">
            <v>CAMPO GRANDE</v>
          </cell>
          <cell r="C3215" t="str">
            <v>CASTELLO DI FRANCESCO</v>
          </cell>
          <cell r="D3215" t="str">
            <v>bf24e352-79e9-e611-abb6-80c16e075108</v>
          </cell>
          <cell r="E3215">
            <v>240</v>
          </cell>
        </row>
        <row r="3216">
          <cell r="A3216" t="str">
            <v>CAMPO GRANDE</v>
          </cell>
          <cell r="C3216" t="str">
            <v>CASTELLO DI LORENZO</v>
          </cell>
          <cell r="D3216" t="str">
            <v>f600bbfb-77e9-e611-abb6-80c16e075108</v>
          </cell>
          <cell r="E3216">
            <v>240</v>
          </cell>
        </row>
        <row r="3217">
          <cell r="A3217" t="str">
            <v>CAMPO GRANDE</v>
          </cell>
          <cell r="C3217" t="str">
            <v>CASTELO DE SENNA</v>
          </cell>
          <cell r="D3217" t="str">
            <v>eac9c608-fac3-ed11-879a-80c16e075108</v>
          </cell>
          <cell r="E3217">
            <v>240</v>
          </cell>
        </row>
        <row r="3218">
          <cell r="A3218" t="str">
            <v>CAMPO GRANDE</v>
          </cell>
          <cell r="C3218" t="str">
            <v>CASTELLO DI MATHISA</v>
          </cell>
          <cell r="D3218" t="str">
            <v>d188ae82-f61f-ed11-b1ad-005056856875</v>
          </cell>
          <cell r="E3218">
            <v>576</v>
          </cell>
        </row>
        <row r="3219">
          <cell r="A3219" t="str">
            <v>CAMPO GRANDE</v>
          </cell>
          <cell r="C3219" t="str">
            <v>CASTELLO DI VENETO</v>
          </cell>
          <cell r="D3219" t="str">
            <v>06cc2c7e-d932-ea11-9e6d-005056856875</v>
          </cell>
          <cell r="E3219">
            <v>400</v>
          </cell>
        </row>
        <row r="3220">
          <cell r="A3220" t="str">
            <v>CAMPO GRANDE</v>
          </cell>
          <cell r="C3220" t="str">
            <v>CASTELO DE VERSALHES</v>
          </cell>
          <cell r="D3220" t="str">
            <v>9de01f1a-0841-ee11-8acd-80c16e075108</v>
          </cell>
          <cell r="E3220">
            <v>192</v>
          </cell>
        </row>
        <row r="3221">
          <cell r="A3221" t="str">
            <v>CAMPO GRANDE</v>
          </cell>
          <cell r="C3221" t="str">
            <v>CASTELO DE EDIMBURGO</v>
          </cell>
          <cell r="D3221" t="str">
            <v>55a2fda2-ea95-ea11-beeb-005056856875</v>
          </cell>
          <cell r="E3221">
            <v>240</v>
          </cell>
        </row>
        <row r="3222">
          <cell r="A3222" t="str">
            <v>CAMPO GRANDE</v>
          </cell>
          <cell r="C3222" t="str">
            <v>CASTELO DE WINDSOR</v>
          </cell>
          <cell r="D3222" t="str">
            <v>9b57fb79-a6dc-ea11-88c0-0050568aa20f</v>
          </cell>
          <cell r="E3222">
            <v>240</v>
          </cell>
        </row>
        <row r="3223">
          <cell r="A3223" t="str">
            <v>CAMPO GRANDE</v>
          </cell>
          <cell r="C3223" t="str">
            <v>CASTELO DE ORLEANS</v>
          </cell>
          <cell r="D3223" t="str">
            <v>b59a3b84-7c5e-ec11-b501-005056856b6c</v>
          </cell>
          <cell r="E3223">
            <v>440</v>
          </cell>
        </row>
        <row r="3224">
          <cell r="A3224" t="str">
            <v>CAMPO GRANDE</v>
          </cell>
          <cell r="C3224" t="str">
            <v>PARQUE CASTELO GIBRALTAR</v>
          </cell>
          <cell r="D3224" t="str">
            <v>c2a5a6bb-c126-df11-b3ab-001f2909e810</v>
          </cell>
          <cell r="E3224">
            <v>576</v>
          </cell>
        </row>
        <row r="3225">
          <cell r="A3225" t="str">
            <v>CAMPO LIMPO PAULISTA</v>
          </cell>
          <cell r="C3225" t="str">
            <v>PARQUE JARDIM PAULISTA</v>
          </cell>
          <cell r="D3225" t="str">
            <v>316a7d81-3768-df11-9f9a-001f2909e810</v>
          </cell>
          <cell r="E3225">
            <v>296</v>
          </cell>
        </row>
        <row r="3226">
          <cell r="A3226" t="str">
            <v>CAMPOS DOS GOYTACAZES</v>
          </cell>
          <cell r="C3226" t="str">
            <v>ALAMEDA DOS COQUEIROS</v>
          </cell>
          <cell r="D3226" t="str">
            <v>9c50606c-59c0-e511-b93a-80c16e075108</v>
          </cell>
          <cell r="E3226">
            <v>480</v>
          </cell>
        </row>
        <row r="3227">
          <cell r="A3227" t="str">
            <v>CAMPOS DOS GOYTACAZES</v>
          </cell>
          <cell r="C3227" t="str">
            <v>PARQUE JARDIM DAS ACÁCIAS</v>
          </cell>
          <cell r="D3227" t="str">
            <v>20c83cc4-a850-e411-8efb-009c02b0cb58</v>
          </cell>
          <cell r="E3227">
            <v>468</v>
          </cell>
        </row>
        <row r="3228">
          <cell r="A3228" t="str">
            <v>CAMPOS DOS GOYTACAZES</v>
          </cell>
          <cell r="C3228" t="str">
            <v>PARQUE GOYTACAZES</v>
          </cell>
          <cell r="D3228" t="str">
            <v>1f6c4965-7733-e011-b242-001f2909e810</v>
          </cell>
          <cell r="E3228">
            <v>384</v>
          </cell>
        </row>
        <row r="3229">
          <cell r="A3229" t="str">
            <v>CAMPOS DOS GOYTACAZES</v>
          </cell>
          <cell r="C3229" t="str">
            <v>RESERVA DOS CRISTAIS_PARQUE ÂMBAR</v>
          </cell>
          <cell r="D3229" t="str">
            <v>43796fd1-7733-e011-b242-001f2909e810</v>
          </cell>
          <cell r="E3229">
            <v>448</v>
          </cell>
        </row>
        <row r="3230">
          <cell r="A3230" t="str">
            <v>CAMPOS DOS GOYTACAZES</v>
          </cell>
          <cell r="C3230" t="str">
            <v>CASAS BEM VIVER EMP 01</v>
          </cell>
          <cell r="D3230" t="str">
            <v>74180b47-3217-e811-bcac-80c16e075108</v>
          </cell>
          <cell r="E3230">
            <v>0</v>
          </cell>
        </row>
        <row r="3231">
          <cell r="A3231" t="str">
            <v>CANOAS</v>
          </cell>
          <cell r="C3231" t="str">
            <v>RESIDENCIAL PORTO BELLO</v>
          </cell>
          <cell r="D3231" t="str">
            <v>061f5ed3-5024-eb11-9d23-005056856b6c</v>
          </cell>
          <cell r="E3231">
            <v>480</v>
          </cell>
        </row>
        <row r="3232">
          <cell r="A3232" t="str">
            <v>CANOAS</v>
          </cell>
          <cell r="C3232" t="str">
            <v>PARQUE PORTO QUARTZO</v>
          </cell>
          <cell r="D3232" t="str">
            <v>7eed60cc-962c-e411-8efb-009c02b0cb58</v>
          </cell>
          <cell r="E3232">
            <v>0</v>
          </cell>
        </row>
        <row r="3233">
          <cell r="A3233" t="str">
            <v>CANOAS</v>
          </cell>
          <cell r="C3233" t="str">
            <v>PORTO ESMERALDA</v>
          </cell>
          <cell r="D3233" t="str">
            <v>586bdc90-8f2c-e411-8efb-009c02b0cb58</v>
          </cell>
          <cell r="E3233">
            <v>0</v>
          </cell>
        </row>
        <row r="3234">
          <cell r="A3234" t="str">
            <v>CARIACICA</v>
          </cell>
          <cell r="C3234" t="str">
            <v>RESIDENCIAL TURMALINA</v>
          </cell>
          <cell r="D3234" t="str">
            <v>a501a918-3a7a-ed11-879a-80c16e075108</v>
          </cell>
          <cell r="E3234">
            <v>200</v>
          </cell>
        </row>
        <row r="3235">
          <cell r="A3235" t="str">
            <v>CARIACICA</v>
          </cell>
          <cell r="C3235" t="str">
            <v>PARQUE VISTA DOS MONTES</v>
          </cell>
          <cell r="D3235" t="str">
            <v>100754c3-8ef4-eb11-a30e-0050568a2e98</v>
          </cell>
          <cell r="E3235">
            <v>460</v>
          </cell>
        </row>
        <row r="3236">
          <cell r="A3236" t="str">
            <v>CATANDUVA</v>
          </cell>
          <cell r="C3236" t="str">
            <v>PARQUE CASA DE MÁLAGA</v>
          </cell>
          <cell r="D3236" t="str">
            <v>d6461a46-7a8e-e111-85aa-001b78b9d994</v>
          </cell>
          <cell r="E3236">
            <v>384</v>
          </cell>
        </row>
        <row r="3237">
          <cell r="A3237" t="str">
            <v>CAUCAIA</v>
          </cell>
          <cell r="C3237" t="str">
            <v>VILLE DE PORTO</v>
          </cell>
          <cell r="D3237" t="str">
            <v>7594f197-685d-ee11-8acd-80c16e075108</v>
          </cell>
          <cell r="E3237">
            <v>320</v>
          </cell>
        </row>
        <row r="3238">
          <cell r="A3238" t="str">
            <v>CAXIAS DO SUL</v>
          </cell>
          <cell r="C3238" t="str">
            <v>PARQUE PORTO SIENA</v>
          </cell>
          <cell r="D3238" t="str">
            <v>f7df71c2-8b37-e511-a6cc-009c02b0cb58</v>
          </cell>
          <cell r="E3238">
            <v>400</v>
          </cell>
        </row>
        <row r="3239">
          <cell r="A3239" t="str">
            <v>CEILÂNDIA</v>
          </cell>
          <cell r="C3239" t="str">
            <v>BELA ALVORADA</v>
          </cell>
          <cell r="D3239" t="str">
            <v>84807771-9f52-e711-bb04-db6828735db2</v>
          </cell>
          <cell r="E3239">
            <v>176</v>
          </cell>
        </row>
        <row r="3240">
          <cell r="A3240" t="str">
            <v>CEILÂNDIA</v>
          </cell>
          <cell r="C3240" t="str">
            <v>TORRES DO POENTE</v>
          </cell>
          <cell r="D3240" t="str">
            <v>b3243bf2-ea5d-ec11-b2fe-005056895191</v>
          </cell>
          <cell r="E3240">
            <v>192</v>
          </cell>
        </row>
        <row r="3241">
          <cell r="A3241" t="str">
            <v>CONTAGEM</v>
          </cell>
          <cell r="C3241" t="str">
            <v>SENSIA SOLARIUM</v>
          </cell>
          <cell r="D3241" t="str">
            <v>7e2aa536-2a8d-e511-9cc2-009c02b0cb58</v>
          </cell>
          <cell r="E3241">
            <v>456</v>
          </cell>
        </row>
        <row r="3242">
          <cell r="A3242" t="str">
            <v>CONTAGEM</v>
          </cell>
          <cell r="C3242" t="str">
            <v>MATA DAS CASTANHEIRAS</v>
          </cell>
          <cell r="D3242" t="str">
            <v>63b8620b-971d-e011-b242-001f2909e810</v>
          </cell>
          <cell r="E3242">
            <v>288</v>
          </cell>
        </row>
        <row r="3243">
          <cell r="A3243" t="str">
            <v>CONTAGEM</v>
          </cell>
          <cell r="C3243" t="str">
            <v>RESIDENCIAL MIRAGE</v>
          </cell>
          <cell r="D3243" t="str">
            <v>f6516c78-d470-e911-b1cd-009c02b0cb58</v>
          </cell>
          <cell r="E3243">
            <v>192</v>
          </cell>
        </row>
        <row r="3244">
          <cell r="A3244" t="str">
            <v>CONTAGEM</v>
          </cell>
          <cell r="C3244" t="str">
            <v>RESIDENCIAL CASCAIS</v>
          </cell>
          <cell r="D3244" t="str">
            <v>eae3ec7e-c124-e911-b503-009c02b0cb58</v>
          </cell>
          <cell r="E3244">
            <v>464</v>
          </cell>
        </row>
        <row r="3245">
          <cell r="A3245" t="str">
            <v>CONTAGEM</v>
          </cell>
          <cell r="C3245" t="str">
            <v>PARQUE GOLDEN GATE</v>
          </cell>
          <cell r="D3245" t="str">
            <v>765fdd1b-3ffe-e011-a6b3-001f2909e810</v>
          </cell>
          <cell r="E3245">
            <v>288</v>
          </cell>
        </row>
        <row r="3246">
          <cell r="A3246" t="str">
            <v>CONTAGEM</v>
          </cell>
          <cell r="C3246" t="str">
            <v>PARQUE LIVORNO CONTAGEM</v>
          </cell>
          <cell r="D3246" t="str">
            <v>82c555f9-e03f-de11-b0e7-001f2909e83c</v>
          </cell>
          <cell r="E3246">
            <v>0</v>
          </cell>
        </row>
        <row r="3247">
          <cell r="A3247" t="str">
            <v>CONTAGEM</v>
          </cell>
          <cell r="C3247" t="str">
            <v>MATA DAS BORBOLETAS</v>
          </cell>
          <cell r="D3247" t="str">
            <v>58752188-54e9-dc11-abd0-001b7845b4a6</v>
          </cell>
          <cell r="E3247">
            <v>128</v>
          </cell>
        </row>
        <row r="3248">
          <cell r="A3248" t="str">
            <v>CUIABÁ</v>
          </cell>
          <cell r="C3248" t="str">
            <v>CHAPADA DAS TULIPAS</v>
          </cell>
          <cell r="D3248" t="str">
            <v>dffd8876-75bb-e811-a4f5-80c16e075108</v>
          </cell>
          <cell r="E3248">
            <v>320</v>
          </cell>
        </row>
        <row r="3249">
          <cell r="A3249" t="str">
            <v>CUIABÁ</v>
          </cell>
          <cell r="C3249" t="str">
            <v>CHAPADA ATALAIA</v>
          </cell>
          <cell r="D3249" t="str">
            <v>db623d68-2599-ee11-8acd-80c16e075108</v>
          </cell>
          <cell r="E3249">
            <v>496</v>
          </cell>
        </row>
        <row r="3250">
          <cell r="A3250" t="str">
            <v>CUIABÁ</v>
          </cell>
          <cell r="C3250" t="str">
            <v>CHAPADA DOS LÍRIOS</v>
          </cell>
          <cell r="D3250" t="str">
            <v>1c451439-450d-e611-a5bb-009c02b0cb58</v>
          </cell>
          <cell r="E3250">
            <v>320</v>
          </cell>
        </row>
        <row r="3251">
          <cell r="A3251" t="str">
            <v>CUIABÁ</v>
          </cell>
          <cell r="C3251" t="str">
            <v>CHAPADA FONTANA</v>
          </cell>
          <cell r="D3251" t="str">
            <v>79f7c7b3-984f-e811-8ce7-80c16e075108</v>
          </cell>
          <cell r="E3251">
            <v>272</v>
          </cell>
        </row>
        <row r="3252">
          <cell r="A3252" t="str">
            <v>CUIABÁ</v>
          </cell>
          <cell r="C3252" t="str">
            <v>CHAPADA GIARDINI</v>
          </cell>
          <cell r="D3252" t="str">
            <v>9b2ddaf7-984f-e811-8ce7-80c16e075108</v>
          </cell>
          <cell r="E3252">
            <v>544</v>
          </cell>
        </row>
        <row r="3253">
          <cell r="A3253" t="str">
            <v>CUIABÁ</v>
          </cell>
          <cell r="C3253" t="str">
            <v>CHAPADA FLAMBOYANT</v>
          </cell>
          <cell r="D3253" t="str">
            <v>0e817816-ce80-ea11-b686-005056856875</v>
          </cell>
          <cell r="E3253">
            <v>400</v>
          </cell>
        </row>
        <row r="3254">
          <cell r="A3254" t="str">
            <v>CUIABÁ</v>
          </cell>
          <cell r="C3254" t="str">
            <v>CITTÁ SPLENDORE</v>
          </cell>
          <cell r="D3254" t="str">
            <v>4611e230-7968-ea11-b686-005056856875</v>
          </cell>
          <cell r="E3254">
            <v>192</v>
          </cell>
        </row>
        <row r="3255">
          <cell r="A3255" t="str">
            <v>CUIABÁ</v>
          </cell>
          <cell r="C3255" t="str">
            <v>CHAPADA DAS PALMEIRAS</v>
          </cell>
          <cell r="D3255" t="str">
            <v>4256b6f7-cb1a-eb11-9d23-005056856b6c</v>
          </cell>
          <cell r="E3255">
            <v>272</v>
          </cell>
        </row>
        <row r="3256">
          <cell r="A3256" t="str">
            <v>CUIABÁ</v>
          </cell>
          <cell r="C3256" t="str">
            <v>CHAPADA REDENTORI</v>
          </cell>
          <cell r="D3256" t="str">
            <v>17bb08e5-9cfc-e811-b503-009c02b0cb58</v>
          </cell>
          <cell r="E3256">
            <v>320</v>
          </cell>
        </row>
        <row r="3257">
          <cell r="A3257" t="str">
            <v>CUIABÁ</v>
          </cell>
          <cell r="C3257" t="str">
            <v>RESIDENCIAL VALE DO OURO</v>
          </cell>
          <cell r="D3257" t="str">
            <v>86fc9bd8-6917-ea11-ba0a-0050568aa20f</v>
          </cell>
          <cell r="E3257">
            <v>232</v>
          </cell>
        </row>
        <row r="3258">
          <cell r="A3258" t="str">
            <v>CUIABÁ</v>
          </cell>
          <cell r="C3258" t="str">
            <v>ALAMEDA DO CERRADO</v>
          </cell>
          <cell r="D3258" t="str">
            <v>52c856e6-875e-ec11-b501-005056856b6c</v>
          </cell>
          <cell r="E3258">
            <v>496</v>
          </cell>
        </row>
        <row r="3259">
          <cell r="A3259" t="str">
            <v>CUIABÁ</v>
          </cell>
          <cell r="C3259" t="str">
            <v>RESIDENCIAL HORIZONTE</v>
          </cell>
          <cell r="D3259" t="str">
            <v>28ddb81f-1c2e-ed11-b1ad-005056856875</v>
          </cell>
          <cell r="E3259">
            <v>424</v>
          </cell>
        </row>
        <row r="3260">
          <cell r="A3260" t="str">
            <v>CURITIBA</v>
          </cell>
          <cell r="C3260" t="str">
            <v>RESIDENCIAL CALLAS</v>
          </cell>
          <cell r="D3260" t="str">
            <v>5fab6661-9dde-eb11-930a-0050568aa20f</v>
          </cell>
          <cell r="E3260">
            <v>360</v>
          </cell>
        </row>
        <row r="3261">
          <cell r="A3261" t="str">
            <v>CURITIBA</v>
          </cell>
          <cell r="C3261" t="str">
            <v>RESIDENCIAL CAMÉLIAS</v>
          </cell>
          <cell r="D3261" t="str">
            <v>8a7098ef-9cde-eb11-930a-0050568aa20f</v>
          </cell>
          <cell r="E3261">
            <v>360</v>
          </cell>
        </row>
        <row r="3262">
          <cell r="A3262" t="str">
            <v>CURITIBA</v>
          </cell>
          <cell r="C3262" t="str">
            <v>RESIDENCIAL CARVALHO</v>
          </cell>
          <cell r="D3262" t="str">
            <v>4b72aa30-9dde-eb11-930a-0050568aa20f</v>
          </cell>
          <cell r="E3262">
            <v>360</v>
          </cell>
        </row>
        <row r="3263">
          <cell r="A3263" t="str">
            <v>CURITIBA</v>
          </cell>
          <cell r="C3263" t="str">
            <v>LUGGO JARDIM BOTÂNICO</v>
          </cell>
          <cell r="D3263" t="str">
            <v>8c5dd8d7-1251-eb11-85d0-005056856875</v>
          </cell>
          <cell r="E3263">
            <v>317</v>
          </cell>
        </row>
        <row r="3264">
          <cell r="A3264" t="str">
            <v>CURITIBA</v>
          </cell>
          <cell r="C3264" t="str">
            <v>RESIDENCIAL CAMPOBELLO</v>
          </cell>
          <cell r="D3264" t="str">
            <v>e433fd9d-bd15-ee11-ae6a-009c02b0cb58</v>
          </cell>
          <cell r="E3264">
            <v>368</v>
          </cell>
        </row>
        <row r="3265">
          <cell r="A3265" t="str">
            <v>CURITIBA</v>
          </cell>
          <cell r="C3265" t="str">
            <v>RESIDENCIAL CAIRÓS</v>
          </cell>
          <cell r="D3265" t="str">
            <v>5ea49046-247d-eb11-8864-0050568aa20f</v>
          </cell>
          <cell r="E3265">
            <v>408</v>
          </cell>
        </row>
        <row r="3266">
          <cell r="A3266" t="str">
            <v>CURITIBA</v>
          </cell>
          <cell r="C3266" t="str">
            <v>RESIDENCIAL CANTO DAS ARAUCÁRIAS</v>
          </cell>
          <cell r="D3266" t="str">
            <v>dbafe985-a2b5-ec11-a74f-005056890018</v>
          </cell>
          <cell r="E3266">
            <v>208</v>
          </cell>
        </row>
        <row r="3267">
          <cell r="A3267" t="str">
            <v>CURITIBA</v>
          </cell>
          <cell r="C3267" t="str">
            <v>SENSIA HORIZON</v>
          </cell>
          <cell r="D3267" t="str">
            <v>fd281904-79d7-ec11-ba45-005056890018</v>
          </cell>
          <cell r="E3267">
            <v>248</v>
          </cell>
        </row>
        <row r="3268">
          <cell r="A3268" t="str">
            <v>CURITIBA</v>
          </cell>
          <cell r="C3268" t="str">
            <v>CHÂTEAU DE VERMONT</v>
          </cell>
          <cell r="D3268" t="str">
            <v>54d1e20d-2d00-ec11-a30e-0050568a2e98</v>
          </cell>
          <cell r="E3268">
            <v>224</v>
          </cell>
        </row>
        <row r="3269">
          <cell r="A3269" t="str">
            <v>DUQUE DE CAXIAS</v>
          </cell>
          <cell r="C3269" t="str">
            <v>RESIDENCIAL MONET</v>
          </cell>
          <cell r="D3269" t="str">
            <v>26e8cd80-66b5-ee11-8e2d-009c02b0cb58</v>
          </cell>
          <cell r="E3269">
            <v>312</v>
          </cell>
        </row>
        <row r="3270">
          <cell r="A3270" t="str">
            <v>DUQUE DE CAXIAS</v>
          </cell>
          <cell r="C3270" t="str">
            <v>PRIMAVERA GARDEN</v>
          </cell>
          <cell r="D3270" t="str">
            <v>910b82b0-09b9-ed11-98d9-009c02b0cb58</v>
          </cell>
          <cell r="E3270">
            <v>612</v>
          </cell>
        </row>
        <row r="3271">
          <cell r="A3271" t="str">
            <v>EUSÉBIO</v>
          </cell>
          <cell r="C3271" t="str">
            <v>ECO PARK</v>
          </cell>
          <cell r="D3271" t="str">
            <v>c8a20bcd-d306-ed11-ba45-005056890018</v>
          </cell>
          <cell r="E3271">
            <v>200</v>
          </cell>
        </row>
        <row r="3272">
          <cell r="A3272" t="str">
            <v>FEIRA DE SANTANA</v>
          </cell>
          <cell r="C3272" t="str">
            <v>PARQUE FONTE DAS AGUAS</v>
          </cell>
          <cell r="D3272" t="str">
            <v>67af4d8a-2741-e111-9fa8-001f2909e810</v>
          </cell>
          <cell r="E3272">
            <v>696</v>
          </cell>
        </row>
        <row r="3273">
          <cell r="A3273" t="str">
            <v>FEIRA DE SANTANA</v>
          </cell>
          <cell r="C3273" t="str">
            <v>FEIRA PALACE</v>
          </cell>
          <cell r="D3273" t="str">
            <v>1b3d5014-455b-e711-bb04-db6828735db2</v>
          </cell>
          <cell r="E3273">
            <v>500</v>
          </cell>
        </row>
        <row r="3274">
          <cell r="A3274" t="str">
            <v>FEIRA DE SANTANA</v>
          </cell>
          <cell r="C3274" t="str">
            <v>RESIDENCIAL FONTE ROYAL</v>
          </cell>
          <cell r="D3274" t="str">
            <v>e604d856-3fbe-e711-b989-80c16e075108</v>
          </cell>
          <cell r="E3274">
            <v>312</v>
          </cell>
        </row>
        <row r="3275">
          <cell r="A3275" t="str">
            <v>FORTALEZA</v>
          </cell>
          <cell r="C3275" t="str">
            <v>RESIDENCIAL MANDACARU</v>
          </cell>
          <cell r="D3275" t="str">
            <v>3bc99e19-2d10-ee11-9510-005056856875</v>
          </cell>
          <cell r="E3275">
            <v>204</v>
          </cell>
        </row>
        <row r="3276">
          <cell r="A3276" t="str">
            <v>FORTALEZA</v>
          </cell>
          <cell r="C3276" t="str">
            <v>RECANTO DOS SABIÁS</v>
          </cell>
          <cell r="D3276" t="str">
            <v>ac1f0e54-142e-ed11-b1ad-005056856875</v>
          </cell>
          <cell r="E3276">
            <v>260</v>
          </cell>
        </row>
        <row r="3277">
          <cell r="A3277" t="str">
            <v>FORTALEZA</v>
          </cell>
          <cell r="C3277" t="str">
            <v>FORTE ALENCAR</v>
          </cell>
          <cell r="D3277" t="str">
            <v>ec657458-5afc-e711-b989-80c16e075108</v>
          </cell>
          <cell r="E3277">
            <v>492</v>
          </cell>
        </row>
        <row r="3278">
          <cell r="A3278" t="str">
            <v>FORTALEZA</v>
          </cell>
          <cell r="C3278" t="str">
            <v>RESERVA BRISA DO MAR</v>
          </cell>
          <cell r="D3278" t="str">
            <v>52128ea1-4747-ea11-801d-005056856875</v>
          </cell>
          <cell r="E3278">
            <v>272</v>
          </cell>
        </row>
        <row r="3279">
          <cell r="A3279" t="str">
            <v>FORTALEZA</v>
          </cell>
          <cell r="C3279" t="str">
            <v>RESERVA VILA DO SOL</v>
          </cell>
          <cell r="D3279" t="str">
            <v>a73e451a-4747-ea11-801d-005056856875</v>
          </cell>
          <cell r="E3279">
            <v>264</v>
          </cell>
        </row>
        <row r="3280">
          <cell r="A3280" t="str">
            <v>FORTALEZA</v>
          </cell>
          <cell r="C3280" t="str">
            <v>PORTO DAS MARÉS</v>
          </cell>
          <cell r="D3280" t="str">
            <v>969ff61f-1697-e811-b96e-009c02b0cb58</v>
          </cell>
          <cell r="E3280">
            <v>576</v>
          </cell>
        </row>
        <row r="3281">
          <cell r="A3281" t="str">
            <v>FORTALEZA</v>
          </cell>
          <cell r="C3281" t="str">
            <v>RESERVA DA LAGOA</v>
          </cell>
          <cell r="D3281" t="str">
            <v>cb01fed2-47d9-e811-a4f5-80c16e075108</v>
          </cell>
          <cell r="E3281">
            <v>372</v>
          </cell>
        </row>
        <row r="3282">
          <cell r="A3282" t="str">
            <v>FORTALEZA</v>
          </cell>
          <cell r="C3282" t="str">
            <v>RESIDENCIAL FAROL DO ATLÂNTICO</v>
          </cell>
          <cell r="D3282" t="str">
            <v>793d2ba0-9b5f-ed11-879a-80c16e075108</v>
          </cell>
          <cell r="E3282">
            <v>204</v>
          </cell>
        </row>
        <row r="3283">
          <cell r="A3283" t="str">
            <v>FORTALEZA</v>
          </cell>
          <cell r="C3283" t="str">
            <v>RESIDENCIAL RECANTO DAS PALMEIRAS</v>
          </cell>
          <cell r="D3283" t="str">
            <v>90a55986-bb9e-ea11-beeb-005056856875</v>
          </cell>
          <cell r="E3283">
            <v>240</v>
          </cell>
        </row>
        <row r="3284">
          <cell r="A3284" t="str">
            <v>FORTALEZA</v>
          </cell>
          <cell r="C3284" t="str">
            <v>RESIDENCIAL LA SERENA</v>
          </cell>
          <cell r="D3284" t="str">
            <v>643a6adf-2be6-ee11-9143-80c16e075108</v>
          </cell>
          <cell r="E3284">
            <v>240</v>
          </cell>
        </row>
        <row r="3285">
          <cell r="A3285" t="str">
            <v>FORTALEZA</v>
          </cell>
          <cell r="C3285" t="str">
            <v>TORRE DO MAR</v>
          </cell>
          <cell r="D3285" t="str">
            <v>56354365-3054-eb11-85d0-005056856875</v>
          </cell>
          <cell r="E3285">
            <v>384</v>
          </cell>
        </row>
        <row r="3286">
          <cell r="A3286" t="str">
            <v>FORTALEZA</v>
          </cell>
          <cell r="C3286" t="str">
            <v>RESIDENCIAL FLOR DO SERTÃO</v>
          </cell>
          <cell r="D3286" t="str">
            <v>bf3a7299-f081-ef11-b65c-009c02b0cb58</v>
          </cell>
          <cell r="E3286">
            <v>216</v>
          </cell>
        </row>
        <row r="3287">
          <cell r="A3287" t="str">
            <v>FORTALEZA</v>
          </cell>
          <cell r="C3287" t="str">
            <v>RESIDENCIAL VALPARAÍSO</v>
          </cell>
          <cell r="D3287" t="str">
            <v>cc5c6ce1-25e6-ee11-94f2-005056856875</v>
          </cell>
          <cell r="E3287">
            <v>240</v>
          </cell>
        </row>
        <row r="3288">
          <cell r="A3288" t="str">
            <v>FRANCA</v>
          </cell>
          <cell r="C3288" t="str">
            <v>FIORENTTINO RESIDENCE</v>
          </cell>
          <cell r="D3288" t="str">
            <v>97a7dc8d-c90e-e911-b773-80c16e075108</v>
          </cell>
          <cell r="E3288">
            <v>200</v>
          </cell>
        </row>
        <row r="3289">
          <cell r="A3289" t="str">
            <v>GAMA</v>
          </cell>
          <cell r="C3289" t="str">
            <v>GIARDINI DI PIAZZA</v>
          </cell>
          <cell r="D3289" t="str">
            <v>2d7582b9-2012-eb11-9d23-005056856b6c</v>
          </cell>
          <cell r="E3289">
            <v>144</v>
          </cell>
        </row>
        <row r="3290">
          <cell r="A3290" t="str">
            <v>GAMA</v>
          </cell>
          <cell r="C3290" t="str">
            <v>GIARDINI DI FIORI</v>
          </cell>
          <cell r="D3290" t="str">
            <v>8ed166bf-22f5-eb11-a30e-0050568a2e98</v>
          </cell>
          <cell r="E3290">
            <v>208</v>
          </cell>
        </row>
        <row r="3291">
          <cell r="A3291" t="str">
            <v>GOIÂNIA</v>
          </cell>
          <cell r="C3291" t="str">
            <v>GRAN PARIS</v>
          </cell>
          <cell r="D3291" t="str">
            <v>4d32a022-802b-e811-a00d-009c02b0cb58</v>
          </cell>
          <cell r="E3291">
            <v>224</v>
          </cell>
        </row>
        <row r="3292">
          <cell r="A3292" t="str">
            <v>GOIÂNIA</v>
          </cell>
          <cell r="C3292" t="str">
            <v>RESIDENCIAL GOLDEN VILLE</v>
          </cell>
          <cell r="D3292" t="str">
            <v>9e525e2f-6802-e211-9e30-001f2909e810</v>
          </cell>
          <cell r="E3292">
            <v>560</v>
          </cell>
        </row>
        <row r="3293">
          <cell r="A3293" t="str">
            <v>GOIÂNIA</v>
          </cell>
          <cell r="C3293" t="str">
            <v>GRAN LÍRIO</v>
          </cell>
          <cell r="D3293" t="str">
            <v>49229dbc-0707-ea11-ba0a-0050568aa20f</v>
          </cell>
          <cell r="E3293">
            <v>544</v>
          </cell>
        </row>
        <row r="3294">
          <cell r="A3294" t="str">
            <v>GOIÂNIA</v>
          </cell>
          <cell r="C3294" t="str">
            <v>GRAN AURORA</v>
          </cell>
          <cell r="D3294" t="str">
            <v>a1663659-e6e0-eb11-930a-0050568aa20f</v>
          </cell>
          <cell r="E3294">
            <v>448</v>
          </cell>
        </row>
        <row r="3295">
          <cell r="A3295" t="str">
            <v>GOIÂNIA</v>
          </cell>
          <cell r="C3295" t="str">
            <v>GRAN SAVOY</v>
          </cell>
          <cell r="D3295" t="str">
            <v>6d8e11aa-ed06-ea11-ba0a-0050568aa20f</v>
          </cell>
          <cell r="E3295">
            <v>0</v>
          </cell>
        </row>
        <row r="3296">
          <cell r="A3296" t="str">
            <v>GOIÂNIA</v>
          </cell>
          <cell r="C3296" t="str">
            <v>GRAN REGENCE</v>
          </cell>
          <cell r="D3296" t="str">
            <v>686cce5c-455d-e911-90bb-80c16e075108</v>
          </cell>
          <cell r="E3296">
            <v>384</v>
          </cell>
        </row>
        <row r="3297">
          <cell r="A3297" t="str">
            <v>GOIÂNIA</v>
          </cell>
          <cell r="C3297" t="str">
            <v>GRAN PLAZA</v>
          </cell>
          <cell r="D3297" t="str">
            <v>db70c7e4-a41e-eb11-9d23-005056856b6c</v>
          </cell>
          <cell r="E3297">
            <v>328</v>
          </cell>
        </row>
        <row r="3298">
          <cell r="A3298" t="str">
            <v>GOIÂNIA</v>
          </cell>
          <cell r="C3298" t="str">
            <v>GRAN PORTO</v>
          </cell>
          <cell r="D3298" t="str">
            <v>cca59f78-a51e-eb11-9d23-005056856b6c</v>
          </cell>
          <cell r="E3298">
            <v>392</v>
          </cell>
        </row>
        <row r="3299">
          <cell r="A3299" t="str">
            <v>GOIÂNIA</v>
          </cell>
          <cell r="C3299" t="str">
            <v>GRAN VILLAGE</v>
          </cell>
          <cell r="D3299" t="str">
            <v>a336219c-d7d8-eb11-930a-0050568aa20f</v>
          </cell>
          <cell r="E3299">
            <v>256</v>
          </cell>
        </row>
        <row r="3300">
          <cell r="A3300" t="str">
            <v>GOIÂNIA</v>
          </cell>
          <cell r="C3300" t="str">
            <v>PRIVILEGE</v>
          </cell>
          <cell r="D3300" t="str">
            <v>e1c38a52-edfe-ec11-b1ad-005056856875</v>
          </cell>
          <cell r="E3300">
            <v>440</v>
          </cell>
        </row>
        <row r="3301">
          <cell r="A3301" t="str">
            <v>GOIÂNIA</v>
          </cell>
          <cell r="C3301" t="str">
            <v>VERT</v>
          </cell>
          <cell r="D3301" t="str">
            <v>31335405-692c-ec11-b501-005056856b6c</v>
          </cell>
          <cell r="E3301">
            <v>432</v>
          </cell>
        </row>
        <row r="3302">
          <cell r="A3302" t="str">
            <v>GRAVATAÍ</v>
          </cell>
          <cell r="C3302" t="str">
            <v>RESIDENCIAL PORTO MADRID</v>
          </cell>
          <cell r="D3302" t="str">
            <v>33b3926d-eee7-e611-abb6-80c16e075108</v>
          </cell>
          <cell r="E3302">
            <v>500</v>
          </cell>
        </row>
        <row r="3303">
          <cell r="A3303" t="str">
            <v>GRAVATAÍ</v>
          </cell>
          <cell r="C3303" t="str">
            <v>PARQUE PORTO GRAVATAÍ</v>
          </cell>
          <cell r="D3303" t="str">
            <v>cbe46db6-6c56-e111-a73d-001f2909e810</v>
          </cell>
          <cell r="E3303">
            <v>400</v>
          </cell>
        </row>
        <row r="3304">
          <cell r="A3304" t="str">
            <v>GRAVATAÍ</v>
          </cell>
          <cell r="C3304" t="str">
            <v>CONDOMÍNIO RESIDENCIAL PORTO SAVANA</v>
          </cell>
          <cell r="D3304" t="str">
            <v>3641099d-1120-e911-b503-009c02b0cb58</v>
          </cell>
          <cell r="E3304">
            <v>180</v>
          </cell>
        </row>
        <row r="3305">
          <cell r="A3305" t="str">
            <v>GUARULHOS</v>
          </cell>
          <cell r="C3305" t="str">
            <v>RESIDENCIAL GOLDEN CITY</v>
          </cell>
          <cell r="D3305" t="str">
            <v>16b36361-4878-e711-91b2-80c16e075108</v>
          </cell>
          <cell r="E3305">
            <v>472</v>
          </cell>
        </row>
        <row r="3306">
          <cell r="A3306" t="str">
            <v>GUARULHOS</v>
          </cell>
          <cell r="C3306" t="str">
            <v>TERRAZO VILLA AUGUSTA</v>
          </cell>
          <cell r="D3306" t="str">
            <v>1ebbcb67-2975-ea11-aed6-0050568aa20f</v>
          </cell>
          <cell r="E3306">
            <v>336</v>
          </cell>
        </row>
        <row r="3307">
          <cell r="A3307" t="str">
            <v>GUARULHOS</v>
          </cell>
          <cell r="C3307" t="str">
            <v>RESIDENCIAL GRAND GUARULHOS</v>
          </cell>
          <cell r="D3307" t="str">
            <v>fb9ead83-a165-eb11-aa45-005056856875</v>
          </cell>
          <cell r="E3307">
            <v>504</v>
          </cell>
        </row>
        <row r="3308">
          <cell r="A3308" t="str">
            <v>ITAQUAQUECETUBA</v>
          </cell>
          <cell r="C3308" t="str">
            <v>MIRANTE DA COLINA</v>
          </cell>
          <cell r="D3308" t="str">
            <v>bd4dcfad-da9b-ec11-a871-005056895191</v>
          </cell>
          <cell r="E3308">
            <v>480</v>
          </cell>
        </row>
        <row r="3309">
          <cell r="A3309" t="str">
            <v>ITÚ</v>
          </cell>
          <cell r="C3309" t="str">
            <v>RESIDENCIAL ILHA DE MALTA</v>
          </cell>
          <cell r="D3309" t="str">
            <v>e2fb4de3-5545-eb11-85d0-005056856875</v>
          </cell>
          <cell r="E3309">
            <v>464</v>
          </cell>
        </row>
        <row r="3310">
          <cell r="A3310" t="str">
            <v>JABOATÃO DOS GUARARAPES</v>
          </cell>
          <cell r="C3310" t="str">
            <v>RESIDENCE PARK</v>
          </cell>
          <cell r="D3310" t="str">
            <v>d7490980-87e3-e811-b503-009c02b0cb58</v>
          </cell>
          <cell r="E3310">
            <v>580</v>
          </cell>
        </row>
        <row r="3311">
          <cell r="A3311" t="str">
            <v>JABOATÃO DOS GUARARAPES</v>
          </cell>
          <cell r="C3311" t="str">
            <v>CANDEIAS GARDEN</v>
          </cell>
          <cell r="D3311" t="str">
            <v>ad0ed60b-3a78-ea11-aed6-0050568aa20f</v>
          </cell>
          <cell r="E3311">
            <v>280</v>
          </cell>
        </row>
        <row r="3312">
          <cell r="A3312" t="str">
            <v>JABOATÃO DOS GUARARAPES</v>
          </cell>
          <cell r="C3312" t="str">
            <v>RECANTO DA LAGOA</v>
          </cell>
          <cell r="D3312" t="str">
            <v>82967f4c-4b7c-e711-91b2-80c16e075108</v>
          </cell>
          <cell r="E3312">
            <v>500</v>
          </cell>
        </row>
        <row r="3313">
          <cell r="A3313" t="str">
            <v>JABOATÃO DOS GUARARAPES</v>
          </cell>
          <cell r="C3313" t="str">
            <v>RESIDENCIAL VILLA DAS LARANJEIRAS</v>
          </cell>
          <cell r="D3313" t="str">
            <v>2f794858-7b33-e911-b8f1-009c02b0cb58</v>
          </cell>
          <cell r="E3313">
            <v>240</v>
          </cell>
        </row>
        <row r="3314">
          <cell r="A3314" t="str">
            <v>JOÃO PESSOA</v>
          </cell>
          <cell r="C3314" t="str">
            <v>PARQUE JARDIM BOUGAINVILLE</v>
          </cell>
          <cell r="D3314" t="str">
            <v>dcb06de9-2bcf-e011-85c2-001f2909e810</v>
          </cell>
          <cell r="E3314">
            <v>304</v>
          </cell>
        </row>
        <row r="3315">
          <cell r="A3315" t="str">
            <v>JOÃO PESSOA</v>
          </cell>
          <cell r="C3315" t="str">
            <v>RESERVA JARDIM AMÉRICA</v>
          </cell>
          <cell r="D3315" t="str">
            <v>35db2c97-6a22-e111-b3c4-001f2909e810</v>
          </cell>
          <cell r="E3315">
            <v>2096</v>
          </cell>
        </row>
        <row r="3316">
          <cell r="A3316" t="str">
            <v>JOÃO PESSOA</v>
          </cell>
          <cell r="C3316" t="str">
            <v>CONDOMINIO JARDIM DOS CORAIS</v>
          </cell>
          <cell r="D3316" t="str">
            <v>be6dde93-cfbd-e911-a3f3-005056856b6c</v>
          </cell>
          <cell r="E3316">
            <v>408</v>
          </cell>
        </row>
        <row r="3317">
          <cell r="A3317" t="str">
            <v>JOÃO PESSOA</v>
          </cell>
          <cell r="C3317" t="str">
            <v>JARDIM TROPICAL</v>
          </cell>
          <cell r="D3317" t="str">
            <v>803dc1d0-cebd-e911-a3f3-005056856b6c</v>
          </cell>
          <cell r="E3317">
            <v>408</v>
          </cell>
        </row>
        <row r="3318">
          <cell r="A3318" t="str">
            <v>JOINVILLE</v>
          </cell>
          <cell r="C3318" t="str">
            <v>RESIDENCIAL JARDIM DOS PRÍNCIPES</v>
          </cell>
          <cell r="D3318" t="str">
            <v>1cd083b7-3f7a-ed11-98d9-009c02b0cb58</v>
          </cell>
          <cell r="E3318">
            <v>176</v>
          </cell>
        </row>
        <row r="3319">
          <cell r="A3319" t="str">
            <v>JOINVILLE</v>
          </cell>
          <cell r="C3319" t="str">
            <v>RESIDENCIAL JARDIM DI ÁVILA</v>
          </cell>
          <cell r="D3319" t="str">
            <v>796c9a53-84b9-e711-a541-009c02b0cb58</v>
          </cell>
          <cell r="E3319">
            <v>192</v>
          </cell>
        </row>
        <row r="3320">
          <cell r="A3320" t="str">
            <v>JUIZ DE FORA</v>
          </cell>
          <cell r="C3320" t="str">
            <v>JARDIM VILA RICA</v>
          </cell>
          <cell r="D3320" t="str">
            <v>3c242a70-7678-eb11-aa45-005056856875</v>
          </cell>
          <cell r="E3320">
            <v>272</v>
          </cell>
        </row>
        <row r="3321">
          <cell r="A3321" t="str">
            <v>JUIZ DE FORA</v>
          </cell>
          <cell r="C3321" t="str">
            <v>TORRES DO AEROPORTO</v>
          </cell>
          <cell r="D3321" t="str">
            <v>6e62e45e-2202-ed11-b1ad-005056856875</v>
          </cell>
          <cell r="E3321">
            <v>360</v>
          </cell>
        </row>
        <row r="3322">
          <cell r="A3322" t="str">
            <v>JUNDIAÍ</v>
          </cell>
          <cell r="C3322" t="str">
            <v>RESIDENCIAL JARDINS</v>
          </cell>
          <cell r="D3322" t="str">
            <v>817c85d9-fc77-e911-b1cd-009c02b0cb58</v>
          </cell>
          <cell r="E3322">
            <v>672</v>
          </cell>
        </row>
        <row r="3323">
          <cell r="A3323" t="str">
            <v>JUNDIAÍ</v>
          </cell>
          <cell r="C3323" t="str">
            <v>RESERVA DI MEDEIROS</v>
          </cell>
          <cell r="D3323" t="str">
            <v>14c0afe5-a5f2-ee11-9e4d-009c02b0cb58</v>
          </cell>
          <cell r="E3323">
            <v>180</v>
          </cell>
        </row>
        <row r="3324">
          <cell r="A3324" t="str">
            <v>JUNDIAÍ</v>
          </cell>
          <cell r="C3324" t="str">
            <v>GRAN FORNARI</v>
          </cell>
          <cell r="D3324" t="str">
            <v>42f8f782-f0fe-ec11-b1ad-005056856875</v>
          </cell>
          <cell r="E3324">
            <v>306</v>
          </cell>
        </row>
        <row r="3325">
          <cell r="A3325" t="str">
            <v>JUNDIAÍ</v>
          </cell>
          <cell r="C3325" t="str">
            <v>RESIDENCIAL JARDIM DAS ARAUCÁRIAS</v>
          </cell>
          <cell r="D3325" t="str">
            <v>7640345f-c9cf-ec11-ba45-005056890018</v>
          </cell>
          <cell r="E3325">
            <v>160</v>
          </cell>
        </row>
        <row r="3326">
          <cell r="A3326" t="str">
            <v>LAGOA SANTA</v>
          </cell>
          <cell r="C3326" t="str">
            <v>LAGOA DAS ESMERALDAS</v>
          </cell>
          <cell r="D3326" t="str">
            <v>69ab6496-c104-e711-b3b7-009c02b0cb58</v>
          </cell>
          <cell r="E3326">
            <v>420</v>
          </cell>
        </row>
        <row r="3327">
          <cell r="A3327" t="str">
            <v>LAGOA SANTA</v>
          </cell>
          <cell r="C3327" t="str">
            <v>RESIDENCIAL LAGOA DOS DIAMANTES</v>
          </cell>
          <cell r="D3327" t="str">
            <v>c3416a2e-a672-e511-a9ee-009c02b0cb58</v>
          </cell>
          <cell r="E3327">
            <v>420</v>
          </cell>
        </row>
        <row r="3328">
          <cell r="A3328" t="str">
            <v>LAGOA SANTA</v>
          </cell>
          <cell r="C3328" t="str">
            <v>RESIDENCIAL LAGOA DE SAFIRA</v>
          </cell>
          <cell r="D3328" t="str">
            <v>9e066828-4d9b-ed11-879a-80c16e075108</v>
          </cell>
          <cell r="E3328">
            <v>336</v>
          </cell>
        </row>
        <row r="3329">
          <cell r="A3329" t="str">
            <v>LIMEIRA</v>
          </cell>
          <cell r="C3329" t="str">
            <v>RESIDENCIAL LUNARE</v>
          </cell>
          <cell r="D3329" t="str">
            <v>c413daed-b7b4-ea11-88c0-0050568aa20f</v>
          </cell>
          <cell r="E3329">
            <v>496</v>
          </cell>
        </row>
        <row r="3330">
          <cell r="A3330" t="str">
            <v>LIMEIRA</v>
          </cell>
          <cell r="C3330" t="str">
            <v>RESIDENCIAL LUZ DO SOL</v>
          </cell>
          <cell r="D3330" t="str">
            <v>ee6f95a6-3985-eb11-8864-0050568aa20f</v>
          </cell>
          <cell r="E3330">
            <v>552</v>
          </cell>
        </row>
        <row r="3331">
          <cell r="A3331" t="str">
            <v>LIMEIRA</v>
          </cell>
          <cell r="C3331" t="str">
            <v>RESIDENCIAL LARANJEIRAS</v>
          </cell>
          <cell r="D3331" t="str">
            <v>b7d37abd-c048-ed11-bbd2-80c16e075108</v>
          </cell>
          <cell r="E3331">
            <v>288</v>
          </cell>
        </row>
        <row r="3332">
          <cell r="A3332" t="str">
            <v>LIMEIRA</v>
          </cell>
          <cell r="C3332" t="str">
            <v>RESIDENCIAL LUZ DA AURORA</v>
          </cell>
          <cell r="D3332" t="str">
            <v>23fe056a-e905-ec11-a30e-0050568a2e98</v>
          </cell>
          <cell r="E3332">
            <v>360</v>
          </cell>
        </row>
        <row r="3333">
          <cell r="A3333" t="str">
            <v>LONDRINA</v>
          </cell>
          <cell r="C3333" t="str">
            <v>RESIDENCIAL LANCELOT</v>
          </cell>
          <cell r="D3333" t="str">
            <v>3a5cbbac-cbba-e911-a2e9-0050568aa20f</v>
          </cell>
          <cell r="E3333">
            <v>560</v>
          </cell>
        </row>
        <row r="3334">
          <cell r="A3334" t="str">
            <v>LONDRINA</v>
          </cell>
          <cell r="C3334" t="str">
            <v>RESIDENCIAL LE CHALET</v>
          </cell>
          <cell r="D3334" t="str">
            <v>d2d01bca-5284-e811-b96e-009c02b0cb58</v>
          </cell>
          <cell r="E3334">
            <v>128</v>
          </cell>
        </row>
        <row r="3335">
          <cell r="A3335" t="str">
            <v>LONDRINA</v>
          </cell>
          <cell r="C3335" t="str">
            <v>RESIDENCIAL LINZ</v>
          </cell>
          <cell r="D3335" t="str">
            <v>df6b1cee-741a-ee11-8acd-80c16e075108</v>
          </cell>
          <cell r="E3335">
            <v>152</v>
          </cell>
        </row>
        <row r="3336">
          <cell r="A3336" t="str">
            <v>LONDRINA</v>
          </cell>
          <cell r="C3336" t="str">
            <v>RESIDENCIAL LAKE DALÍ</v>
          </cell>
          <cell r="D3336" t="str">
            <v>ade3e514-58de-ea11-88c0-0050568aa20f</v>
          </cell>
          <cell r="E3336">
            <v>384</v>
          </cell>
        </row>
        <row r="3337">
          <cell r="A3337" t="str">
            <v>LONDRINA</v>
          </cell>
          <cell r="C3337" t="str">
            <v>RESIDENCIAL LAKE PICASSO</v>
          </cell>
          <cell r="D3337" t="str">
            <v>4d2c535b-56de-ea11-88c0-0050568aa20f</v>
          </cell>
          <cell r="E3337">
            <v>264</v>
          </cell>
        </row>
        <row r="3338">
          <cell r="A3338" t="str">
            <v>LONDRINA</v>
          </cell>
          <cell r="C3338" t="str">
            <v>SENSIA AURORA</v>
          </cell>
          <cell r="D3338" t="str">
            <v>5b9c51dd-2717-ec11-a30e-0050568a2e98</v>
          </cell>
          <cell r="E3338">
            <v>256</v>
          </cell>
        </row>
        <row r="3339">
          <cell r="A3339" t="str">
            <v>LONDRINA</v>
          </cell>
          <cell r="C3339" t="str">
            <v>RESIDENCIAL LA ROCHE</v>
          </cell>
          <cell r="D3339" t="str">
            <v>3127e687-603e-ec11-b501-005056856b6c</v>
          </cell>
          <cell r="E3339">
            <v>288</v>
          </cell>
        </row>
        <row r="3340">
          <cell r="A3340" t="str">
            <v>LONDRINA</v>
          </cell>
          <cell r="C3340" t="str">
            <v>RESIDENCIAL RIO DE JANEIRO</v>
          </cell>
          <cell r="D3340" t="str">
            <v>8bc276ef-1f52-e311-8efb-009c02b0cb58</v>
          </cell>
          <cell r="E3340">
            <v>32</v>
          </cell>
        </row>
        <row r="3341">
          <cell r="A3341" t="str">
            <v>LONDRINA</v>
          </cell>
          <cell r="C3341" t="str">
            <v>SPAZIO LOUISIANA</v>
          </cell>
          <cell r="D3341" t="str">
            <v>4b00adae-9bc0-e111-babc-001b78b9d994</v>
          </cell>
          <cell r="E3341">
            <v>96</v>
          </cell>
        </row>
        <row r="3342">
          <cell r="A3342" t="str">
            <v>LONDRINA</v>
          </cell>
          <cell r="C3342" t="str">
            <v>RESIDENCIAL LE MONDE</v>
          </cell>
          <cell r="D3342" t="str">
            <v>f5ee60f6-1bb4-eb11-94b3-005056856875</v>
          </cell>
          <cell r="E3342">
            <v>324</v>
          </cell>
        </row>
        <row r="3343">
          <cell r="A3343" t="str">
            <v>LONDRINA</v>
          </cell>
          <cell r="C3343" t="str">
            <v>SENSIA ALAMEDA</v>
          </cell>
          <cell r="D3343" t="str">
            <v>21e58dc0-ac06-ec11-a30e-0050568a2e98</v>
          </cell>
          <cell r="E3343">
            <v>320</v>
          </cell>
        </row>
        <row r="3344">
          <cell r="A3344" t="str">
            <v>LONDRINA</v>
          </cell>
          <cell r="C3344" t="str">
            <v>RESIDENCIAL LORETO</v>
          </cell>
          <cell r="D3344" t="str">
            <v>02613cf4-2302-ed11-ba45-005056890018</v>
          </cell>
          <cell r="E3344">
            <v>436</v>
          </cell>
        </row>
        <row r="3345">
          <cell r="A3345" t="str">
            <v>LONDRINA</v>
          </cell>
          <cell r="C3345" t="str">
            <v>RESIDENCIAL LEON</v>
          </cell>
          <cell r="D3345" t="str">
            <v>7908f571-1f57-ee11-9510-005056856875</v>
          </cell>
          <cell r="E3345">
            <v>384</v>
          </cell>
        </row>
        <row r="3346">
          <cell r="A3346" t="str">
            <v>MACAÉ</v>
          </cell>
          <cell r="C3346" t="str">
            <v>PARQUE MAR DA NORUEGA</v>
          </cell>
          <cell r="D3346" t="str">
            <v>e868ddda-2fe8-df11-b242-001f2909e810</v>
          </cell>
          <cell r="E3346">
            <v>528</v>
          </cell>
        </row>
        <row r="3347">
          <cell r="A3347" t="str">
            <v>MACAÉ</v>
          </cell>
          <cell r="C3347" t="str">
            <v>COMPLEXO MARES DO ATLÂNTICO_MAR DO NORTE</v>
          </cell>
          <cell r="D3347" t="str">
            <v>d262ef93-b6c1-e011-8272-001f2909e810</v>
          </cell>
          <cell r="E3347">
            <v>352</v>
          </cell>
        </row>
        <row r="3348">
          <cell r="A3348" t="str">
            <v>MACAÉ</v>
          </cell>
          <cell r="C3348" t="str">
            <v>MARBELLE RESIDENCE</v>
          </cell>
          <cell r="D3348" t="str">
            <v>0077ada5-5503-e711-ac8b-80c16e075108</v>
          </cell>
          <cell r="E3348">
            <v>448</v>
          </cell>
        </row>
        <row r="3349">
          <cell r="A3349" t="str">
            <v>MACAÉ</v>
          </cell>
          <cell r="C3349" t="str">
            <v>REV RESIDENCIAL MAR DEL PLATA</v>
          </cell>
          <cell r="D3349" t="str">
            <v>22bb41bd-cc14-ec11-a30e-0050568a2e98</v>
          </cell>
          <cell r="E3349">
            <v>1</v>
          </cell>
        </row>
        <row r="3350">
          <cell r="A3350" t="str">
            <v>MACEIÓ</v>
          </cell>
          <cell r="C3350" t="str">
            <v>SENSIA HORIZONTES DO ATLÂNTICO</v>
          </cell>
          <cell r="D3350" t="str">
            <v>321a7934-fabd-e911-a2e9-0050568aa20f</v>
          </cell>
          <cell r="E3350">
            <v>240</v>
          </cell>
        </row>
        <row r="3351">
          <cell r="A3351" t="str">
            <v>MACEIÓ</v>
          </cell>
          <cell r="C3351" t="str">
            <v>TORRES DE TRINDADE</v>
          </cell>
          <cell r="D3351" t="str">
            <v>e11e14f3-ea80-eb11-aa45-005056856875</v>
          </cell>
          <cell r="E3351">
            <v>336</v>
          </cell>
        </row>
        <row r="3352">
          <cell r="A3352" t="str">
            <v>MACEIÓ</v>
          </cell>
          <cell r="C3352" t="str">
            <v>MIRANTE DA LAGOA</v>
          </cell>
          <cell r="D3352" t="str">
            <v>50ccce37-ac12-e411-8efb-009c02b0cb58</v>
          </cell>
          <cell r="E3352">
            <v>216</v>
          </cell>
        </row>
        <row r="3353">
          <cell r="A3353" t="str">
            <v>MACEIÓ</v>
          </cell>
          <cell r="C3353" t="str">
            <v>RESERVA DO MIRANTE_PARQUE MIRANTE DA PRAIA</v>
          </cell>
          <cell r="D3353" t="str">
            <v>15f95f61-2f13-e411-8efb-009c02b0cb58</v>
          </cell>
          <cell r="E3353">
            <v>288</v>
          </cell>
        </row>
        <row r="3354">
          <cell r="A3354" t="str">
            <v>MACEIÓ</v>
          </cell>
          <cell r="C3354" t="str">
            <v>MIRANTE DOS COQUEIROS</v>
          </cell>
          <cell r="D3354" t="str">
            <v>cd98214f-aa12-e411-8efb-009c02b0cb58</v>
          </cell>
          <cell r="E3354">
            <v>216</v>
          </cell>
        </row>
        <row r="3355">
          <cell r="A3355" t="str">
            <v>MACEIÓ</v>
          </cell>
          <cell r="C3355" t="str">
            <v>RESIDENCIAL MIRANTE DAS DUNAS</v>
          </cell>
          <cell r="D3355" t="str">
            <v>fdfad761-3213-e411-8efb-009c02b0cb58</v>
          </cell>
          <cell r="E3355">
            <v>216</v>
          </cell>
        </row>
        <row r="3356">
          <cell r="A3356" t="str">
            <v>MACEIÓ</v>
          </cell>
          <cell r="C3356" t="str">
            <v>RESIDENCIAL MATA DAS CARNAÚBAS</v>
          </cell>
          <cell r="D3356" t="str">
            <v>d743e4d6-1bb1-ec11-b1ad-005056856875</v>
          </cell>
          <cell r="E3356">
            <v>304</v>
          </cell>
        </row>
        <row r="3357">
          <cell r="A3357" t="str">
            <v>MACEIÓ</v>
          </cell>
          <cell r="C3357" t="str">
            <v>RESIDENCIAL MATA DAS OLIVEIRAS</v>
          </cell>
          <cell r="D3357" t="str">
            <v>4887887e-20b1-ec11-83b8-005056890018</v>
          </cell>
          <cell r="E3357">
            <v>352</v>
          </cell>
        </row>
        <row r="3358">
          <cell r="A3358" t="str">
            <v>MACEIÓ</v>
          </cell>
          <cell r="C3358" t="str">
            <v>RESIDENCIAL RECANTO DAS ÁRVORES</v>
          </cell>
          <cell r="D3358" t="str">
            <v>d3358e65-9214-ec11-b501-005056856b6c</v>
          </cell>
          <cell r="E3358">
            <v>220</v>
          </cell>
        </row>
        <row r="3359">
          <cell r="A3359" t="str">
            <v>MACEIÓ</v>
          </cell>
          <cell r="C3359" t="str">
            <v>RESIDENCIAL MATA DOS CARDEAIS</v>
          </cell>
          <cell r="D3359" t="str">
            <v>db0db717-dd3e-eb11-85d0-005056856875</v>
          </cell>
          <cell r="E3359">
            <v>252</v>
          </cell>
        </row>
        <row r="3360">
          <cell r="A3360" t="str">
            <v>MACEIÓ</v>
          </cell>
          <cell r="C3360" t="str">
            <v>MIRANTE DAS ÁGUAS</v>
          </cell>
          <cell r="D3360" t="str">
            <v>661379e2-2899-ee11-8acd-80c16e075108</v>
          </cell>
          <cell r="E3360">
            <v>280</v>
          </cell>
        </row>
        <row r="3361">
          <cell r="A3361" t="str">
            <v>MACEIÓ</v>
          </cell>
          <cell r="C3361" t="str">
            <v>REV_PARQUE VALE DOS CORAIS</v>
          </cell>
          <cell r="D3361" t="str">
            <v>ebea1eeb-41c2-eb11-94b3-005056856875</v>
          </cell>
          <cell r="E3361">
            <v>1</v>
          </cell>
        </row>
        <row r="3362">
          <cell r="A3362" t="str">
            <v>MACEIÓ</v>
          </cell>
          <cell r="C3362" t="str">
            <v>MAR DE CAPRI</v>
          </cell>
          <cell r="D3362" t="str">
            <v>199e5aca-ab32-ed11-ba45-005056890018</v>
          </cell>
          <cell r="E3362">
            <v>288</v>
          </cell>
        </row>
        <row r="3363">
          <cell r="A3363" t="str">
            <v>MACEIÓ</v>
          </cell>
          <cell r="C3363" t="str">
            <v>RESIDENCIAL TOULON</v>
          </cell>
          <cell r="D3363" t="str">
            <v>fa7b8d18-cc1d-ea11-ba0a-0050568aa20f</v>
          </cell>
          <cell r="E3363">
            <v>360</v>
          </cell>
        </row>
        <row r="3364">
          <cell r="A3364" t="str">
            <v>MANAUS</v>
          </cell>
          <cell r="C3364" t="str">
            <v>VISTA DAS OLIVEIRAS</v>
          </cell>
          <cell r="D3364" t="str">
            <v>91681350-a81b-ec11-b501-005056856b6c</v>
          </cell>
          <cell r="E3364">
            <v>320</v>
          </cell>
        </row>
        <row r="3365">
          <cell r="A3365" t="str">
            <v>MANAUS</v>
          </cell>
          <cell r="C3365" t="str">
            <v>VISTA DAS ORQUÍDEAS</v>
          </cell>
          <cell r="D3365" t="str">
            <v>3cf45643-6c62-ec11-a871-005056895191</v>
          </cell>
          <cell r="E3365">
            <v>540</v>
          </cell>
        </row>
        <row r="3366">
          <cell r="A3366" t="str">
            <v>MANAUS</v>
          </cell>
          <cell r="C3366" t="str">
            <v>VISTA DAS SERINGUEIRAS</v>
          </cell>
          <cell r="D3366" t="str">
            <v>7dacf96e-645f-e811-8d3f-80c16e075108</v>
          </cell>
          <cell r="E3366">
            <v>640</v>
          </cell>
        </row>
        <row r="3367">
          <cell r="A3367" t="str">
            <v>MANAUS</v>
          </cell>
          <cell r="C3367" t="str">
            <v>VISTA DOS BURITIS</v>
          </cell>
          <cell r="D3367" t="str">
            <v>50257b2a-6d62-e711-91b2-80c16e075108</v>
          </cell>
          <cell r="E3367">
            <v>300</v>
          </cell>
        </row>
        <row r="3368">
          <cell r="A3368" t="str">
            <v>MANAUS</v>
          </cell>
          <cell r="C3368" t="str">
            <v>VISTA DOS CEDROS</v>
          </cell>
          <cell r="D3368" t="str">
            <v>f229ffe0-7c62-e711-91b2-80c16e075108</v>
          </cell>
          <cell r="E3368">
            <v>128</v>
          </cell>
        </row>
        <row r="3369">
          <cell r="A3369" t="str">
            <v>MANAUS</v>
          </cell>
          <cell r="C3369" t="str">
            <v>VISTA DOS JASMINS</v>
          </cell>
          <cell r="D3369" t="str">
            <v>e8d2dfdc-0168-e811-8d3f-80c16e075108</v>
          </cell>
          <cell r="E3369">
            <v>320</v>
          </cell>
        </row>
        <row r="3370">
          <cell r="A3370" t="str">
            <v>MANAUS</v>
          </cell>
          <cell r="C3370" t="str">
            <v>VISTA DOS LÍRIOS</v>
          </cell>
          <cell r="D3370" t="str">
            <v>63d8ea87-6b62-ec11-a871-005056895191</v>
          </cell>
          <cell r="E3370">
            <v>720</v>
          </cell>
        </row>
        <row r="3371">
          <cell r="A3371" t="str">
            <v>MANAUS</v>
          </cell>
          <cell r="C3371" t="str">
            <v>VISTA DOS OITIS</v>
          </cell>
          <cell r="D3371" t="str">
            <v>46b1d39e-6d62-e711-91b2-80c16e075108</v>
          </cell>
          <cell r="E3371">
            <v>320</v>
          </cell>
        </row>
        <row r="3372">
          <cell r="A3372" t="str">
            <v>MANAUS</v>
          </cell>
          <cell r="C3372" t="str">
            <v>RESIDENCIAL NAGOYA</v>
          </cell>
          <cell r="D3372" t="str">
            <v>e876f407-2518-ed11-b1ad-005056856875</v>
          </cell>
          <cell r="E3372">
            <v>320</v>
          </cell>
        </row>
        <row r="3373">
          <cell r="A3373" t="str">
            <v>MANAUS</v>
          </cell>
          <cell r="C3373" t="str">
            <v>RESIDENCIAL TOKYO</v>
          </cell>
          <cell r="D3373" t="str">
            <v>9be1385e-2018-ed11-ba45-005056890018</v>
          </cell>
          <cell r="E3373">
            <v>320</v>
          </cell>
        </row>
        <row r="3374">
          <cell r="A3374" t="str">
            <v>MANAUS</v>
          </cell>
          <cell r="C3374" t="str">
            <v>VISTA DO PARQUE</v>
          </cell>
          <cell r="D3374" t="str">
            <v>30a7d020-4eeb-ec11-ba45-005056890018</v>
          </cell>
          <cell r="E3374">
            <v>512</v>
          </cell>
        </row>
        <row r="3375">
          <cell r="A3375" t="str">
            <v>MANAUS</v>
          </cell>
          <cell r="C3375" t="str">
            <v>VISTA DA ALVORADA</v>
          </cell>
          <cell r="D3375" t="str">
            <v>ef330666-2502-ed11-b1ad-005056856875</v>
          </cell>
          <cell r="E3375">
            <v>480</v>
          </cell>
        </row>
        <row r="3376">
          <cell r="A3376" t="str">
            <v>MANAUS</v>
          </cell>
          <cell r="C3376" t="str">
            <v>MIRANTE CARDEAL</v>
          </cell>
          <cell r="D3376" t="str">
            <v>98cf94d1-5d47-ea11-801d-005056856875</v>
          </cell>
          <cell r="E3376">
            <v>384</v>
          </cell>
        </row>
        <row r="3377">
          <cell r="A3377" t="str">
            <v>MANAUS</v>
          </cell>
          <cell r="C3377" t="str">
            <v>MIRANTE DAS FLORES</v>
          </cell>
          <cell r="D3377" t="str">
            <v>1f18f995-5847-ea11-801d-005056856875</v>
          </cell>
          <cell r="E3377">
            <v>290</v>
          </cell>
        </row>
        <row r="3378">
          <cell r="A3378" t="str">
            <v>MANAUS</v>
          </cell>
          <cell r="C3378" t="str">
            <v>SENSIA PONTA NEGRA</v>
          </cell>
          <cell r="D3378" t="str">
            <v>59ed7d9f-5a47-ea11-801d-005056856875</v>
          </cell>
          <cell r="E3378">
            <v>304</v>
          </cell>
        </row>
        <row r="3379">
          <cell r="A3379" t="str">
            <v>MANAUS</v>
          </cell>
          <cell r="C3379" t="str">
            <v>VISTA DOURADA</v>
          </cell>
          <cell r="D3379" t="str">
            <v>11e7f9f4-fea7-ef11-aaae-005056856875</v>
          </cell>
          <cell r="E3379">
            <v>360</v>
          </cell>
        </row>
        <row r="3380">
          <cell r="A3380" t="str">
            <v>MANAUS</v>
          </cell>
          <cell r="C3380" t="str">
            <v>RESIDENCIAL JARDIM BONSAI</v>
          </cell>
          <cell r="D3380" t="str">
            <v>3d8d356c-d218-ed11-ba45-005056890018</v>
          </cell>
          <cell r="E3380">
            <v>720</v>
          </cell>
        </row>
        <row r="3381">
          <cell r="A3381" t="str">
            <v>MANAUS</v>
          </cell>
          <cell r="C3381" t="str">
            <v>RESIDENCIAL JARDIM MATSU</v>
          </cell>
          <cell r="D3381" t="str">
            <v>e1b0d732-d318-ed11-ba45-005056890018</v>
          </cell>
          <cell r="E3381">
            <v>720</v>
          </cell>
        </row>
        <row r="3382">
          <cell r="A3382" t="str">
            <v>MANAUS</v>
          </cell>
          <cell r="C3382" t="str">
            <v>VISTA TORQUATO</v>
          </cell>
          <cell r="D3382" t="str">
            <v>721d61f7-6c52-ee11-ae6a-009c02b0cb58</v>
          </cell>
          <cell r="E3382">
            <v>680</v>
          </cell>
        </row>
        <row r="3383">
          <cell r="A3383" t="str">
            <v>MANAUS</v>
          </cell>
          <cell r="C3383" t="str">
            <v>VISTA DAS FLORES</v>
          </cell>
          <cell r="D3383" t="str">
            <v>1cffb993-119f-ec11-b501-005056856b6c</v>
          </cell>
          <cell r="E3383">
            <v>780</v>
          </cell>
        </row>
        <row r="3384">
          <cell r="A3384" t="str">
            <v>MANAUS</v>
          </cell>
          <cell r="C3384" t="str">
            <v>VISTA DO ORIENTE</v>
          </cell>
          <cell r="D3384" t="str">
            <v>509b69b4-6c3e-ec11-b501-005056856b6c</v>
          </cell>
          <cell r="E3384">
            <v>320</v>
          </cell>
        </row>
        <row r="3385">
          <cell r="A3385" t="str">
            <v>MANAUS</v>
          </cell>
          <cell r="C3385" t="str">
            <v>SENSIA LA VIE</v>
          </cell>
          <cell r="D3385" t="str">
            <v>41757e85-c95d-ec11-b2fe-005056895191</v>
          </cell>
          <cell r="E3385">
            <v>480</v>
          </cell>
        </row>
        <row r="3386">
          <cell r="A3386" t="str">
            <v>MARACANAÚ</v>
          </cell>
          <cell r="C3386" t="str">
            <v>RESIDENCIAL FORTE VERSALHES</v>
          </cell>
          <cell r="D3386" t="str">
            <v>e456299f-dbc5-e511-9cc2-009c02b0cb58</v>
          </cell>
          <cell r="E3386">
            <v>608</v>
          </cell>
        </row>
        <row r="3387">
          <cell r="A3387" t="str">
            <v>MARACANAÚ</v>
          </cell>
          <cell r="C3387" t="str">
            <v>PARQUE GRAN FELICITÁ CONDOMÍNIO CLUBE</v>
          </cell>
          <cell r="D3387" t="str">
            <v>2df99635-8480-df11-b20e-001f2909e810</v>
          </cell>
          <cell r="E3387">
            <v>440</v>
          </cell>
        </row>
        <row r="3388">
          <cell r="A3388" t="str">
            <v>MARÍLIA</v>
          </cell>
          <cell r="C3388" t="str">
            <v>RESIDENCIAL MORUMBI</v>
          </cell>
          <cell r="D3388" t="str">
            <v>42fb1256-75a7-e711-8e92-009c02b0cb58</v>
          </cell>
          <cell r="E3388">
            <v>384</v>
          </cell>
        </row>
        <row r="3389">
          <cell r="A3389" t="str">
            <v>MARINGÁ</v>
          </cell>
          <cell r="C3389" t="str">
            <v>RESIDENCIAL MONTEZZI</v>
          </cell>
          <cell r="D3389" t="str">
            <v>2f399c8e-c5bb-ea11-88c0-0050568aa20f</v>
          </cell>
          <cell r="E3389">
            <v>288</v>
          </cell>
        </row>
        <row r="3390">
          <cell r="A3390" t="str">
            <v>MARINGÁ</v>
          </cell>
          <cell r="C3390" t="str">
            <v>RESIDENCIAL MAIORI</v>
          </cell>
          <cell r="D3390" t="str">
            <v>7ce56739-5028-eb11-85d0-005056856875</v>
          </cell>
          <cell r="E3390">
            <v>288</v>
          </cell>
        </row>
        <row r="3391">
          <cell r="A3391" t="str">
            <v>MARINGÁ</v>
          </cell>
          <cell r="C3391" t="str">
            <v>SENSIA JARDIM</v>
          </cell>
          <cell r="D3391" t="str">
            <v>dded293b-6897-ed11-879a-80c16e075108</v>
          </cell>
          <cell r="E3391">
            <v>320</v>
          </cell>
        </row>
        <row r="3392">
          <cell r="A3392" t="str">
            <v>MARINGÁ</v>
          </cell>
          <cell r="C3392" t="str">
            <v>RESIDENCIAL MARTINI</v>
          </cell>
          <cell r="D3392" t="str">
            <v>280a531d-5a06-ea11-ba0a-0050568aa20f</v>
          </cell>
          <cell r="E3392">
            <v>336</v>
          </cell>
        </row>
        <row r="3393">
          <cell r="A3393" t="str">
            <v>MARINGÁ</v>
          </cell>
          <cell r="C3393" t="str">
            <v>RESIDENCIAL MIRANTE DO ALVORADA</v>
          </cell>
          <cell r="D3393" t="str">
            <v>3880eb69-aaad-ef11-b65c-009c02b0cb58</v>
          </cell>
          <cell r="E3393">
            <v>144</v>
          </cell>
        </row>
        <row r="3394">
          <cell r="A3394" t="str">
            <v>MARINGÁ</v>
          </cell>
          <cell r="C3394" t="str">
            <v>RESIDENCIAL MONTEVIDÉU</v>
          </cell>
          <cell r="D3394" t="str">
            <v>eb85a2c0-f5a6-ed11-879a-80c16e075108</v>
          </cell>
          <cell r="E3394">
            <v>256</v>
          </cell>
        </row>
        <row r="3395">
          <cell r="A3395" t="str">
            <v>MOGI DAS CRUZES</v>
          </cell>
          <cell r="C3395" t="str">
            <v>RESIDENCIAL MAZARELLO</v>
          </cell>
          <cell r="D3395" t="str">
            <v>093e4cfe-affe-e611-ac8b-80c16e075108</v>
          </cell>
          <cell r="E3395">
            <v>288</v>
          </cell>
        </row>
        <row r="3396">
          <cell r="A3396" t="str">
            <v>MOGI DAS CRUZES</v>
          </cell>
          <cell r="C3396" t="str">
            <v>MORADA DOS SONHOS</v>
          </cell>
          <cell r="D3396" t="str">
            <v>d1af5d6e-ded5-eb11-a0e6-005056856875</v>
          </cell>
          <cell r="E3396">
            <v>396</v>
          </cell>
        </row>
        <row r="3397">
          <cell r="A3397" t="str">
            <v>MONTES CLAROS</v>
          </cell>
          <cell r="C3397" t="str">
            <v>PARQUE MONTE TOPÁZIO</v>
          </cell>
          <cell r="D3397" t="str">
            <v>bbfb6432-1536-e511-a3a7-80c16e075108</v>
          </cell>
          <cell r="E3397">
            <v>0</v>
          </cell>
        </row>
        <row r="3398">
          <cell r="A3398" t="str">
            <v>NATAL</v>
          </cell>
          <cell r="C3398" t="str">
            <v>NORTE BOULEVARD RESIDENCIAL</v>
          </cell>
          <cell r="D3398" t="str">
            <v>e7bb395a-4c88-e311-8efb-009c02b0cb58</v>
          </cell>
          <cell r="E3398">
            <v>372</v>
          </cell>
        </row>
        <row r="3399">
          <cell r="A3399" t="str">
            <v>NATAL</v>
          </cell>
          <cell r="C3399" t="str">
            <v>NORTE PLAZA RESIDENCIAL</v>
          </cell>
          <cell r="D3399" t="str">
            <v>20784643-3c21-e311-befc-80c16e075108</v>
          </cell>
          <cell r="E3399">
            <v>792</v>
          </cell>
        </row>
        <row r="3400">
          <cell r="A3400" t="str">
            <v>NATAL</v>
          </cell>
          <cell r="C3400" t="str">
            <v>RESIDENCIAL CIDADE DAS DUNAS</v>
          </cell>
          <cell r="D3400" t="str">
            <v>922d6b40-e421-ef11-9e4d-009c02b0cb58</v>
          </cell>
          <cell r="E3400">
            <v>408</v>
          </cell>
        </row>
        <row r="3401">
          <cell r="A3401" t="str">
            <v>NATAL</v>
          </cell>
          <cell r="C3401" t="str">
            <v>RESIDENCIAL BARRA NOVA</v>
          </cell>
          <cell r="D3401" t="str">
            <v>945d838a-b366-ee11-8acd-80c16e075108</v>
          </cell>
          <cell r="E3401">
            <v>288</v>
          </cell>
        </row>
        <row r="3402">
          <cell r="A3402" t="str">
            <v>NATAL</v>
          </cell>
          <cell r="C3402" t="str">
            <v>BEACH PLAZA RESIDENCE</v>
          </cell>
          <cell r="D3402" t="str">
            <v>6bd5b8ae-d9ca-eb11-8207-0050568aa20f</v>
          </cell>
          <cell r="E3402">
            <v>320</v>
          </cell>
        </row>
        <row r="3403">
          <cell r="A3403" t="str">
            <v>NOVA IGUAÇU</v>
          </cell>
          <cell r="C3403" t="str">
            <v>RESIDENCIAL VALE DO SOL</v>
          </cell>
          <cell r="D3403" t="str">
            <v>695c254c-f84f-e911-810a-80c16e075108</v>
          </cell>
          <cell r="E3403">
            <v>320</v>
          </cell>
        </row>
        <row r="3404">
          <cell r="A3404" t="str">
            <v>NOVA IGUAÇU</v>
          </cell>
          <cell r="C3404" t="str">
            <v>MIRANTE DA LUZ</v>
          </cell>
          <cell r="D3404" t="str">
            <v>50c537e3-da2b-ee11-9510-005056856875</v>
          </cell>
          <cell r="E3404">
            <v>432</v>
          </cell>
        </row>
        <row r="3405">
          <cell r="A3405" t="str">
            <v>NOVA IGUAÇU</v>
          </cell>
          <cell r="C3405" t="str">
            <v>RESIDENCIAL PAINEIRAS</v>
          </cell>
          <cell r="D3405" t="str">
            <v>4f62dced-548d-ee11-8e2d-009c02b0cb58</v>
          </cell>
          <cell r="E3405">
            <v>432</v>
          </cell>
        </row>
        <row r="3406">
          <cell r="A3406" t="str">
            <v>NOVO HAMBURGO</v>
          </cell>
          <cell r="C3406" t="str">
            <v>PORTO BREMEN</v>
          </cell>
          <cell r="D3406" t="str">
            <v>7ade8d78-9d4f-eb11-85d0-005056856875</v>
          </cell>
          <cell r="E3406">
            <v>180</v>
          </cell>
        </row>
        <row r="3407">
          <cell r="A3407" t="str">
            <v>NOVO HAMBURGO</v>
          </cell>
          <cell r="C3407" t="str">
            <v>PORTO ROTTERDAM</v>
          </cell>
          <cell r="D3407" t="str">
            <v>8c2968d0-4c24-eb11-9d23-005056856b6c</v>
          </cell>
          <cell r="E3407">
            <v>160</v>
          </cell>
        </row>
        <row r="3408">
          <cell r="A3408" t="str">
            <v>OSASCO</v>
          </cell>
          <cell r="C3408" t="str">
            <v>RESIDENCIAL OLÍMPIA</v>
          </cell>
          <cell r="D3408" t="str">
            <v>15e2cd30-338e-eb11-ad3a-0050568aa20f</v>
          </cell>
          <cell r="E3408">
            <v>680</v>
          </cell>
        </row>
        <row r="3409">
          <cell r="A3409" t="str">
            <v>PALHOÇA</v>
          </cell>
          <cell r="C3409" t="str">
            <v>RESIDENCIAL FLORES DE GAIA</v>
          </cell>
          <cell r="D3409" t="str">
            <v>40333ee4-75cd-ec11-ba45-005056890018</v>
          </cell>
          <cell r="E3409">
            <v>288</v>
          </cell>
        </row>
        <row r="3410">
          <cell r="A3410" t="str">
            <v>PALHOÇA</v>
          </cell>
          <cell r="C3410" t="str">
            <v>RESIDENCIAL FLORES DA ALVORADA</v>
          </cell>
          <cell r="D3410" t="str">
            <v>3f589ca7-50d2-ed11-98d9-009c02b0cb58</v>
          </cell>
          <cell r="E3410">
            <v>352</v>
          </cell>
        </row>
        <row r="3411">
          <cell r="A3411" t="str">
            <v>PALMAS</v>
          </cell>
          <cell r="C3411" t="str">
            <v>PALMEIRA SOLARE</v>
          </cell>
          <cell r="D3411" t="str">
            <v>977810b8-a87a-ef11-b65c-009c02b0cb58</v>
          </cell>
          <cell r="E3411">
            <v>288</v>
          </cell>
        </row>
        <row r="3412">
          <cell r="A3412" t="str">
            <v>PALMAS</v>
          </cell>
          <cell r="C3412" t="str">
            <v>PALMEIRA SERENA</v>
          </cell>
          <cell r="D3412" t="str">
            <v>f2f97498-fba7-ef11-aaae-005056856875</v>
          </cell>
          <cell r="E3412">
            <v>432</v>
          </cell>
        </row>
        <row r="3413">
          <cell r="A3413" t="str">
            <v>PALMAS</v>
          </cell>
          <cell r="C3413" t="str">
            <v>PALMEIRA AZUL</v>
          </cell>
          <cell r="D3413" t="str">
            <v>6554ad90-d64b-e911-810a-80c16e075108</v>
          </cell>
          <cell r="E3413">
            <v>336</v>
          </cell>
        </row>
        <row r="3414">
          <cell r="A3414" t="str">
            <v>PALMAS</v>
          </cell>
          <cell r="C3414" t="str">
            <v>PALMEIRA BOREAL</v>
          </cell>
          <cell r="D3414" t="str">
            <v>e4ba7264-1c62-ee11-8acd-80c16e075108</v>
          </cell>
          <cell r="E3414">
            <v>480</v>
          </cell>
        </row>
        <row r="3415">
          <cell r="A3415" t="str">
            <v>PALMAS</v>
          </cell>
          <cell r="C3415" t="str">
            <v>RESERVA DA SERRA</v>
          </cell>
          <cell r="D3415" t="str">
            <v>753e6532-691e-ed11-ba45-005056890018</v>
          </cell>
          <cell r="E3415">
            <v>224</v>
          </cell>
        </row>
        <row r="3416">
          <cell r="A3416" t="str">
            <v>PARNAMIRIM</v>
          </cell>
          <cell r="C3416" t="str">
            <v>VILLE DOS VENTOS</v>
          </cell>
          <cell r="D3416" t="str">
            <v>064bb8eb-0029-eb11-85d0-005056856875</v>
          </cell>
          <cell r="E3416">
            <v>388</v>
          </cell>
        </row>
        <row r="3417">
          <cell r="A3417" t="str">
            <v>PARNAMIRIM</v>
          </cell>
          <cell r="C3417" t="str">
            <v>BELLE VILLE PARNAMIRIM</v>
          </cell>
          <cell r="D3417" t="str">
            <v>676565c4-85f4-eb11-ac3b-005056856b6c</v>
          </cell>
          <cell r="E3417">
            <v>488</v>
          </cell>
        </row>
        <row r="3418">
          <cell r="A3418" t="str">
            <v>PARNAMIRIM</v>
          </cell>
          <cell r="C3418" t="str">
            <v>TORRES DO SERIDÓ</v>
          </cell>
          <cell r="D3418" t="str">
            <v>6a7fe2a2-ab31-ec11-b2fe-005056895191</v>
          </cell>
          <cell r="E3418">
            <v>552</v>
          </cell>
        </row>
        <row r="3419">
          <cell r="A3419" t="str">
            <v>PAULÍNIA</v>
          </cell>
          <cell r="C3419" t="str">
            <v>PARQUE PONTE ROMANA</v>
          </cell>
          <cell r="D3419" t="str">
            <v>eed75b44-a0c7-e211-83e6-80c16e075108</v>
          </cell>
          <cell r="E3419">
            <v>256</v>
          </cell>
        </row>
        <row r="3420">
          <cell r="A3420" t="str">
            <v>PAULISTA</v>
          </cell>
          <cell r="C3420" t="str">
            <v>PONTAL DA ENSEADA</v>
          </cell>
          <cell r="D3420" t="str">
            <v>186ac33b-6fbf-e511-b93a-80c16e075108</v>
          </cell>
          <cell r="E3420">
            <v>0</v>
          </cell>
        </row>
        <row r="3421">
          <cell r="A3421" t="str">
            <v>PAULISTA</v>
          </cell>
          <cell r="C3421" t="str">
            <v>PONTAL DE ITAMARACÁ</v>
          </cell>
          <cell r="D3421" t="str">
            <v>36654722-6a81-ed11-879a-80c16e075108</v>
          </cell>
          <cell r="E3421">
            <v>500</v>
          </cell>
        </row>
        <row r="3422">
          <cell r="A3422" t="str">
            <v>PAULISTA</v>
          </cell>
          <cell r="C3422" t="str">
            <v>PONTAL DE MARACAÍPE</v>
          </cell>
          <cell r="D3422" t="str">
            <v>7c9cdb44-70bf-e511-b93a-80c16e075108</v>
          </cell>
          <cell r="E3422">
            <v>600</v>
          </cell>
        </row>
        <row r="3423">
          <cell r="A3423" t="str">
            <v>PINDAMONHANGABA</v>
          </cell>
          <cell r="C3423" t="str">
            <v>PARQUE PRINCESA DO VALE</v>
          </cell>
          <cell r="D3423" t="str">
            <v>432d6f50-796f-e011-bdcf-001f2909e810</v>
          </cell>
          <cell r="E3423">
            <v>480</v>
          </cell>
        </row>
        <row r="3424">
          <cell r="A3424" t="str">
            <v>PIRACICABA</v>
          </cell>
          <cell r="C3424" t="str">
            <v>RESIDENCIAL PIAZZA RAVENA</v>
          </cell>
          <cell r="D3424" t="str">
            <v>096a5b33-f7bd-e911-a2e9-0050568aa20f</v>
          </cell>
          <cell r="E3424">
            <v>480</v>
          </cell>
        </row>
        <row r="3425">
          <cell r="A3425" t="str">
            <v>PIRACICABA</v>
          </cell>
          <cell r="C3425" t="str">
            <v>PARQUE PEROLA DO ORIENTE</v>
          </cell>
          <cell r="D3425" t="str">
            <v>361e8067-fca8-e111-8d9d-001f2909e810</v>
          </cell>
          <cell r="E3425">
            <v>400</v>
          </cell>
        </row>
        <row r="3426">
          <cell r="A3426" t="str">
            <v>PIRACICABA</v>
          </cell>
          <cell r="C3426" t="str">
            <v>RESIDENCIAL PIAZZA DI MILANO</v>
          </cell>
          <cell r="D3426" t="str">
            <v>c83fd037-18a4-e911-a878-0050568aa20f</v>
          </cell>
          <cell r="E3426">
            <v>440</v>
          </cell>
        </row>
        <row r="3427">
          <cell r="A3427" t="str">
            <v>PIRACICABA</v>
          </cell>
          <cell r="C3427" t="str">
            <v>PIAZZA SIRENA</v>
          </cell>
          <cell r="D3427" t="str">
            <v>a84a2de5-4b6e-ec11-a871-005056895191</v>
          </cell>
          <cell r="E3427">
            <v>292</v>
          </cell>
        </row>
        <row r="3428">
          <cell r="A3428" t="str">
            <v>PIRACICABA</v>
          </cell>
          <cell r="C3428" t="str">
            <v>RESIDENCIAL FERNANDA</v>
          </cell>
          <cell r="D3428" t="str">
            <v>7efc27c3-c77c-e511-b93a-80c16e075108</v>
          </cell>
          <cell r="E3428">
            <v>0</v>
          </cell>
        </row>
        <row r="3429">
          <cell r="A3429" t="str">
            <v>POÁ</v>
          </cell>
          <cell r="C3429" t="str">
            <v>SÃO PEDRO</v>
          </cell>
          <cell r="D3429" t="str">
            <v>1bd71acc-8d52-e711-b2c8-80c16e075108</v>
          </cell>
          <cell r="E3429">
            <v>520</v>
          </cell>
        </row>
        <row r="3430">
          <cell r="A3430" t="str">
            <v>PORTO ALEGRE</v>
          </cell>
          <cell r="C3430" t="str">
            <v>PORTO DAS GAIVOTAS</v>
          </cell>
          <cell r="D3430" t="str">
            <v>a1bbdbc9-49e7-e711-b989-80c16e075108</v>
          </cell>
          <cell r="E3430">
            <v>120</v>
          </cell>
        </row>
        <row r="3431">
          <cell r="A3431" t="str">
            <v>PORTO ALEGRE</v>
          </cell>
          <cell r="C3431" t="str">
            <v>PORTO DOS SABIÁS</v>
          </cell>
          <cell r="D3431" t="str">
            <v>2b6d05c2-48e7-e711-b989-80c16e075108</v>
          </cell>
          <cell r="E3431">
            <v>140</v>
          </cell>
        </row>
        <row r="3432">
          <cell r="A3432" t="str">
            <v>PORTO ALEGRE</v>
          </cell>
          <cell r="C3432" t="str">
            <v>RESIDENCIAL PORTO DAS ÁGUIAS</v>
          </cell>
          <cell r="D3432" t="str">
            <v>0d4fc50a-41e7-e711-b989-80c16e075108</v>
          </cell>
          <cell r="E3432">
            <v>480</v>
          </cell>
        </row>
        <row r="3433">
          <cell r="A3433" t="str">
            <v>PORTO ALEGRE</v>
          </cell>
          <cell r="C3433" t="str">
            <v>RESIDENCIAL PORTO ALCÂNTARA</v>
          </cell>
          <cell r="D3433" t="str">
            <v>ee8a424a-3f65-e611-b1e9-009c02b0cb58</v>
          </cell>
          <cell r="E3433">
            <v>440</v>
          </cell>
        </row>
        <row r="3434">
          <cell r="A3434" t="str">
            <v>PORTO ALEGRE</v>
          </cell>
          <cell r="C3434" t="str">
            <v>RESIDENCIAL PORTO MONTENEGRO</v>
          </cell>
          <cell r="D3434" t="str">
            <v>08e143cf-3e65-e611-b1e9-009c02b0cb58</v>
          </cell>
          <cell r="E3434">
            <v>160</v>
          </cell>
        </row>
        <row r="3435">
          <cell r="A3435" t="str">
            <v>PORTO ALEGRE</v>
          </cell>
          <cell r="C3435" t="str">
            <v>PARQUE PORTO COIMBRA</v>
          </cell>
          <cell r="D3435" t="str">
            <v>7a04d68e-208d-e411-b5d2-009c02b0cb58</v>
          </cell>
          <cell r="E3435">
            <v>128</v>
          </cell>
        </row>
        <row r="3436">
          <cell r="A3436" t="str">
            <v>PORTO ALEGRE</v>
          </cell>
          <cell r="C3436" t="str">
            <v>PORTO VERSALHES</v>
          </cell>
          <cell r="D3436" t="str">
            <v>b5b05e90-d70a-ee11-9510-005056856875</v>
          </cell>
          <cell r="E3436">
            <v>220</v>
          </cell>
        </row>
        <row r="3437">
          <cell r="A3437" t="str">
            <v>PORTO ALEGRE</v>
          </cell>
          <cell r="C3437" t="str">
            <v>PORTO HORTÊNSIAS</v>
          </cell>
          <cell r="D3437" t="str">
            <v>9a47926a-707d-e511-9cc2-009c02b0cb58</v>
          </cell>
          <cell r="E3437">
            <v>344</v>
          </cell>
        </row>
        <row r="3438">
          <cell r="A3438" t="str">
            <v>PORTO ALEGRE</v>
          </cell>
          <cell r="C3438" t="str">
            <v>PORTO ESSENZA</v>
          </cell>
          <cell r="D3438" t="str">
            <v>2a6c974d-3607-ec11-a30e-0050568a2e98</v>
          </cell>
          <cell r="E3438">
            <v>200</v>
          </cell>
        </row>
        <row r="3439">
          <cell r="A3439" t="str">
            <v>PORTO ALEGRE</v>
          </cell>
          <cell r="C3439" t="str">
            <v>PORTO IBIZA</v>
          </cell>
          <cell r="D3439" t="str">
            <v>a46eb192-0aff-e911-96a0-005056856875</v>
          </cell>
          <cell r="E3439">
            <v>120</v>
          </cell>
        </row>
        <row r="3440">
          <cell r="A3440" t="str">
            <v>PORTO ALEGRE</v>
          </cell>
          <cell r="C3440" t="str">
            <v>RESIDENCIAL PORTO SEVILHA</v>
          </cell>
          <cell r="D3440" t="str">
            <v>ef68f1c6-8110-ea11-ba0a-0050568aa20f</v>
          </cell>
          <cell r="E3440">
            <v>600</v>
          </cell>
        </row>
        <row r="3441">
          <cell r="A3441" t="str">
            <v>PORTO ALEGRE</v>
          </cell>
          <cell r="C3441" t="str">
            <v>RESIDENCIAL PORTO FAZENDA REAL</v>
          </cell>
          <cell r="D3441" t="str">
            <v>756f19de-d983-e911-a3a8-0050568aa20f</v>
          </cell>
          <cell r="E3441">
            <v>240</v>
          </cell>
        </row>
        <row r="3442">
          <cell r="A3442" t="str">
            <v>PORTO ALEGRE</v>
          </cell>
          <cell r="C3442" t="str">
            <v>PORTO DAS MISSÕES</v>
          </cell>
          <cell r="D3442" t="str">
            <v>7f7480b9-09d1-ea11-88c0-0050568aa20f</v>
          </cell>
          <cell r="E3442">
            <v>300</v>
          </cell>
        </row>
        <row r="3443">
          <cell r="A3443" t="str">
            <v>PORTO ALEGRE</v>
          </cell>
          <cell r="C3443" t="str">
            <v>PORTO GUARANI</v>
          </cell>
          <cell r="D3443" t="str">
            <v>69f340f2-0bd1-ea11-88c0-0050568aa20f</v>
          </cell>
          <cell r="E3443">
            <v>300</v>
          </cell>
        </row>
        <row r="3444">
          <cell r="A3444" t="str">
            <v>PORTO ALEGRE</v>
          </cell>
          <cell r="C3444" t="str">
            <v>PORTO SÃO MIGUEL</v>
          </cell>
          <cell r="D3444" t="str">
            <v>0a1ee851-e99b-ec11-b501-005056856b6c</v>
          </cell>
          <cell r="E3444">
            <v>480</v>
          </cell>
        </row>
        <row r="3445">
          <cell r="A3445" t="str">
            <v>PRESIDENTE PRUDENTE</v>
          </cell>
          <cell r="C3445" t="str">
            <v>RESIDENCIAL PRÍNCIPE DE ATENAS</v>
          </cell>
          <cell r="D3445" t="str">
            <v>5ac66313-38a1-eb11-94b3-005056856875</v>
          </cell>
          <cell r="E3445">
            <v>192</v>
          </cell>
        </row>
        <row r="3446">
          <cell r="A3446" t="str">
            <v>PRESIDENTE PRUDENTE</v>
          </cell>
          <cell r="C3446" t="str">
            <v>PARQUE PRÍNCIPE DE MÔNACO</v>
          </cell>
          <cell r="D3446" t="str">
            <v>f890274b-917d-e011-8af4-001b78b9d994</v>
          </cell>
          <cell r="E3446">
            <v>480</v>
          </cell>
        </row>
        <row r="3447">
          <cell r="A3447" t="str">
            <v>PRESIDENTE PRUDENTE</v>
          </cell>
          <cell r="C3447" t="str">
            <v>RESIDENCIAL MINERVA II</v>
          </cell>
          <cell r="D3447" t="str">
            <v>a68541db-ac27-ec11-b2fe-005056895191</v>
          </cell>
          <cell r="E3447">
            <v>500</v>
          </cell>
        </row>
        <row r="3448">
          <cell r="A3448" t="str">
            <v>RECIFE</v>
          </cell>
          <cell r="C3448" t="str">
            <v>LIFE</v>
          </cell>
          <cell r="D3448" t="str">
            <v>88bb56a2-cc7f-df11-b20e-001f2909e810</v>
          </cell>
          <cell r="E3448">
            <v>102</v>
          </cell>
        </row>
        <row r="3449">
          <cell r="A3449" t="str">
            <v>RECIFE</v>
          </cell>
          <cell r="C3449" t="str">
            <v>PREMIER RESIDENCE</v>
          </cell>
          <cell r="D3449" t="str">
            <v>b19e4b04-aef5-ed11-9510-005056856875</v>
          </cell>
          <cell r="E3449">
            <v>394</v>
          </cell>
        </row>
        <row r="3450">
          <cell r="A3450" t="str">
            <v>RECIFE</v>
          </cell>
          <cell r="C3450" t="str">
            <v>VILLE DE PARIS</v>
          </cell>
          <cell r="D3450" t="str">
            <v>370e5a86-8b21-ea11-ba0a-0050568aa20f</v>
          </cell>
          <cell r="E3450">
            <v>0</v>
          </cell>
        </row>
        <row r="3451">
          <cell r="A3451" t="str">
            <v>RECIFE</v>
          </cell>
          <cell r="C3451" t="str">
            <v>RESERVA POLIDORO</v>
          </cell>
          <cell r="D3451" t="str">
            <v>976e8c4f-320a-ea11-ba0a-0050568aa20f</v>
          </cell>
          <cell r="E3451">
            <v>456</v>
          </cell>
        </row>
        <row r="3452">
          <cell r="A3452" t="str">
            <v>RESENDE</v>
          </cell>
          <cell r="C3452" t="str">
            <v>PARQUE RESERVA PORTO REAL</v>
          </cell>
          <cell r="D3452" t="str">
            <v>8326a90b-16cf-e311-8efb-009c02b0cb58</v>
          </cell>
          <cell r="E3452">
            <v>528</v>
          </cell>
        </row>
        <row r="3453">
          <cell r="A3453" t="str">
            <v>RESENDE</v>
          </cell>
          <cell r="C3453" t="str">
            <v>RESERVA BELA VISTA</v>
          </cell>
          <cell r="D3453" t="str">
            <v>cc5628aa-6772-e911-b1cd-009c02b0cb58</v>
          </cell>
          <cell r="E3453">
            <v>460</v>
          </cell>
        </row>
        <row r="3454">
          <cell r="A3454" t="str">
            <v>RESENDE</v>
          </cell>
          <cell r="C3454" t="str">
            <v>RESERVA VILA JARDIM</v>
          </cell>
          <cell r="D3454" t="str">
            <v>05ecc5f1-5d72-e911-b1cd-009c02b0cb58</v>
          </cell>
          <cell r="E3454">
            <v>400</v>
          </cell>
        </row>
        <row r="3455">
          <cell r="A3455" t="str">
            <v>RIBEIRÃO PRETO</v>
          </cell>
          <cell r="C3455" t="str">
            <v>RESIDENCIAL ROTTERDAM</v>
          </cell>
          <cell r="D3455" t="str">
            <v>ae4658b1-e7d8-eb11-930a-0050568aa20f</v>
          </cell>
          <cell r="E3455">
            <v>204</v>
          </cell>
        </row>
        <row r="3456">
          <cell r="A3456" t="str">
            <v>RIBEIRÃO PRETO</v>
          </cell>
          <cell r="C3456" t="str">
            <v>PALÁCIO DE ESTOCOLMO</v>
          </cell>
          <cell r="D3456" t="str">
            <v>548f8b78-73df-e711-b989-80c16e075108</v>
          </cell>
          <cell r="E3456">
            <v>496</v>
          </cell>
        </row>
        <row r="3457">
          <cell r="A3457" t="str">
            <v>RIBEIRÃO PRETO</v>
          </cell>
          <cell r="C3457" t="str">
            <v>PALÁCIO DE TURIM</v>
          </cell>
          <cell r="D3457" t="str">
            <v>2532c45a-c255-e311-8efb-009c02b0cb58</v>
          </cell>
          <cell r="E3457">
            <v>238</v>
          </cell>
        </row>
        <row r="3458">
          <cell r="A3458" t="str">
            <v>RIBEIRÃO PRETO</v>
          </cell>
          <cell r="C3458" t="str">
            <v>RESIDENCIAL CANTO DAS ÁGUIAS</v>
          </cell>
          <cell r="D3458" t="str">
            <v>45cb1c25-797b-eb11-8864-0050568aa20f</v>
          </cell>
          <cell r="E3458">
            <v>352</v>
          </cell>
        </row>
        <row r="3459">
          <cell r="A3459" t="str">
            <v>RIBEIRÃO PRETO</v>
          </cell>
          <cell r="C3459" t="str">
            <v>RESERVA DAS AMARÍLIS</v>
          </cell>
          <cell r="D3459" t="str">
            <v>56e37ab3-64b6-e611-b1e9-009c02b0cb58</v>
          </cell>
          <cell r="E3459">
            <v>192</v>
          </cell>
        </row>
        <row r="3460">
          <cell r="A3460" t="str">
            <v>RIBEIRÃO PRETO</v>
          </cell>
          <cell r="C3460" t="str">
            <v>RESERVA DAS MAGNÓLIAS</v>
          </cell>
          <cell r="D3460" t="str">
            <v>cda1bd8c-65b6-e611-b1e9-009c02b0cb58</v>
          </cell>
          <cell r="E3460">
            <v>136</v>
          </cell>
        </row>
        <row r="3461">
          <cell r="A3461" t="str">
            <v>RIBEIRÃO PRETO</v>
          </cell>
          <cell r="C3461" t="str">
            <v>RESERVA DOS LÍRIOS</v>
          </cell>
          <cell r="D3461" t="str">
            <v>6627b86d-64b6-e611-b1e9-009c02b0cb58</v>
          </cell>
          <cell r="E3461">
            <v>336</v>
          </cell>
        </row>
        <row r="3462">
          <cell r="A3462" t="str">
            <v>RIBEIRÃO PRETO</v>
          </cell>
          <cell r="C3462" t="str">
            <v>SENSIA BOTÂNICO</v>
          </cell>
          <cell r="D3462" t="str">
            <v>76ec7013-55f9-eb11-ac3b-005056856b6c</v>
          </cell>
          <cell r="E3462">
            <v>152</v>
          </cell>
        </row>
        <row r="3463">
          <cell r="A3463" t="str">
            <v>RIBEIRÃO PRETO</v>
          </cell>
          <cell r="C3463" t="str">
            <v>JARDIM MORADA DO VERDE</v>
          </cell>
          <cell r="D3463" t="str">
            <v>4a187f21-7b22-ef11-9e4d-009c02b0cb58</v>
          </cell>
          <cell r="E3463">
            <v>280</v>
          </cell>
        </row>
        <row r="3464">
          <cell r="A3464" t="str">
            <v>RIBEIRÃO PRETO</v>
          </cell>
          <cell r="C3464" t="str">
            <v>GRAN PRIMAVERA</v>
          </cell>
          <cell r="D3464" t="str">
            <v>4229de6f-7bb5-e611-b1e9-009c02b0cb58</v>
          </cell>
          <cell r="E3464">
            <v>408</v>
          </cell>
        </row>
        <row r="3465">
          <cell r="A3465" t="str">
            <v>RIBEIRÃO PRETO</v>
          </cell>
          <cell r="C3465" t="str">
            <v>SENSIA FIUSA VIEW</v>
          </cell>
          <cell r="D3465" t="str">
            <v>b4126abc-7cb5-e611-b1e9-009c02b0cb58</v>
          </cell>
          <cell r="E3465">
            <v>320</v>
          </cell>
        </row>
        <row r="3466">
          <cell r="A3466" t="str">
            <v>RIBEIRÃO PRETO</v>
          </cell>
          <cell r="C3466" t="str">
            <v>RESIDENCIAL RIVIERA</v>
          </cell>
          <cell r="D3466" t="str">
            <v>0c1aba4e-7b2f-ed11-ba45-005056890018</v>
          </cell>
          <cell r="E3466">
            <v>496</v>
          </cell>
        </row>
        <row r="3467">
          <cell r="A3467" t="str">
            <v>RIO DE JANEIRO</v>
          </cell>
          <cell r="C3467" t="str">
            <v>PRIMOR CARIOCA</v>
          </cell>
          <cell r="D3467" t="str">
            <v>64aa980b-1456-e911-b8f1-009c02b0cb58</v>
          </cell>
          <cell r="E3467">
            <v>500</v>
          </cell>
        </row>
        <row r="3468">
          <cell r="A3468" t="str">
            <v>RIO DE JANEIRO</v>
          </cell>
          <cell r="C3468" t="str">
            <v>RESIDENCIAL GRUMARI</v>
          </cell>
          <cell r="D3468" t="str">
            <v>d931a6c1-bbe5-e711-a541-009c02b0cb58</v>
          </cell>
          <cell r="E3468">
            <v>0</v>
          </cell>
        </row>
        <row r="3469">
          <cell r="A3469" t="str">
            <v>RIO DE JANEIRO</v>
          </cell>
          <cell r="C3469" t="str">
            <v>RESERVA REDENTOR</v>
          </cell>
          <cell r="D3469" t="str">
            <v>0b639e3e-21de-ea11-beeb-005056856875</v>
          </cell>
          <cell r="E3469">
            <v>408</v>
          </cell>
        </row>
        <row r="3470">
          <cell r="A3470" t="str">
            <v>RIO DE JANEIRO</v>
          </cell>
          <cell r="C3470" t="str">
            <v>RESIDENCIAL PEDRA DE GUARATIBA</v>
          </cell>
          <cell r="D3470" t="str">
            <v>1bb4928e-8b30-ea11-ba0a-0050568aa20f</v>
          </cell>
          <cell r="E3470">
            <v>500</v>
          </cell>
        </row>
        <row r="3471">
          <cell r="A3471" t="str">
            <v>RIO DE JANEIRO</v>
          </cell>
          <cell r="C3471" t="str">
            <v>RESIDENCIAL RIO MAR</v>
          </cell>
          <cell r="D3471" t="str">
            <v>8288f0e0-b9e0-e511-9cc2-009c02b0cb58</v>
          </cell>
          <cell r="E3471">
            <v>160</v>
          </cell>
        </row>
        <row r="3472">
          <cell r="A3472" t="str">
            <v>RIO DE JANEIRO</v>
          </cell>
          <cell r="C3472" t="str">
            <v>RIO ARARAS</v>
          </cell>
          <cell r="D3472" t="str">
            <v>fb61687a-b9e0-e511-9cc2-009c02b0cb58</v>
          </cell>
          <cell r="E3472">
            <v>420</v>
          </cell>
        </row>
        <row r="3473">
          <cell r="A3473" t="str">
            <v>RIO DE JANEIRO</v>
          </cell>
          <cell r="C3473" t="str">
            <v>PARQUE RECANTO DA COLINA</v>
          </cell>
          <cell r="D3473" t="str">
            <v>e563905e-439b-df11-b20e-001f2909e810</v>
          </cell>
          <cell r="E3473">
            <v>360</v>
          </cell>
        </row>
        <row r="3474">
          <cell r="A3474" t="str">
            <v>RIO DE JANEIRO</v>
          </cell>
          <cell r="C3474" t="str">
            <v>PARQUE RECANTO VERDE</v>
          </cell>
          <cell r="D3474" t="str">
            <v>18e2c743-7d41-df11-9f9a-001f2909e810</v>
          </cell>
          <cell r="E3474">
            <v>360</v>
          </cell>
        </row>
        <row r="3475">
          <cell r="A3475" t="str">
            <v>RIO DE JANEIRO</v>
          </cell>
          <cell r="C3475" t="str">
            <v>RESIDENCIAL BÁLSAMO</v>
          </cell>
          <cell r="D3475" t="str">
            <v>c02a3f70-b071-e911-b1cd-009c02b0cb58</v>
          </cell>
          <cell r="E3475">
            <v>320</v>
          </cell>
        </row>
        <row r="3476">
          <cell r="A3476" t="str">
            <v>RIO DE JANEIRO</v>
          </cell>
          <cell r="C3476" t="str">
            <v>RESIDENCIAL IPÊ AMARELO</v>
          </cell>
          <cell r="D3476" t="str">
            <v>7bd87bd3-6072-e911-b1cd-009c02b0cb58</v>
          </cell>
          <cell r="E3476">
            <v>320</v>
          </cell>
        </row>
        <row r="3477">
          <cell r="A3477" t="str">
            <v>RIO DE JANEIRO</v>
          </cell>
          <cell r="C3477" t="str">
            <v>JARDIM DAS AMOREIRAS</v>
          </cell>
          <cell r="D3477" t="str">
            <v>80776031-2d9f-ec11-b501-005056856b6c</v>
          </cell>
          <cell r="E3477">
            <v>280</v>
          </cell>
        </row>
        <row r="3478">
          <cell r="A3478" t="str">
            <v>RIO DE JANEIRO</v>
          </cell>
          <cell r="C3478" t="str">
            <v>RECANTO DAS ANDORINHAS</v>
          </cell>
          <cell r="D3478" t="str">
            <v>f294a88a-f4ce-de11-8c8b-001f2909e810</v>
          </cell>
          <cell r="E3478">
            <v>100</v>
          </cell>
        </row>
        <row r="3479">
          <cell r="A3479" t="str">
            <v>RIO DE JANEIRO</v>
          </cell>
          <cell r="C3479" t="str">
            <v>RESIDENCIAL TULUM</v>
          </cell>
          <cell r="D3479" t="str">
            <v>4b226cc7-c410-ec11-b501-005056856b6c</v>
          </cell>
          <cell r="E3479">
            <v>168</v>
          </cell>
        </row>
        <row r="3480">
          <cell r="A3480" t="str">
            <v>RIO DE JANEIRO</v>
          </cell>
          <cell r="C3480" t="str">
            <v>RESIDENCIAL TORRES DO MÉIER</v>
          </cell>
          <cell r="D3480" t="str">
            <v>798a2abb-838a-e811-b96e-009c02b0cb58</v>
          </cell>
          <cell r="E3480">
            <v>352</v>
          </cell>
        </row>
        <row r="3481">
          <cell r="A3481" t="str">
            <v>RIO DE JANEIRO</v>
          </cell>
          <cell r="C3481" t="str">
            <v>SENSIA BARRA</v>
          </cell>
          <cell r="D3481" t="str">
            <v>e82390e4-d25d-ec11-b2fe-005056895191</v>
          </cell>
          <cell r="E3481">
            <v>288</v>
          </cell>
        </row>
        <row r="3482">
          <cell r="A3482" t="str">
            <v>RIO DE JANEIRO</v>
          </cell>
          <cell r="C3482" t="str">
            <v>ENCANTOS DA ZONA NORTE</v>
          </cell>
          <cell r="D3482" t="str">
            <v>d8931935-6347-ee11-9510-005056856875</v>
          </cell>
          <cell r="E3482">
            <v>432</v>
          </cell>
        </row>
        <row r="3483">
          <cell r="A3483" t="str">
            <v>SALVADOR</v>
          </cell>
          <cell r="C3483" t="str">
            <v>RESERVA DAS FLORES</v>
          </cell>
          <cell r="D3483" t="str">
            <v>3c919314-2bde-e911-a6a0-005056856875</v>
          </cell>
          <cell r="E3483">
            <v>512</v>
          </cell>
        </row>
        <row r="3484">
          <cell r="A3484" t="str">
            <v>SALVADOR</v>
          </cell>
          <cell r="C3484" t="str">
            <v>RESERVA DO MAR</v>
          </cell>
          <cell r="D3484" t="str">
            <v>c91ccccd-2bde-e911-a6a0-005056856875</v>
          </cell>
          <cell r="E3484">
            <v>512</v>
          </cell>
        </row>
        <row r="3485">
          <cell r="A3485" t="str">
            <v>SALVADOR</v>
          </cell>
          <cell r="C3485" t="str">
            <v>RESERVA DO SOL</v>
          </cell>
          <cell r="D3485" t="str">
            <v>8e048259-2cde-e911-a6a0-005056856875</v>
          </cell>
          <cell r="E3485">
            <v>272</v>
          </cell>
        </row>
        <row r="3486">
          <cell r="A3486" t="str">
            <v>SALVADOR</v>
          </cell>
          <cell r="C3486" t="str">
            <v>RESERVA DOS VENTOS</v>
          </cell>
          <cell r="D3486" t="str">
            <v>e462280c-2cde-e911-a6a0-005056856875</v>
          </cell>
          <cell r="E3486">
            <v>360</v>
          </cell>
        </row>
        <row r="3487">
          <cell r="A3487" t="str">
            <v>SALVADOR</v>
          </cell>
          <cell r="C3487" t="str">
            <v>MORADA DE PIATÃ</v>
          </cell>
          <cell r="D3487" t="str">
            <v>d5e8f12f-5c71-eb11-aa45-005056856875</v>
          </cell>
          <cell r="E3487">
            <v>720</v>
          </cell>
        </row>
        <row r="3488">
          <cell r="A3488" t="str">
            <v>SALVADOR</v>
          </cell>
          <cell r="C3488" t="str">
            <v>PORTAL DE PIATÃ</v>
          </cell>
          <cell r="D3488" t="str">
            <v>8396f1af-5b71-eb11-aa45-005056856875</v>
          </cell>
          <cell r="E3488">
            <v>720</v>
          </cell>
        </row>
        <row r="3489">
          <cell r="A3489" t="str">
            <v>SALVADOR</v>
          </cell>
          <cell r="C3489" t="str">
            <v>SPAZIO SALVADOR NORTE</v>
          </cell>
          <cell r="D3489" t="str">
            <v>d33693e3-98f6-e111-9e30-001f2909e810</v>
          </cell>
          <cell r="E3489">
            <v>448</v>
          </cell>
        </row>
        <row r="3490">
          <cell r="A3490" t="str">
            <v>SALVADOR</v>
          </cell>
          <cell r="C3490" t="str">
            <v>SENSIA PATAMARES</v>
          </cell>
          <cell r="D3490" t="str">
            <v>6f86e328-6071-eb11-aa45-005056856875</v>
          </cell>
          <cell r="E3490">
            <v>320</v>
          </cell>
        </row>
        <row r="3491">
          <cell r="A3491" t="str">
            <v>SALVADOR</v>
          </cell>
          <cell r="C3491" t="str">
            <v>SENSIA URBAN</v>
          </cell>
          <cell r="D3491" t="str">
            <v>92ad2924-1c7d-eb11-8864-0050568aa20f</v>
          </cell>
          <cell r="E3491">
            <v>320</v>
          </cell>
        </row>
        <row r="3492">
          <cell r="A3492" t="str">
            <v>SALVADOR</v>
          </cell>
          <cell r="C3492" t="str">
            <v>PARQUE DOM PEDRO II</v>
          </cell>
          <cell r="D3492" t="str">
            <v>be3b7540-2d7e-e911-aaf3-009c02b0cb58</v>
          </cell>
          <cell r="E3492">
            <v>300</v>
          </cell>
        </row>
        <row r="3493">
          <cell r="A3493" t="str">
            <v>SALVADOR</v>
          </cell>
          <cell r="C3493" t="str">
            <v>PARQUE DOS CONDES</v>
          </cell>
          <cell r="D3493" t="str">
            <v>d4918d39-690c-e611-a5bb-009c02b0cb58</v>
          </cell>
          <cell r="E3493">
            <v>480</v>
          </cell>
        </row>
        <row r="3494">
          <cell r="A3494" t="str">
            <v>SALVADOR</v>
          </cell>
          <cell r="C3494" t="str">
            <v>PARQUE DOS MARQUESES</v>
          </cell>
          <cell r="D3494" t="str">
            <v>690db498-660c-e611-a5bb-009c02b0cb58</v>
          </cell>
          <cell r="E3494">
            <v>320</v>
          </cell>
        </row>
        <row r="3495">
          <cell r="A3495" t="str">
            <v>SALVADOR</v>
          </cell>
          <cell r="C3495" t="str">
            <v>PARQUE DOS PRÍNCIPES</v>
          </cell>
          <cell r="D3495" t="str">
            <v>3362495d-660c-e611-a5bb-009c02b0cb58</v>
          </cell>
          <cell r="E3495">
            <v>380</v>
          </cell>
        </row>
        <row r="3496">
          <cell r="A3496" t="str">
            <v>SALVADOR</v>
          </cell>
          <cell r="C3496" t="str">
            <v>SPAZIO IMPERATRIZ</v>
          </cell>
          <cell r="D3496" t="str">
            <v>f37a8e28-4f7e-e911-aaf3-009c02b0cb58</v>
          </cell>
          <cell r="E3496">
            <v>352</v>
          </cell>
        </row>
        <row r="3497">
          <cell r="A3497" t="str">
            <v>SALVADOR</v>
          </cell>
          <cell r="C3497" t="str">
            <v>COLINA IMPERIAL_SPAZIO PETRÓPOLIS</v>
          </cell>
          <cell r="D3497" t="str">
            <v>bb786ca7-4f7e-e911-aaf3-009c02b0cb58</v>
          </cell>
          <cell r="E3497">
            <v>528</v>
          </cell>
        </row>
        <row r="3498">
          <cell r="A3498" t="str">
            <v>SALVADOR</v>
          </cell>
          <cell r="C3498" t="str">
            <v>REAL PARK</v>
          </cell>
          <cell r="D3498" t="str">
            <v>ea7e5222-5760-ed11-879a-80c16e075108</v>
          </cell>
          <cell r="E3498">
            <v>140</v>
          </cell>
        </row>
        <row r="3499">
          <cell r="A3499" t="str">
            <v>SALVADOR</v>
          </cell>
          <cell r="C3499" t="str">
            <v>RESIDENCIAL GOLF RIVIERA</v>
          </cell>
          <cell r="D3499" t="str">
            <v>bc6a216c-f614-ee11-ae6a-009c02b0cb58</v>
          </cell>
          <cell r="E3499">
            <v>576</v>
          </cell>
        </row>
        <row r="3500">
          <cell r="A3500" t="str">
            <v>SALVADOR</v>
          </cell>
          <cell r="C3500" t="str">
            <v>RESIDENCIAL RESERVA DA MATA</v>
          </cell>
          <cell r="D3500" t="str">
            <v>852733e0-ca10-ec11-b501-005056856b6c</v>
          </cell>
          <cell r="E3500">
            <v>408</v>
          </cell>
        </row>
        <row r="3501">
          <cell r="A3501" t="str">
            <v>SAMAMBAIA</v>
          </cell>
          <cell r="C3501" t="str">
            <v>TORRES DOS BURITIS</v>
          </cell>
          <cell r="D3501" t="str">
            <v>54bb12f2-8da0-ec11-b501-005056856b6c</v>
          </cell>
          <cell r="E3501">
            <v>384</v>
          </cell>
        </row>
        <row r="3502">
          <cell r="A3502" t="str">
            <v>SANTA BÁRBARA D'OESTE</v>
          </cell>
          <cell r="C3502" t="str">
            <v>RESIDENCIAL AUTENTICITÀ</v>
          </cell>
          <cell r="D3502" t="str">
            <v>72bce064-ccf2-ea11-beeb-005056856875</v>
          </cell>
          <cell r="E3502">
            <v>184</v>
          </cell>
        </row>
        <row r="3503">
          <cell r="A3503" t="str">
            <v>SANTA BÁRBARA D'OESTE</v>
          </cell>
          <cell r="C3503" t="str">
            <v>RESIDENCIAL ALAMEDA DAS ANDORINHAS</v>
          </cell>
          <cell r="D3503" t="str">
            <v>40c3d1ca-5d57-eb11-a635-005056856875</v>
          </cell>
          <cell r="E3503">
            <v>256</v>
          </cell>
        </row>
        <row r="3504">
          <cell r="A3504" t="str">
            <v>BRASÍLIA</v>
          </cell>
          <cell r="C3504" t="str">
            <v>TORRES DO JARDIM</v>
          </cell>
          <cell r="D3504" t="str">
            <v>5c9f870d-892c-ee11-8acd-80c16e075108</v>
          </cell>
          <cell r="E3504">
            <v>192</v>
          </cell>
        </row>
        <row r="3505">
          <cell r="A3505" t="str">
            <v>SANTANA DE PARNAÍBA</v>
          </cell>
          <cell r="C3505" t="str">
            <v>SAINT CHARLES</v>
          </cell>
          <cell r="D3505" t="str">
            <v>79c716a7-5c78-e711-91b2-80c16e075108</v>
          </cell>
          <cell r="E3505">
            <v>600</v>
          </cell>
        </row>
        <row r="3506">
          <cell r="A3506" t="str">
            <v>SANTO ANDRÉ</v>
          </cell>
          <cell r="C3506" t="str">
            <v>RESIDENCIAL SAN LEVI</v>
          </cell>
          <cell r="D3506" t="str">
            <v>fe3ba3dd-31cd-eb11-ba93-005056856875</v>
          </cell>
          <cell r="E3506">
            <v>432</v>
          </cell>
        </row>
        <row r="3507">
          <cell r="A3507" t="str">
            <v>SÃO BERNARDO DO CAMPO</v>
          </cell>
          <cell r="C3507" t="str">
            <v>VILLAGE SAN LEOPOLD</v>
          </cell>
          <cell r="D3507" t="str">
            <v>7c16d8a1-bbce-dc11-9ed6-001b7845b4a6</v>
          </cell>
          <cell r="E3507">
            <v>120</v>
          </cell>
        </row>
        <row r="3508">
          <cell r="A3508" t="str">
            <v>SÃO CARLOS</v>
          </cell>
          <cell r="C3508" t="str">
            <v>MONTE DOS CEDROS</v>
          </cell>
          <cell r="D3508" t="str">
            <v>a5ac2bd6-f6ea-dc11-a2f9-001b7845b4a6</v>
          </cell>
          <cell r="E3508">
            <v>224</v>
          </cell>
        </row>
        <row r="3509">
          <cell r="A3509" t="str">
            <v>SÃO CARLOS</v>
          </cell>
          <cell r="C3509" t="str">
            <v>MONTE DOS PINHEIROS</v>
          </cell>
          <cell r="D3509" t="str">
            <v>8c77709a-a9e8-dd11-bd2b-001b78b9d994</v>
          </cell>
          <cell r="E3509">
            <v>224</v>
          </cell>
        </row>
        <row r="3510">
          <cell r="A3510" t="str">
            <v>SÃO CARLOS</v>
          </cell>
          <cell r="C3510" t="str">
            <v>SPAZIO MONT VERNON</v>
          </cell>
          <cell r="D3510" t="str">
            <v>28714754-6153-dd11-bc22-001b78b9d994</v>
          </cell>
          <cell r="E3510">
            <v>128</v>
          </cell>
        </row>
        <row r="3511">
          <cell r="A3511" t="str">
            <v>SÃO CARLOS</v>
          </cell>
          <cell r="C3511" t="str">
            <v>HELOISA</v>
          </cell>
          <cell r="D3511" t="str">
            <v>2fb3c39c-eeda-df11-b242-001f2909e810</v>
          </cell>
          <cell r="E3511">
            <v>144</v>
          </cell>
        </row>
        <row r="3512">
          <cell r="A3512" t="str">
            <v>SÃO CARLOS</v>
          </cell>
          <cell r="C3512" t="str">
            <v>RESIDENCIAL MONTE DAS COLINAS</v>
          </cell>
          <cell r="D3512" t="str">
            <v>7b3575e6-65f3-ea11-88c0-0050568aa20f</v>
          </cell>
          <cell r="E3512">
            <v>368</v>
          </cell>
        </row>
        <row r="3513">
          <cell r="A3513" t="str">
            <v>SÃO GONÇALO</v>
          </cell>
          <cell r="C3513" t="str">
            <v>RESIDENCIAL MAR DE MANGARATIBA</v>
          </cell>
          <cell r="D3513" t="str">
            <v>f3cc3de3-a253-e811-a558-009c02b0cb58</v>
          </cell>
          <cell r="E3513">
            <v>504</v>
          </cell>
        </row>
        <row r="3514">
          <cell r="A3514" t="str">
            <v>SÃO GONÇALO</v>
          </cell>
          <cell r="C3514" t="str">
            <v>RESIDENCIAL MAR DE TRINDADE</v>
          </cell>
          <cell r="D3514" t="str">
            <v>0a722232-a253-e811-a558-009c02b0cb58</v>
          </cell>
          <cell r="E3514">
            <v>504</v>
          </cell>
        </row>
        <row r="3515">
          <cell r="A3515" t="str">
            <v>SÃO GONÇALO</v>
          </cell>
          <cell r="C3515" t="str">
            <v>PARQUE SERRA SALVATORI</v>
          </cell>
          <cell r="D3515" t="str">
            <v>b1156a6d-1079-e111-a73f-001f2909e810</v>
          </cell>
          <cell r="E3515">
            <v>600</v>
          </cell>
        </row>
        <row r="3516">
          <cell r="A3516" t="str">
            <v>SÃO GONÇALO</v>
          </cell>
          <cell r="C3516" t="str">
            <v>BOSQUE DAS AMENDOEIRAS</v>
          </cell>
          <cell r="D3516" t="str">
            <v>7863c0db-5523-eb11-9d23-005056856b6c</v>
          </cell>
          <cell r="E3516">
            <v>220</v>
          </cell>
        </row>
        <row r="3517">
          <cell r="A3517" t="str">
            <v>SÃO GONÇALO</v>
          </cell>
          <cell r="C3517" t="str">
            <v>RESIDENCIAL MAUÁ</v>
          </cell>
          <cell r="D3517" t="str">
            <v>28e99b0f-88f0-eb11-ac3b-005056856b6c</v>
          </cell>
          <cell r="E3517">
            <v>0</v>
          </cell>
        </row>
        <row r="3518">
          <cell r="A3518" t="str">
            <v>SÃO GONÇALO</v>
          </cell>
          <cell r="C3518" t="str">
            <v>IMPÉRIO DO OURO</v>
          </cell>
          <cell r="D3518" t="str">
            <v>634279e6-dd54-eb11-85d0-005056856875</v>
          </cell>
          <cell r="E3518">
            <v>612</v>
          </cell>
        </row>
        <row r="3519">
          <cell r="A3519" t="str">
            <v>SÃO JOSÉ</v>
          </cell>
          <cell r="C3519" t="str">
            <v>FLORES DE BRAGANÇA</v>
          </cell>
          <cell r="D3519" t="str">
            <v>ea6416a9-edbf-ec11-ba45-005056890018</v>
          </cell>
          <cell r="E3519">
            <v>288</v>
          </cell>
        </row>
        <row r="3520">
          <cell r="A3520" t="str">
            <v>SÃO JOSÉ</v>
          </cell>
          <cell r="C3520" t="str">
            <v>RESIDENCIAL FLORES DE ÉVORA</v>
          </cell>
          <cell r="D3520" t="str">
            <v>79e48a3c-5928-ec11-b501-005056856b6c</v>
          </cell>
          <cell r="E3520">
            <v>368</v>
          </cell>
        </row>
        <row r="3521">
          <cell r="A3521" t="str">
            <v>SÃO JOSÉ DE RIBAMAR</v>
          </cell>
          <cell r="C3521" t="str">
            <v>RESIDENCIAL DUNAS DO HORIZONTE</v>
          </cell>
          <cell r="D3521" t="str">
            <v>52bb0cb6-6629-ed11-ba45-005056890018</v>
          </cell>
          <cell r="E3521">
            <v>192</v>
          </cell>
        </row>
        <row r="3522">
          <cell r="A3522" t="str">
            <v>SÃO JOSÉ DO RIO PRETO</v>
          </cell>
          <cell r="C3522" t="str">
            <v>PARQUE RIO DE PORTUGAL</v>
          </cell>
          <cell r="D3522" t="str">
            <v>3b200a12-013b-e711-8cd7-009c02b0cb58</v>
          </cell>
          <cell r="E3522">
            <v>336</v>
          </cell>
        </row>
        <row r="3523">
          <cell r="A3523" t="str">
            <v>SÃO JOSÉ DO RIO PRETO</v>
          </cell>
          <cell r="C3523" t="str">
            <v>RESIDENCIAL JARDIM VERONA</v>
          </cell>
          <cell r="D3523" t="str">
            <v>03733c83-1041-e911-810a-80c16e075108</v>
          </cell>
          <cell r="E3523">
            <v>272</v>
          </cell>
        </row>
        <row r="3524">
          <cell r="A3524" t="str">
            <v>SÃO JOSÉ DO RIO PRETO</v>
          </cell>
          <cell r="C3524" t="str">
            <v>VILLAGE RIO DA PRATA</v>
          </cell>
          <cell r="D3524" t="str">
            <v>020ea81b-a2eb-dc11-a2f9-001b7845b4a6</v>
          </cell>
          <cell r="E3524">
            <v>104</v>
          </cell>
        </row>
        <row r="3525">
          <cell r="A3525" t="str">
            <v>SÃO JOSÉ DO RIO PRETO</v>
          </cell>
          <cell r="C3525" t="str">
            <v>SPAZIO RIO FRASER</v>
          </cell>
          <cell r="D3525" t="str">
            <v>29316e21-05eb-dc11-a2f9-001b7845b4a6</v>
          </cell>
          <cell r="E3525">
            <v>176</v>
          </cell>
        </row>
        <row r="3526">
          <cell r="A3526" t="str">
            <v>SÃO JOSÉ DO RIO PRETO</v>
          </cell>
          <cell r="C3526" t="str">
            <v>PARQUE RIO RENO</v>
          </cell>
          <cell r="D3526" t="str">
            <v>d59ae628-53b4-de11-8d16-001f2909e810</v>
          </cell>
          <cell r="E3526">
            <v>384</v>
          </cell>
        </row>
        <row r="3527">
          <cell r="A3527" t="str">
            <v>SÃO JOSÉ DO RIO PRETO</v>
          </cell>
          <cell r="C3527" t="str">
            <v>PARQUE LOMBARDIA</v>
          </cell>
          <cell r="D3527" t="str">
            <v>bc3d4574-61b1-e011-a2d4-001b78b9d994</v>
          </cell>
          <cell r="E3527">
            <v>115</v>
          </cell>
        </row>
        <row r="3528">
          <cell r="A3528" t="str">
            <v>SÃO JOSÉ DO RIO PRETO</v>
          </cell>
          <cell r="C3528" t="str">
            <v>PARQUE SORRENTO</v>
          </cell>
          <cell r="D3528" t="str">
            <v>4c974fec-62b1-e011-a2d4-001b78b9d994</v>
          </cell>
          <cell r="E3528">
            <v>460</v>
          </cell>
        </row>
        <row r="3529">
          <cell r="A3529" t="str">
            <v>SÃO JOSÉ DO RIO PRETO</v>
          </cell>
          <cell r="C3529" t="str">
            <v>EPARQUE RIO PRETO LESTE MÓDULO 02</v>
          </cell>
          <cell r="D3529" t="str">
            <v>ab010688-4d76-ed11-98d9-009c02b0cb58</v>
          </cell>
          <cell r="E3529">
            <v>150</v>
          </cell>
        </row>
        <row r="3530">
          <cell r="A3530" t="str">
            <v>SÃO JOSÉ DO RIO PRETO</v>
          </cell>
          <cell r="C3530" t="str">
            <v>EPARQUE RIO PRETO LESTE MÓDULO 03</v>
          </cell>
          <cell r="D3530" t="str">
            <v>8e843533-4e76-ed11-98d9-009c02b0cb58</v>
          </cell>
          <cell r="E3530">
            <v>205</v>
          </cell>
        </row>
        <row r="3531">
          <cell r="A3531" t="str">
            <v>SÃO JOSÉ DO RIO PRETO</v>
          </cell>
          <cell r="C3531" t="str">
            <v>EPARQUE RIO PRETO LESTE MÓDULO 01</v>
          </cell>
          <cell r="D3531" t="str">
            <v>0d0c8001-eab5-ec11-a74f-005056890018</v>
          </cell>
          <cell r="E3531">
            <v>136</v>
          </cell>
        </row>
        <row r="3532">
          <cell r="A3532" t="str">
            <v>SÃO JOSÉ DO RIO PRETO</v>
          </cell>
          <cell r="C3532" t="str">
            <v>RESIDENCIAL GRANDENA</v>
          </cell>
          <cell r="D3532" t="str">
            <v>24cb5ec0-17fa-eb11-a30e-0050568a2e98</v>
          </cell>
          <cell r="E3532">
            <v>448</v>
          </cell>
        </row>
        <row r="3533">
          <cell r="A3533" t="str">
            <v>SÃO JOSÉ DO RIO PRETO</v>
          </cell>
          <cell r="C3533" t="str">
            <v>RESIDENCIAL JARDIM OLIVEIRAS</v>
          </cell>
          <cell r="D3533" t="str">
            <v>91c02f94-da10-ec11-a30e-0050568a2e98</v>
          </cell>
          <cell r="E3533">
            <v>352</v>
          </cell>
        </row>
        <row r="3534">
          <cell r="A3534" t="str">
            <v>SÃO JOSÉ DO RIO PRETO</v>
          </cell>
          <cell r="C3534" t="str">
            <v>RESIDENCIAL MICHELANGELO</v>
          </cell>
          <cell r="D3534" t="str">
            <v>44bd9fe9-c3dd-e211-83e6-80c16e075108</v>
          </cell>
          <cell r="E3534">
            <v>48</v>
          </cell>
        </row>
        <row r="3535">
          <cell r="A3535" t="str">
            <v>SÃO JOSÉ DOS CAMPOS</v>
          </cell>
          <cell r="C3535" t="str">
            <v>SPAZIO CAMPO DAS VIOLETAS</v>
          </cell>
          <cell r="D3535" t="str">
            <v>76158d6c-37cb-dc11-9ed6-001b7845b4a6</v>
          </cell>
          <cell r="E3535">
            <v>240</v>
          </cell>
        </row>
        <row r="3536">
          <cell r="A3536" t="str">
            <v>SÃO JOSÉ DOS CAMPOS</v>
          </cell>
          <cell r="C3536" t="str">
            <v>RESIDENCIAL CAMINHO DAS CEREJEIRAS</v>
          </cell>
          <cell r="D3536" t="str">
            <v>9295e80c-b56a-e911-90bb-80c16e075108</v>
          </cell>
          <cell r="E3536">
            <v>288</v>
          </cell>
        </row>
        <row r="3537">
          <cell r="A3537" t="str">
            <v>SÃO JOSÉ DOS CAMPOS</v>
          </cell>
          <cell r="C3537" t="str">
            <v>RESIDENCIAL CAMINHO DOS JERIVÁS</v>
          </cell>
          <cell r="D3537" t="str">
            <v>b424bbfe-a978-e911-a7ac-80c16e075108</v>
          </cell>
          <cell r="E3537">
            <v>299</v>
          </cell>
        </row>
        <row r="3538">
          <cell r="A3538" t="str">
            <v>SÃO JOSÉ DOS CAMPOS</v>
          </cell>
          <cell r="C3538" t="str">
            <v>RESIDENCIAL CAMPO DI ESPANHA</v>
          </cell>
          <cell r="D3538" t="str">
            <v>68619d08-c973-df11-ad89-001b78b9d994</v>
          </cell>
          <cell r="E3538">
            <v>288</v>
          </cell>
        </row>
        <row r="3539">
          <cell r="A3539" t="str">
            <v>SÃO JOSÉ DOS CAMPOS</v>
          </cell>
          <cell r="C3539" t="str">
            <v>RESIDENCIAL CAMPO DI RAVENA</v>
          </cell>
          <cell r="D3539" t="str">
            <v>ffcc5884-3b1f-e911-b503-009c02b0cb58</v>
          </cell>
          <cell r="E3539">
            <v>288</v>
          </cell>
        </row>
        <row r="3540">
          <cell r="A3540" t="str">
            <v>SÃO JOSÉ DOS CAMPOS</v>
          </cell>
          <cell r="C3540" t="str">
            <v>RESIDENCIAL CAMPO DI VIENA</v>
          </cell>
          <cell r="D3540" t="str">
            <v>78c426b5-bc02-e011-8c0c-001b78b9d994</v>
          </cell>
          <cell r="E3540">
            <v>288</v>
          </cell>
        </row>
        <row r="3541">
          <cell r="A3541" t="str">
            <v>SÃO JOSÉ DOS CAMPOS</v>
          </cell>
          <cell r="C3541" t="str">
            <v>PARQUE CAMPO DI MADRI</v>
          </cell>
          <cell r="D3541" t="str">
            <v>624be192-8629-e011-b242-001f2909e810</v>
          </cell>
          <cell r="E3541">
            <v>224</v>
          </cell>
        </row>
        <row r="3542">
          <cell r="A3542" t="str">
            <v>SÃO JOSÉ DOS CAMPOS</v>
          </cell>
          <cell r="C3542" t="str">
            <v>TERRAZO DI DANTE</v>
          </cell>
          <cell r="D3542" t="str">
            <v>b004fd1e-c3ad-eb11-94b3-005056856875</v>
          </cell>
          <cell r="E3542">
            <v>296</v>
          </cell>
        </row>
        <row r="3543">
          <cell r="A3543" t="str">
            <v>SÃO JOSÉ DOS CAMPOS</v>
          </cell>
          <cell r="C3543" t="str">
            <v>RESIDENCIAL ESTHER</v>
          </cell>
          <cell r="D3543" t="str">
            <v>d3cc5b95-377f-e611-abb6-80c16e075108</v>
          </cell>
          <cell r="E3543">
            <v>0</v>
          </cell>
        </row>
        <row r="3544">
          <cell r="A3544" t="str">
            <v>SÃO JOSÉ DOS CAMPOS</v>
          </cell>
          <cell r="C3544" t="str">
            <v>CAMPO DO CERRADO</v>
          </cell>
          <cell r="D3544" t="str">
            <v>54523f85-b166-ee11-8acd-80c16e075108</v>
          </cell>
          <cell r="E3544">
            <v>195</v>
          </cell>
        </row>
        <row r="3545">
          <cell r="A3545" t="str">
            <v>SÃO LEOPOLDO</v>
          </cell>
          <cell r="C3545" t="str">
            <v>RESIDENCIAL PORTO MUNIQUE</v>
          </cell>
          <cell r="D3545" t="str">
            <v>3760ec41-95b2-e711-a541-009c02b0cb58</v>
          </cell>
          <cell r="E3545">
            <v>420</v>
          </cell>
        </row>
        <row r="3546">
          <cell r="A3546" t="str">
            <v>SÃO LEOPOLDO</v>
          </cell>
          <cell r="C3546" t="str">
            <v>PORTO DOS IMIGRANTES</v>
          </cell>
          <cell r="D3546" t="str">
            <v>8fbbc1d5-1af2-e711-b989-80c16e075108</v>
          </cell>
          <cell r="E3546">
            <v>380</v>
          </cell>
        </row>
        <row r="3547">
          <cell r="A3547" t="str">
            <v>SÃO LUÍS</v>
          </cell>
          <cell r="C3547" t="str">
            <v>ILHA DE SAN ANDRÉS</v>
          </cell>
          <cell r="D3547" t="str">
            <v>cedb98e9-4e78-e911-b1cd-009c02b0cb58</v>
          </cell>
          <cell r="E3547">
            <v>432</v>
          </cell>
        </row>
        <row r="3548">
          <cell r="A3548" t="str">
            <v>SÃO LUÍS</v>
          </cell>
          <cell r="C3548" t="str">
            <v>ILHA DE SAN MARTIN</v>
          </cell>
          <cell r="D3548" t="str">
            <v>882d168f-4e78-e911-b1cd-009c02b0cb58</v>
          </cell>
          <cell r="E3548">
            <v>312</v>
          </cell>
        </row>
        <row r="3549">
          <cell r="A3549" t="str">
            <v>SÃO LUÍS</v>
          </cell>
          <cell r="C3549" t="str">
            <v>TORRES DOS FRANCESES</v>
          </cell>
          <cell r="D3549" t="str">
            <v>b951fbcd-685a-eb11-ac7f-005056856875</v>
          </cell>
          <cell r="E3549">
            <v>360</v>
          </cell>
        </row>
        <row r="3550">
          <cell r="A3550" t="str">
            <v>SÃO LUÍS</v>
          </cell>
          <cell r="C3550" t="str">
            <v>CONDOMINIO JARDIM DOS ANTÚRIOS</v>
          </cell>
          <cell r="D3550" t="str">
            <v>446c1dbd-587f-ea11-aed6-0050568aa20f</v>
          </cell>
          <cell r="E3550">
            <v>288</v>
          </cell>
        </row>
        <row r="3551">
          <cell r="A3551" t="str">
            <v>SÃO LUÍS</v>
          </cell>
          <cell r="C3551" t="str">
            <v>TORRES DOS PORTUGUESES</v>
          </cell>
          <cell r="D3551" t="str">
            <v>fa38ee59-3f62-eb11-8864-0050568aa20f</v>
          </cell>
          <cell r="E3551">
            <v>468</v>
          </cell>
        </row>
        <row r="3552">
          <cell r="A3552" t="str">
            <v>SÃO LUÍS</v>
          </cell>
          <cell r="C3552" t="str">
            <v>RESIDENCIAL ILHA DOS VINHAIS</v>
          </cell>
          <cell r="D3552" t="str">
            <v>46181991-703e-ec11-b501-005056856b6c</v>
          </cell>
          <cell r="E3552">
            <v>324</v>
          </cell>
        </row>
        <row r="3553">
          <cell r="A3553" t="str">
            <v>SÃO LUÍS</v>
          </cell>
          <cell r="C3553" t="str">
            <v>TORRES DOS HOLANDESES</v>
          </cell>
          <cell r="D3553" t="str">
            <v>b3caf892-d011-e811-b989-80c16e075108</v>
          </cell>
          <cell r="E3553">
            <v>160</v>
          </cell>
        </row>
        <row r="3554">
          <cell r="A3554" t="str">
            <v>SÃO LUÍS</v>
          </cell>
          <cell r="C3554" t="str">
            <v>ILHA DE SANTORINI</v>
          </cell>
          <cell r="D3554" t="str">
            <v>2f8fffc2-e544-ed11-985b-009c02b0cb58</v>
          </cell>
          <cell r="E3554">
            <v>324</v>
          </cell>
        </row>
        <row r="3555">
          <cell r="A3555" t="str">
            <v>SÃO LUÍS</v>
          </cell>
          <cell r="C3555" t="str">
            <v>CASA DE VALOIS</v>
          </cell>
          <cell r="D3555" t="str">
            <v>9e7a22fb-dd7e-e911-a3a8-0050568aa20f</v>
          </cell>
          <cell r="E3555">
            <v>384</v>
          </cell>
        </row>
        <row r="3556">
          <cell r="A3556" t="str">
            <v>SÃO PAULO</v>
          </cell>
          <cell r="C3556" t="str">
            <v>SPAZIO SAINT FRANCIS</v>
          </cell>
          <cell r="D3556" t="str">
            <v>7c63495a-a10e-e511-a3a7-80c16e075108</v>
          </cell>
          <cell r="E3556">
            <v>288</v>
          </cell>
        </row>
        <row r="3557">
          <cell r="A3557" t="str">
            <v>SÃO PAULO</v>
          </cell>
          <cell r="C3557" t="str">
            <v>SPAZIO SAN SALVADOR</v>
          </cell>
          <cell r="D3557" t="str">
            <v>8b0fd796-a10e-e511-a3a7-80c16e075108</v>
          </cell>
          <cell r="E3557">
            <v>296</v>
          </cell>
        </row>
        <row r="3558">
          <cell r="A3558" t="str">
            <v>SÃO PAULO</v>
          </cell>
          <cell r="C3558" t="str">
            <v>SAN RICCI</v>
          </cell>
          <cell r="D3558" t="str">
            <v>b9ab45ab-f0d5-eb11-b886-0050568aa20f</v>
          </cell>
          <cell r="E3558">
            <v>1152</v>
          </cell>
        </row>
        <row r="3559">
          <cell r="A3559" t="str">
            <v>SÃO PAULO</v>
          </cell>
          <cell r="C3559" t="str">
            <v>RESIDENCIAL VERSATTI</v>
          </cell>
          <cell r="D3559" t="str">
            <v>47bfc304-94b3-e911-a3f3-005056856b6c</v>
          </cell>
          <cell r="E3559">
            <v>240</v>
          </cell>
        </row>
        <row r="3560">
          <cell r="A3560" t="str">
            <v>SÃO PAULO</v>
          </cell>
          <cell r="C3560" t="str">
            <v>SAN MILLER</v>
          </cell>
          <cell r="D3560" t="str">
            <v>82f6155c-d177-ec11-b501-005056856b6c</v>
          </cell>
          <cell r="E3560">
            <v>312</v>
          </cell>
        </row>
        <row r="3561">
          <cell r="A3561" t="str">
            <v>SÃO PAULO</v>
          </cell>
          <cell r="C3561" t="str">
            <v>GRAN ARENA ITAQUERA</v>
          </cell>
          <cell r="D3561" t="str">
            <v>294750e5-66c7-ee11-8386-009c02b0cb58</v>
          </cell>
          <cell r="E3561">
            <v>1064</v>
          </cell>
        </row>
        <row r="3562">
          <cell r="A3562" t="str">
            <v>SÃO PAULO</v>
          </cell>
          <cell r="C3562" t="str">
            <v>RESIDENCIAL IPÊS</v>
          </cell>
          <cell r="D3562" t="str">
            <v>efd5657c-fd76-e711-91b2-80c16e075108</v>
          </cell>
          <cell r="E3562">
            <v>712</v>
          </cell>
        </row>
        <row r="3563">
          <cell r="A3563" t="str">
            <v>SÃO PAULO</v>
          </cell>
          <cell r="C3563" t="str">
            <v>SAINT MARTIN</v>
          </cell>
          <cell r="D3563" t="str">
            <v>4e33bb87-f8cd-dc11-9ed6-001b7845b4a6</v>
          </cell>
          <cell r="E3563">
            <v>34</v>
          </cell>
        </row>
        <row r="3564">
          <cell r="A3564" t="str">
            <v>SÃO PAULO</v>
          </cell>
          <cell r="C3564" t="str">
            <v>RESIDENCIAL ESTORIL</v>
          </cell>
          <cell r="D3564" t="str">
            <v>a897e24a-3683-eb11-aa45-005056856875</v>
          </cell>
          <cell r="E3564">
            <v>1080</v>
          </cell>
        </row>
        <row r="3565">
          <cell r="A3565" t="str">
            <v>SÃO PAULO</v>
          </cell>
          <cell r="C3565" t="str">
            <v>RESIDENCIAL SILVERSTONE</v>
          </cell>
          <cell r="D3565" t="str">
            <v>aed26438-9977-eb11-8864-0050568aa20f</v>
          </cell>
          <cell r="E3565">
            <v>432</v>
          </cell>
        </row>
        <row r="3566">
          <cell r="A3566" t="str">
            <v>SÃO PAULO</v>
          </cell>
          <cell r="C3566" t="str">
            <v>SAN NOAH</v>
          </cell>
          <cell r="D3566" t="str">
            <v>049e4531-1960-eb11-8864-0050568aa20f</v>
          </cell>
          <cell r="E3566">
            <v>320</v>
          </cell>
        </row>
        <row r="3567">
          <cell r="A3567" t="str">
            <v>SÃO PAULO</v>
          </cell>
          <cell r="C3567" t="str">
            <v>TERRAZO IPIRANGA</v>
          </cell>
          <cell r="D3567" t="str">
            <v>1e5037e5-320a-ea11-ba0a-0050568aa20f</v>
          </cell>
          <cell r="E3567">
            <v>256</v>
          </cell>
        </row>
        <row r="3568">
          <cell r="A3568" t="str">
            <v>SÃO PAULO</v>
          </cell>
          <cell r="C3568" t="str">
            <v>RECANTO DO LIMOEIRO</v>
          </cell>
          <cell r="D3568" t="str">
            <v>f8cb0b6f-50eb-ec11-ba45-005056890018</v>
          </cell>
          <cell r="E3568">
            <v>560</v>
          </cell>
        </row>
        <row r="3569">
          <cell r="A3569" t="str">
            <v>SÃO PAULO</v>
          </cell>
          <cell r="C3569" t="str">
            <v>RESIDENCIAL NASCENTE DAS DUNAS</v>
          </cell>
          <cell r="D3569" t="str">
            <v>bcdfff0e-3b62-eb11-aa45-005056856875</v>
          </cell>
          <cell r="E3569">
            <v>416</v>
          </cell>
        </row>
        <row r="3570">
          <cell r="A3570" t="str">
            <v>SÃO PAULO</v>
          </cell>
          <cell r="C3570" t="str">
            <v>RESIDENCIAL NASCENTE DO JEQUITIBÁ</v>
          </cell>
          <cell r="D3570" t="str">
            <v>05b1246f-3d62-eb11-aa45-005056856875</v>
          </cell>
          <cell r="E3570">
            <v>240</v>
          </cell>
        </row>
        <row r="3571">
          <cell r="A3571" t="str">
            <v>SÃO PAULO</v>
          </cell>
          <cell r="C3571" t="str">
            <v>RESIDENCIAL NASCENTE SEMPRE VIVA</v>
          </cell>
          <cell r="D3571" t="str">
            <v>bccf9d0c-4262-eb11-aa45-005056856875</v>
          </cell>
          <cell r="E3571">
            <v>384</v>
          </cell>
        </row>
        <row r="3572">
          <cell r="A3572" t="str">
            <v>SÃO PAULO</v>
          </cell>
          <cell r="C3572" t="str">
            <v>RESIDENCIAL POENTE DAS BROMÉLIAS</v>
          </cell>
          <cell r="D3572" t="str">
            <v>d119abcb-6b62-eb11-aa45-005056856875</v>
          </cell>
          <cell r="E3572">
            <v>200</v>
          </cell>
        </row>
        <row r="3573">
          <cell r="A3573" t="str">
            <v>SÃO PAULO</v>
          </cell>
          <cell r="C3573" t="str">
            <v>RESIDENCIAL POENTE DAS ORQUÍDEAS</v>
          </cell>
          <cell r="D3573" t="str">
            <v>66138ecd-a061-eb11-aa45-005056856875</v>
          </cell>
          <cell r="E3573">
            <v>540</v>
          </cell>
        </row>
        <row r="3574">
          <cell r="A3574" t="str">
            <v>SÃO PAULO</v>
          </cell>
          <cell r="C3574" t="str">
            <v>RESIDENCIAL POENTE DO BURITI</v>
          </cell>
          <cell r="D3574" t="str">
            <v>0214b9e6-4362-eb11-aa45-005056856875</v>
          </cell>
          <cell r="E3574">
            <v>360</v>
          </cell>
        </row>
        <row r="3575">
          <cell r="A3575" t="str">
            <v>SÃO PAULO</v>
          </cell>
          <cell r="C3575" t="str">
            <v>RESIDENCIAL POENTE DO CAMPO</v>
          </cell>
          <cell r="D3575" t="str">
            <v>cff51b49-1178-e911-a7ac-80c16e075108</v>
          </cell>
          <cell r="E3575">
            <v>212</v>
          </cell>
        </row>
        <row r="3576">
          <cell r="A3576" t="str">
            <v>SÃO PAULO</v>
          </cell>
          <cell r="C3576" t="str">
            <v>RESIDENCIAL POENTE DOS TUCANOS</v>
          </cell>
          <cell r="D3576" t="str">
            <v>64a5ab60-d849-eb11-85d0-005056856875</v>
          </cell>
          <cell r="E3576">
            <v>372</v>
          </cell>
        </row>
        <row r="3577">
          <cell r="A3577" t="str">
            <v>SÃO PAULO</v>
          </cell>
          <cell r="C3577" t="str">
            <v>SAN TOLEDO</v>
          </cell>
          <cell r="D3577" t="str">
            <v>809d74aa-9a78-ec11-a871-005056895191</v>
          </cell>
          <cell r="E3577">
            <v>432</v>
          </cell>
        </row>
        <row r="3578">
          <cell r="A3578" t="str">
            <v>SÃO PAULO</v>
          </cell>
          <cell r="C3578" t="str">
            <v>SAINT ROSE</v>
          </cell>
          <cell r="D3578" t="str">
            <v>aa4d2a27-7d30-ed11-b1ad-005056856875</v>
          </cell>
          <cell r="E3578">
            <v>384</v>
          </cell>
        </row>
        <row r="3579">
          <cell r="A3579" t="str">
            <v>SÃO PAULO</v>
          </cell>
          <cell r="C3579" t="str">
            <v>RECANTO DA MATA</v>
          </cell>
          <cell r="D3579" t="str">
            <v>a17e124e-d2f7-ec11-ba45-005056890018</v>
          </cell>
          <cell r="E3579">
            <v>528</v>
          </cell>
        </row>
        <row r="3580">
          <cell r="A3580" t="str">
            <v>SÃO PAULO</v>
          </cell>
          <cell r="C3580" t="str">
            <v>SAINT VIRGINIA</v>
          </cell>
          <cell r="D3580" t="str">
            <v>514a7ec1-7230-ee11-8acd-80c16e075108</v>
          </cell>
          <cell r="E3580">
            <v>480</v>
          </cell>
        </row>
        <row r="3581">
          <cell r="A3581" t="str">
            <v>SÃO PAULO</v>
          </cell>
          <cell r="C3581" t="str">
            <v>RESIDENCIAL RITMOS DA BARRA</v>
          </cell>
          <cell r="D3581" t="str">
            <v>049404c6-6593-ec11-b501-005056856b6c</v>
          </cell>
          <cell r="E3581">
            <v>288</v>
          </cell>
        </row>
        <row r="3582">
          <cell r="A3582" t="str">
            <v>SÃO PAULO</v>
          </cell>
          <cell r="C3582" t="str">
            <v>PARQUE HOLANDÊS</v>
          </cell>
          <cell r="D3582" t="str">
            <v>ae8599cb-a1cd-ed11-98d9-009c02b0cb58</v>
          </cell>
          <cell r="E3582">
            <v>283</v>
          </cell>
        </row>
        <row r="3583">
          <cell r="A3583" t="str">
            <v>SÃO PAULO</v>
          </cell>
          <cell r="C3583" t="str">
            <v>RESIDENCIAL LIVIERO</v>
          </cell>
          <cell r="D3583" t="str">
            <v>0a304ac0-15c9-ee11-8386-009c02b0cb58</v>
          </cell>
          <cell r="E3583">
            <v>709</v>
          </cell>
        </row>
        <row r="3584">
          <cell r="A3584" t="str">
            <v>SÃO PAULO</v>
          </cell>
          <cell r="C3584" t="str">
            <v>SPAZIO SAN GIORGIO</v>
          </cell>
          <cell r="D3584" t="str">
            <v>d89c3fce-b1ce-dc11-9ed6-001b7845b4a6</v>
          </cell>
          <cell r="E3584">
            <v>124</v>
          </cell>
        </row>
        <row r="3585">
          <cell r="A3585" t="str">
            <v>SÃO PAULO</v>
          </cell>
          <cell r="C3585" t="str">
            <v>RESIDENCIAL VIVENZA</v>
          </cell>
          <cell r="D3585" t="str">
            <v>925cabdc-6d47-ee11-9510-005056856875</v>
          </cell>
          <cell r="E3585">
            <v>372</v>
          </cell>
        </row>
        <row r="3586">
          <cell r="A3586" t="str">
            <v>SERRA</v>
          </cell>
          <cell r="C3586" t="str">
            <v>SPAZIO VILA DE ITAÚNAS</v>
          </cell>
          <cell r="D3586" t="str">
            <v>da36027f-6db1-e611-abb6-80c16e075108</v>
          </cell>
          <cell r="E3586">
            <v>96</v>
          </cell>
        </row>
        <row r="3587">
          <cell r="A3587" t="str">
            <v>SERRA</v>
          </cell>
          <cell r="C3587" t="str">
            <v>RESIDENCIAL VIVA CORAIS</v>
          </cell>
          <cell r="D3587" t="str">
            <v>2ac0c0d5-420e-e711-ac8b-80c16e075108</v>
          </cell>
          <cell r="E3587">
            <v>432</v>
          </cell>
        </row>
        <row r="3588">
          <cell r="A3588" t="str">
            <v>SERRA</v>
          </cell>
          <cell r="C3588" t="str">
            <v>RESIDENCIAL GIARDINO DI BALI</v>
          </cell>
          <cell r="D3588" t="str">
            <v>de4b0844-9e5e-ec11-b501-005056856b6c</v>
          </cell>
          <cell r="E3588">
            <v>576</v>
          </cell>
        </row>
        <row r="3589">
          <cell r="A3589" t="str">
            <v>SERRA</v>
          </cell>
          <cell r="C3589" t="str">
            <v>VILA DOS LAGOS</v>
          </cell>
          <cell r="D3589" t="str">
            <v>fed10b74-f72d-ec11-b501-005056856b6c</v>
          </cell>
          <cell r="E3589">
            <v>448</v>
          </cell>
        </row>
        <row r="3590">
          <cell r="A3590" t="str">
            <v>SERRA</v>
          </cell>
          <cell r="C3590" t="str">
            <v>GIARDINO FLORENÇA</v>
          </cell>
          <cell r="D3590" t="str">
            <v>c412bca4-f62d-ec11-b501-005056856b6c</v>
          </cell>
          <cell r="E3590">
            <v>433</v>
          </cell>
        </row>
        <row r="3591">
          <cell r="A3591" t="str">
            <v>SERRA</v>
          </cell>
          <cell r="C3591" t="str">
            <v>PARKSIDE RESIDENCE</v>
          </cell>
          <cell r="D3591" t="str">
            <v>5ab08470-dd10-ec11-a30e-0050568a2e98</v>
          </cell>
          <cell r="E3591">
            <v>248</v>
          </cell>
        </row>
        <row r="3592">
          <cell r="A3592" t="str">
            <v>SETE LAGOAS</v>
          </cell>
          <cell r="C3592" t="str">
            <v>MORADAS DE MINAS</v>
          </cell>
          <cell r="D3592" t="str">
            <v>58535c71-b702-e811-b989-80c16e075108</v>
          </cell>
          <cell r="E3592">
            <v>261</v>
          </cell>
        </row>
        <row r="3593">
          <cell r="A3593" t="str">
            <v>SETE LAGOAS</v>
          </cell>
          <cell r="C3593" t="str">
            <v>MORADAS DO SOL</v>
          </cell>
          <cell r="D3593" t="str">
            <v>90d25946-b602-e811-b989-80c16e075108</v>
          </cell>
          <cell r="E3593">
            <v>244</v>
          </cell>
        </row>
        <row r="3594">
          <cell r="A3594" t="str">
            <v>SOROCABA</v>
          </cell>
          <cell r="C3594" t="str">
            <v>VALE DO SERENO_RESIDENCIAL CAMPOS DOURADOS</v>
          </cell>
          <cell r="D3594" t="str">
            <v>d4610a97-c2fa-e711-a541-009c02b0cb58</v>
          </cell>
          <cell r="E3594">
            <v>336</v>
          </cell>
        </row>
        <row r="3595">
          <cell r="A3595" t="str">
            <v>SOROCABA</v>
          </cell>
          <cell r="C3595" t="str">
            <v>GRAN CAMPOLIM</v>
          </cell>
          <cell r="D3595" t="str">
            <v>17791ac3-b852-ec11-b2fe-005056895191</v>
          </cell>
          <cell r="E3595">
            <v>120</v>
          </cell>
        </row>
        <row r="3596">
          <cell r="A3596" t="str">
            <v>SOROCABA</v>
          </cell>
          <cell r="C3596" t="str">
            <v>RESIDENCIAL SOLAR DOS EUCALIPTOS</v>
          </cell>
          <cell r="D3596" t="str">
            <v>9e377698-3110-ee11-9510-005056856875</v>
          </cell>
          <cell r="E3596">
            <v>220</v>
          </cell>
        </row>
        <row r="3597">
          <cell r="A3597" t="str">
            <v>SOROCABA</v>
          </cell>
          <cell r="C3597" t="str">
            <v>RESIDENCIAL SCARPONE</v>
          </cell>
          <cell r="D3597" t="str">
            <v>2b9de49e-7604-ed11-ba45-005056890018</v>
          </cell>
          <cell r="E3597">
            <v>192</v>
          </cell>
        </row>
        <row r="3598">
          <cell r="A3598" t="str">
            <v>SOROCABA</v>
          </cell>
          <cell r="C3598" t="str">
            <v>CONDOMÍNIO RESIDENCIAL SAN MATTEO</v>
          </cell>
          <cell r="D3598" t="str">
            <v>9c3d7050-4c23-eb11-9d23-005056856b6c</v>
          </cell>
          <cell r="E3598">
            <v>0</v>
          </cell>
        </row>
        <row r="3599">
          <cell r="A3599" t="str">
            <v>SOROCABA</v>
          </cell>
          <cell r="C3599" t="str">
            <v>RESIDENCIAL DON PAGLIATO</v>
          </cell>
          <cell r="D3599" t="str">
            <v>6acaef37-4ec3-ed11-9e0c-00505685534b</v>
          </cell>
          <cell r="E3599">
            <v>376</v>
          </cell>
        </row>
        <row r="3600">
          <cell r="A3600" t="str">
            <v>SUZANO</v>
          </cell>
          <cell r="C3600" t="str">
            <v>RESIDENCIAL SABIÁ</v>
          </cell>
          <cell r="D3600" t="str">
            <v>3659dc2b-8c6a-ed11-98d9-009c02b0cb58</v>
          </cell>
          <cell r="E3600">
            <v>960</v>
          </cell>
        </row>
        <row r="3601">
          <cell r="A3601" t="str">
            <v>TAGUATINGA</v>
          </cell>
          <cell r="C3601" t="str">
            <v>TORRES DO CAMPO</v>
          </cell>
          <cell r="D3601" t="str">
            <v>b446ce16-f0cb-e811-a4f5-80c16e075108</v>
          </cell>
          <cell r="E3601">
            <v>224</v>
          </cell>
        </row>
        <row r="3602">
          <cell r="A3602" t="str">
            <v>TAUBATÉ</v>
          </cell>
          <cell r="C3602" t="str">
            <v>SPAZIO TINTORETTO</v>
          </cell>
          <cell r="D3602" t="str">
            <v>25ff2632-ebcc-dc11-9ed6-001b7845b4a6</v>
          </cell>
          <cell r="E3602">
            <v>288</v>
          </cell>
        </row>
        <row r="3603">
          <cell r="A3603" t="str">
            <v>TAUBATÉ</v>
          </cell>
          <cell r="C3603" t="str">
            <v>RESIDENCIAL TIBRE</v>
          </cell>
          <cell r="D3603" t="str">
            <v>82194385-acb5-ec11-b1ad-005056856875</v>
          </cell>
          <cell r="E3603">
            <v>312</v>
          </cell>
        </row>
        <row r="3604">
          <cell r="A3604" t="str">
            <v>TAUBATÉ</v>
          </cell>
          <cell r="C3604" t="str">
            <v>RESIDENCIAL TULLE</v>
          </cell>
          <cell r="D3604" t="str">
            <v>3d63a3ab-dcbd-ed11-879a-80c16e075108</v>
          </cell>
          <cell r="E3604">
            <v>320</v>
          </cell>
        </row>
        <row r="3605">
          <cell r="A3605" t="str">
            <v>TERESINA</v>
          </cell>
          <cell r="C3605" t="str">
            <v>TERRAZZO OITI</v>
          </cell>
          <cell r="D3605" t="str">
            <v>e21d0769-3898-e911-b807-005056856875</v>
          </cell>
          <cell r="E3605">
            <v>468</v>
          </cell>
        </row>
        <row r="3606">
          <cell r="A3606" t="str">
            <v>TERESINA</v>
          </cell>
          <cell r="C3606" t="str">
            <v>RESIDENCIAL CONQUISTA</v>
          </cell>
          <cell r="D3606" t="str">
            <v>7f1a37ed-0c50-e611-b1e9-009c02b0cb58</v>
          </cell>
          <cell r="E3606">
            <v>496</v>
          </cell>
        </row>
        <row r="3607">
          <cell r="A3607" t="str">
            <v>TERESINA</v>
          </cell>
          <cell r="C3607" t="str">
            <v>GRAND TOPÁZIO</v>
          </cell>
          <cell r="D3607" t="str">
            <v>77896d6b-3778-ea11-b686-005056856875</v>
          </cell>
          <cell r="E3607">
            <v>288</v>
          </cell>
        </row>
        <row r="3608">
          <cell r="A3608" t="str">
            <v>TERESINA</v>
          </cell>
          <cell r="C3608" t="str">
            <v>TERRAZZO PARNAÍBA</v>
          </cell>
          <cell r="D3608" t="str">
            <v>09c741a5-35aa-e811-944b-009c02b0cb58</v>
          </cell>
          <cell r="E3608">
            <v>416</v>
          </cell>
        </row>
        <row r="3609">
          <cell r="A3609" t="str">
            <v>TERESINA</v>
          </cell>
          <cell r="C3609" t="str">
            <v>CONDOMÍNIO RESIDENCIAL PARQUE DOS DIAMANTES</v>
          </cell>
          <cell r="D3609" t="str">
            <v>40024678-b8ba-e811-a4f5-80c16e075108</v>
          </cell>
          <cell r="E3609">
            <v>384</v>
          </cell>
        </row>
        <row r="3610">
          <cell r="A3610" t="str">
            <v>TERESINA</v>
          </cell>
          <cell r="C3610" t="str">
            <v>VILA AMETISTA</v>
          </cell>
          <cell r="D3610" t="str">
            <v>d0bf5a52-6eb0-e811-9b21-80c16e075108</v>
          </cell>
          <cell r="E3610">
            <v>240</v>
          </cell>
        </row>
        <row r="3611">
          <cell r="A3611" t="str">
            <v>TERESINA</v>
          </cell>
          <cell r="C3611" t="str">
            <v>VILA RUBI</v>
          </cell>
          <cell r="D3611" t="str">
            <v>0a51574a-74b0-e811-9b21-80c16e075108</v>
          </cell>
          <cell r="E3611">
            <v>240</v>
          </cell>
        </row>
        <row r="3612">
          <cell r="A3612" t="str">
            <v>TREMEMBÉ</v>
          </cell>
          <cell r="C3612" t="str">
            <v>RESIDENCIAL TERENCE</v>
          </cell>
          <cell r="D3612" t="str">
            <v>6c4529bb-b673-ec11-b501-005056856b6c</v>
          </cell>
          <cell r="E3612">
            <v>576</v>
          </cell>
        </row>
        <row r="3613">
          <cell r="A3613" t="str">
            <v>UBERABA</v>
          </cell>
          <cell r="C3613" t="str">
            <v>PARQUE ANDINO</v>
          </cell>
          <cell r="D3613" t="str">
            <v>cab5abae-d962-e111-85aa-001b78b9d994</v>
          </cell>
          <cell r="E3613">
            <v>404</v>
          </cell>
        </row>
        <row r="3614">
          <cell r="A3614" t="str">
            <v>UBERABA</v>
          </cell>
          <cell r="C3614" t="str">
            <v>SPAZIO UP SIDE</v>
          </cell>
          <cell r="D3614" t="str">
            <v>fb534cd2-dcea-dc11-a2f9-001b7845b4a6</v>
          </cell>
          <cell r="E3614">
            <v>32</v>
          </cell>
        </row>
        <row r="3615">
          <cell r="A3615" t="str">
            <v>UBERABA</v>
          </cell>
          <cell r="C3615" t="str">
            <v>RESERVA DOS BANDEIRANTES</v>
          </cell>
          <cell r="D3615" t="str">
            <v>77d79cfc-643f-ed11-bbd2-80c16e075108</v>
          </cell>
          <cell r="E3615">
            <v>380</v>
          </cell>
        </row>
        <row r="3616">
          <cell r="A3616" t="str">
            <v>UBERABA</v>
          </cell>
          <cell r="C3616" t="str">
            <v>CONDOMÍNIO RESIDENCIAL CAMINHOS DO LAGO</v>
          </cell>
          <cell r="D3616" t="str">
            <v>236d4f41-2903-eb11-8cc6-0050568aa20f</v>
          </cell>
          <cell r="E3616">
            <v>288</v>
          </cell>
        </row>
        <row r="3617">
          <cell r="A3617" t="str">
            <v>UBERABA</v>
          </cell>
          <cell r="C3617" t="str">
            <v>RESIDENCIAL LAGO DOS CRISTAIS</v>
          </cell>
          <cell r="D3617" t="str">
            <v>03ad8897-2803-eb11-8cc6-0050568aa20f</v>
          </cell>
          <cell r="E3617">
            <v>0</v>
          </cell>
        </row>
        <row r="3618">
          <cell r="A3618" t="str">
            <v>UBERABA</v>
          </cell>
          <cell r="C3618" t="str">
            <v>RESIDENCIAL RESERVA DOS PÁSSAROS</v>
          </cell>
          <cell r="D3618" t="str">
            <v>b432ee77-6308-ed11-b1ad-005056856875</v>
          </cell>
          <cell r="E3618">
            <v>176</v>
          </cell>
        </row>
        <row r="3619">
          <cell r="A3619" t="str">
            <v>UBERLÂNDIA</v>
          </cell>
          <cell r="C3619" t="str">
            <v>PARQUE UMA</v>
          </cell>
          <cell r="D3619" t="str">
            <v>c9f09ab1-3d22-e011-8c0c-001b78b9d994</v>
          </cell>
          <cell r="E3619">
            <v>256</v>
          </cell>
        </row>
        <row r="3620">
          <cell r="A3620" t="str">
            <v>UBERLÂNDIA</v>
          </cell>
          <cell r="C3620" t="str">
            <v>TRILHAS DO HORIZONTE RESIDENCE</v>
          </cell>
          <cell r="D3620" t="str">
            <v>914a465e-e6ea-e511-a5bb-009c02b0cb58</v>
          </cell>
          <cell r="E3620">
            <v>480</v>
          </cell>
        </row>
        <row r="3621">
          <cell r="A3621" t="str">
            <v>UBERLÂNDIA</v>
          </cell>
          <cell r="C3621" t="str">
            <v>PARQUE TRILHAS DA SERRA</v>
          </cell>
          <cell r="D3621" t="str">
            <v>d1aa0278-ba5b-e511-834f-80c16e075108</v>
          </cell>
          <cell r="E3621">
            <v>468</v>
          </cell>
        </row>
        <row r="3622">
          <cell r="A3622" t="str">
            <v>UBERLÂNDIA</v>
          </cell>
          <cell r="C3622" t="str">
            <v>RESERVA COSTA DO SOL</v>
          </cell>
          <cell r="D3622" t="str">
            <v>151c46a9-de18-e511-a3a7-80c16e075108</v>
          </cell>
          <cell r="E3622">
            <v>352</v>
          </cell>
        </row>
        <row r="3623">
          <cell r="A3623" t="str">
            <v>UBERLÂNDIA</v>
          </cell>
          <cell r="C3623" t="str">
            <v>TOP LIFE LOS CABOS</v>
          </cell>
          <cell r="D3623" t="str">
            <v>ad6ad5e7-de18-e511-a3a7-80c16e075108</v>
          </cell>
          <cell r="E3623">
            <v>448</v>
          </cell>
        </row>
        <row r="3624">
          <cell r="A3624" t="str">
            <v>UBERLÂNDIA</v>
          </cell>
          <cell r="C3624" t="str">
            <v>CONDOMÍNIO RESIDENCIAL TATIANA</v>
          </cell>
          <cell r="D3624" t="str">
            <v>b80cb4d0-664f-e711-b2c8-80c16e075108</v>
          </cell>
          <cell r="E3624">
            <v>0</v>
          </cell>
        </row>
        <row r="3625">
          <cell r="A3625" t="str">
            <v>UBERLÂNDIA</v>
          </cell>
          <cell r="C3625" t="str">
            <v>RESIDENCIAL TRILHAS DOS RIOS</v>
          </cell>
          <cell r="D3625" t="str">
            <v>5c5318f7-9596-e811-8d3f-80c16e075108</v>
          </cell>
          <cell r="E3625">
            <v>352</v>
          </cell>
        </row>
        <row r="3626">
          <cell r="A3626" t="str">
            <v>UBERLÂNDIA</v>
          </cell>
          <cell r="C3626" t="str">
            <v>UNIVERDI RESIDENCE</v>
          </cell>
          <cell r="D3626" t="str">
            <v>e46e1746-ff7e-e811-8d3f-80c16e075108</v>
          </cell>
          <cell r="E3626">
            <v>320</v>
          </cell>
        </row>
        <row r="3627">
          <cell r="A3627" t="str">
            <v>UBERLÂNDIA</v>
          </cell>
          <cell r="C3627" t="str">
            <v>SOUL</v>
          </cell>
          <cell r="D3627" t="str">
            <v>2a086cca-726f-ee11-9832-005056856875</v>
          </cell>
          <cell r="E3627">
            <v>480</v>
          </cell>
        </row>
        <row r="3628">
          <cell r="A3628" t="str">
            <v>UBERLÂNDIA</v>
          </cell>
          <cell r="C3628" t="str">
            <v>CHELSEA</v>
          </cell>
          <cell r="D3628" t="str">
            <v>a9b5eaf6-57c8-ea11-beeb-005056856875</v>
          </cell>
          <cell r="E3628">
            <v>288</v>
          </cell>
        </row>
        <row r="3629">
          <cell r="A3629" t="str">
            <v>VALPARAÍSO DE GOIÁS</v>
          </cell>
          <cell r="C3629" t="str">
            <v>BELLE GIARDINO</v>
          </cell>
          <cell r="D3629" t="str">
            <v>e530931d-0b04-e711-ac8b-80c16e075108</v>
          </cell>
          <cell r="E3629">
            <v>400</v>
          </cell>
        </row>
        <row r="3630">
          <cell r="A3630" t="str">
            <v>VALPARAÍSO DE GOIÁS</v>
          </cell>
          <cell r="C3630" t="str">
            <v>BELA ARTE</v>
          </cell>
          <cell r="D3630" t="str">
            <v>b286a073-3c3c-e811-8ce7-80c16e075108</v>
          </cell>
          <cell r="E3630">
            <v>144</v>
          </cell>
        </row>
        <row r="3631">
          <cell r="A3631" t="str">
            <v>VALPARAÍSO DE GOIÁS</v>
          </cell>
          <cell r="C3631" t="str">
            <v>BELA MORADA</v>
          </cell>
          <cell r="D3631" t="str">
            <v>ab951988-333c-e811-8ce7-80c16e075108</v>
          </cell>
          <cell r="E3631">
            <v>144</v>
          </cell>
        </row>
        <row r="3632">
          <cell r="A3632" t="str">
            <v>VALPARAÍSO DE GOIÁS</v>
          </cell>
          <cell r="C3632" t="str">
            <v>BELLE HORIZONTE</v>
          </cell>
          <cell r="D3632" t="str">
            <v>ad0f920f-1ce4-e711-a541-009c02b0cb58</v>
          </cell>
          <cell r="E3632">
            <v>432</v>
          </cell>
        </row>
        <row r="3633">
          <cell r="A3633" t="str">
            <v>VALPARAÍSO DE GOIÁS</v>
          </cell>
          <cell r="C3633" t="str">
            <v>PARQUE BELLE NATURE</v>
          </cell>
          <cell r="D3633" t="str">
            <v>2590c36d-5ae2-e211-83e6-80c16e075108</v>
          </cell>
          <cell r="E3633">
            <v>736</v>
          </cell>
        </row>
        <row r="3634">
          <cell r="A3634" t="str">
            <v>VARGEM GRANDE PAULISTA</v>
          </cell>
          <cell r="C3634" t="str">
            <v>VISTABELA RESIDENCE</v>
          </cell>
          <cell r="D3634" t="str">
            <v>61d220e1-fdeb-e811-b503-009c02b0cb58</v>
          </cell>
          <cell r="E3634">
            <v>624</v>
          </cell>
        </row>
        <row r="3635">
          <cell r="A3635" t="str">
            <v>VÁRZEA GRANDE</v>
          </cell>
          <cell r="C3635" t="str">
            <v>CHAPADA DO BOSQUE</v>
          </cell>
          <cell r="D3635" t="str">
            <v>ab5e7c23-31c0-e511-b93a-80c16e075108</v>
          </cell>
          <cell r="E3635">
            <v>432</v>
          </cell>
        </row>
        <row r="3636">
          <cell r="A3636" t="str">
            <v>VÁRZEA GRANDE</v>
          </cell>
          <cell r="C3636" t="str">
            <v>CHAPADA DAS CEREJEIRAS</v>
          </cell>
          <cell r="D3636" t="str">
            <v>85230f94-7e1b-ea11-ba0a-0050568aa20f</v>
          </cell>
          <cell r="E3636">
            <v>496</v>
          </cell>
        </row>
        <row r="3637">
          <cell r="A3637" t="str">
            <v>VÁRZEA GRANDE</v>
          </cell>
          <cell r="C3637" t="str">
            <v>CHAPADA DAS MANGABEIRAS</v>
          </cell>
          <cell r="D3637" t="str">
            <v>2ad28bfe-7d1b-ea11-ba0a-0050568aa20f</v>
          </cell>
          <cell r="E3637">
            <v>512</v>
          </cell>
        </row>
        <row r="3638">
          <cell r="A3638" t="str">
            <v>VÁRZEA GRANDE</v>
          </cell>
          <cell r="C3638" t="str">
            <v>MERIT</v>
          </cell>
          <cell r="D3638" t="str">
            <v>d141ef60-cb5d-ec11-b2fe-005056895191</v>
          </cell>
          <cell r="E3638">
            <v>288</v>
          </cell>
        </row>
        <row r="3639">
          <cell r="A3639" t="str">
            <v>VÁRZEA GRANDE</v>
          </cell>
          <cell r="C3639" t="str">
            <v>PARQUE CHAPADA DOS GUIMARÃES</v>
          </cell>
          <cell r="D3639" t="str">
            <v>21443b68-f56d-dd11-a282-001b78b9d994</v>
          </cell>
          <cell r="E3639">
            <v>528</v>
          </cell>
        </row>
        <row r="3640">
          <cell r="A3640" t="str">
            <v>VÁRZEA GRANDE</v>
          </cell>
          <cell r="C3640" t="str">
            <v>CHAPADA DOS PINHEIROS</v>
          </cell>
          <cell r="D3640" t="str">
            <v>599c3a5b-9efc-e811-b503-009c02b0cb58</v>
          </cell>
          <cell r="E3640">
            <v>480</v>
          </cell>
        </row>
        <row r="3641">
          <cell r="A3641" t="str">
            <v>VÁRZEA GRANDE</v>
          </cell>
          <cell r="C3641" t="str">
            <v>CANTO DAS MANGUEIRAS</v>
          </cell>
          <cell r="D3641" t="str">
            <v>01aa757e-3107-ec11-a30e-0050568a2e98</v>
          </cell>
          <cell r="E3641">
            <v>464</v>
          </cell>
        </row>
        <row r="3642">
          <cell r="A3642" t="str">
            <v>VIAMÃO</v>
          </cell>
          <cell r="C3642" t="str">
            <v>RESIDENCIAL PORTO DAS AMÉRICAS</v>
          </cell>
          <cell r="D3642" t="str">
            <v>744ea9b6-4524-eb11-9d23-005056856b6c</v>
          </cell>
          <cell r="E3642">
            <v>656</v>
          </cell>
        </row>
        <row r="3643">
          <cell r="A3643" t="str">
            <v>VITÓRIA</v>
          </cell>
          <cell r="C3643" t="str">
            <v>SPAZIO VINTAGE</v>
          </cell>
          <cell r="D3643" t="str">
            <v>7d421474-2b4c-dd11-bc22-001b78b9d994</v>
          </cell>
          <cell r="E3643">
            <v>300</v>
          </cell>
        </row>
        <row r="3644">
          <cell r="A3644" t="str">
            <v>VITÓRIA DA CONQUISTA</v>
          </cell>
          <cell r="C3644" t="str">
            <v>CANDEIAS TULIP</v>
          </cell>
          <cell r="D3644" t="str">
            <v>ab39f382-fde9-e911-bfe9-005056856875</v>
          </cell>
          <cell r="E3644">
            <v>400</v>
          </cell>
        </row>
        <row r="3645">
          <cell r="A3645" t="str">
            <v>VOTORANTIM</v>
          </cell>
          <cell r="C3645" t="str">
            <v>RESIDENCIAL SOLAR DA ILHA</v>
          </cell>
          <cell r="D3645" t="str">
            <v>fbb9fa7e-5b28-ec11-b501-005056856b6c</v>
          </cell>
          <cell r="E3645">
            <v>240</v>
          </cell>
        </row>
        <row r="3646">
          <cell r="A3646" t="str">
            <v>FORTALEZA</v>
          </cell>
          <cell r="C3646" t="str">
            <v>PARQUE MARISTA</v>
          </cell>
          <cell r="D3646" t="str">
            <v>f3a9b239-22e2-ef11-ab5a-80c16e075108</v>
          </cell>
          <cell r="E3646">
            <v>576</v>
          </cell>
        </row>
        <row r="3647">
          <cell r="A3647" t="str">
            <v>CAMPOS DOS GOYTACAZES</v>
          </cell>
          <cell r="C3647" t="str">
            <v>PARQUE ILHABELA</v>
          </cell>
          <cell r="D3647" t="str">
            <v>5ed3a827-f1dd-e411-9dc0-80c16e075108</v>
          </cell>
          <cell r="E3647">
            <v>320</v>
          </cell>
        </row>
        <row r="3648">
          <cell r="A3648" t="str">
            <v>LONDRINA</v>
          </cell>
          <cell r="C3648" t="str">
            <v>RESIDENCIAL LINDEN</v>
          </cell>
          <cell r="D3648">
            <v>0</v>
          </cell>
          <cell r="E3648">
            <v>0</v>
          </cell>
        </row>
        <row r="3649">
          <cell r="A3649" t="str">
            <v xml:space="preserve">SÃO PAUO </v>
          </cell>
          <cell r="C3649" t="str">
            <v xml:space="preserve"> VILLAGE JARAGUÁ</v>
          </cell>
          <cell r="D3649">
            <v>0</v>
          </cell>
          <cell r="E3649">
            <v>0</v>
          </cell>
        </row>
        <row r="3650">
          <cell r="A3650" t="str">
            <v>CARIACICA</v>
          </cell>
          <cell r="C3650" t="str">
            <v>AGUAS GELADAS EMP 01</v>
          </cell>
          <cell r="D3650" t="str">
            <v>2E156013-5B63-F111-BFB0-80C16E075108</v>
          </cell>
          <cell r="E3650">
            <v>0</v>
          </cell>
        </row>
        <row r="3651">
          <cell r="A3651" t="str">
            <v>SALVADOR</v>
          </cell>
          <cell r="C3651" t="str">
            <v>ALCÂNTARA RESIDENCE</v>
          </cell>
          <cell r="D3651" t="str">
            <v>2B10AFD9-F431-F111-94D1-009C02B0CB58</v>
          </cell>
          <cell r="E3651">
            <v>0</v>
          </cell>
        </row>
        <row r="3652">
          <cell r="A3652" t="str">
            <v>SÃO CARLOS</v>
          </cell>
          <cell r="C3652" t="str">
            <v>ÁREA DOS TANQUES EMP 01</v>
          </cell>
          <cell r="D3652" t="str">
            <v>54769285-EA47-F111-8D5C-005056856875</v>
          </cell>
          <cell r="E3652">
            <v>0</v>
          </cell>
        </row>
        <row r="3653">
          <cell r="A3653" t="str">
            <v>SANTA LUZIA</v>
          </cell>
          <cell r="C3653" t="str">
            <v>ÁREA FRIMISA EMP 02</v>
          </cell>
          <cell r="D3653" t="str">
            <v>893C5E31-4E6B-F111-8D5C-005056856875</v>
          </cell>
          <cell r="E3653">
            <v>0</v>
          </cell>
        </row>
        <row r="3654">
          <cell r="A3654" t="str">
            <v>SANTA LUZIA</v>
          </cell>
          <cell r="C3654" t="str">
            <v>ÁREA FRIMISA EMP 03</v>
          </cell>
          <cell r="D3654" t="str">
            <v>9D089711-516B-F111-8D5C-005056856875</v>
          </cell>
          <cell r="E3654">
            <v>0</v>
          </cell>
        </row>
        <row r="3655">
          <cell r="A3655" t="str">
            <v>SÃO PAULO</v>
          </cell>
          <cell r="C3655" t="str">
            <v>ASTECAS EMP 01</v>
          </cell>
          <cell r="D3655" t="str">
            <v>75CE3AD7-7E58-F111-94D1-009C02B0CB58</v>
          </cell>
          <cell r="E3655">
            <v>0</v>
          </cell>
        </row>
        <row r="3656">
          <cell r="A3656" t="str">
            <v>SALVADOR</v>
          </cell>
          <cell r="C3656" t="str">
            <v>BRAGANÇA RESIDENCE</v>
          </cell>
          <cell r="D3656" t="str">
            <v>C7B160E7-F331-F111-94D1-009C02B0CB58</v>
          </cell>
          <cell r="E3656">
            <v>0</v>
          </cell>
        </row>
        <row r="3657">
          <cell r="A3657" t="str">
            <v>PORTO ALEGRE</v>
          </cell>
          <cell r="C3657" t="str">
            <v>CAMINO EMP 01</v>
          </cell>
          <cell r="D3657" t="str">
            <v>C1260DE4-FD52-F111-BFB0-80C16E075108</v>
          </cell>
          <cell r="E3657">
            <v>0</v>
          </cell>
        </row>
        <row r="3658">
          <cell r="A3658" t="str">
            <v>RIO DE JANEIRO</v>
          </cell>
          <cell r="C3658" t="str">
            <v>CANTAGALO EMP 01</v>
          </cell>
          <cell r="D3658" t="str">
            <v>78C5A10E-3E49-F111-BFB0-80C16E075108</v>
          </cell>
          <cell r="E3658">
            <v>0</v>
          </cell>
        </row>
        <row r="3659">
          <cell r="A3659" t="str">
            <v>RIBEIRÃO PRETO</v>
          </cell>
          <cell r="C3659" t="str">
            <v>CARPA EMP 01</v>
          </cell>
          <cell r="D3659" t="str">
            <v>122DAF96-5634-F111-BFB0-80C16E075108</v>
          </cell>
          <cell r="E3659">
            <v>0</v>
          </cell>
        </row>
        <row r="3660">
          <cell r="A3660" t="str">
            <v>NATAL</v>
          </cell>
          <cell r="C3660" t="str">
            <v>CASA STARK EMP 01</v>
          </cell>
          <cell r="D3660" t="str">
            <v>37066C08-0C6F-F111-BFB0-80C16E075108</v>
          </cell>
          <cell r="E3660">
            <v>0</v>
          </cell>
        </row>
        <row r="3661">
          <cell r="A3661" t="str">
            <v>CUIABÁ</v>
          </cell>
          <cell r="C3661" t="str">
            <v>CHAPADA DA MATA</v>
          </cell>
          <cell r="D3661" t="str">
            <v>1EAE6B61-6950-F111-BFB0-80C16E075108</v>
          </cell>
          <cell r="E3661">
            <v>0</v>
          </cell>
        </row>
        <row r="3662">
          <cell r="A3662" t="str">
            <v>CUIABÁ</v>
          </cell>
          <cell r="C3662" t="str">
            <v>CHAPADA SIENA</v>
          </cell>
          <cell r="D3662" t="str">
            <v>F327B262-8348-F111-94D1-009C02B0CB58</v>
          </cell>
          <cell r="E3662">
            <v>0</v>
          </cell>
        </row>
        <row r="3663">
          <cell r="A3663" t="str">
            <v>CAMAÇARI</v>
          </cell>
          <cell r="C3663" t="str">
            <v>CORNETEIRO</v>
          </cell>
          <cell r="D3663" t="str">
            <v>1F2874CB-236F-F111-AF33-009C02B0CB58</v>
          </cell>
          <cell r="E3663">
            <v>0</v>
          </cell>
        </row>
        <row r="3664">
          <cell r="A3664" t="str">
            <v>SALVADOR</v>
          </cell>
          <cell r="C3664" t="str">
            <v>CRUZEIRO DO SUL RESIDENCE</v>
          </cell>
          <cell r="D3664" t="str">
            <v>CB605C8B-F431-F111-94D1-009C02B0CB58</v>
          </cell>
          <cell r="E3664">
            <v>0</v>
          </cell>
        </row>
        <row r="3665">
          <cell r="A3665" t="str">
            <v>DUQUE DE CAXIAS</v>
          </cell>
          <cell r="C3665" t="str">
            <v>DIONISIO EMP 01</v>
          </cell>
          <cell r="D3665" t="str">
            <v>C2A264C4-6B2C-F111-BFB0-80C16E075108</v>
          </cell>
          <cell r="E3665">
            <v>0</v>
          </cell>
        </row>
        <row r="3666">
          <cell r="A3666" t="str">
            <v>SÃO PAULO</v>
          </cell>
          <cell r="C3666" t="str">
            <v>DORAMA EMP 02</v>
          </cell>
          <cell r="D3666" t="str">
            <v>4D73097B-C443-F111-8D5C-005056856875</v>
          </cell>
          <cell r="E3666">
            <v>0</v>
          </cell>
        </row>
        <row r="3667">
          <cell r="A3667" t="str">
            <v>SÃO PAULO</v>
          </cell>
          <cell r="C3667" t="str">
            <v>DORAMA EMP 03</v>
          </cell>
          <cell r="D3667" t="str">
            <v>2368809F-C443-F111-8D5C-005056856875</v>
          </cell>
          <cell r="E3667">
            <v>0</v>
          </cell>
        </row>
        <row r="3668">
          <cell r="A3668" t="str">
            <v>FORTALEZA</v>
          </cell>
          <cell r="C3668" t="str">
            <v>ESTAÇÃO VOVÔ EMP 01</v>
          </cell>
          <cell r="D3668" t="str">
            <v>E1C77650-963E-F111-8D5C-005056856875</v>
          </cell>
          <cell r="E3668">
            <v>0</v>
          </cell>
        </row>
        <row r="3669">
          <cell r="A3669" t="str">
            <v>FORTALEZA</v>
          </cell>
          <cell r="C3669" t="str">
            <v>ESTRELA DO MAR</v>
          </cell>
          <cell r="D3669" t="str">
            <v>5397CC6E-AF1C-F111-AC21-005056856875</v>
          </cell>
          <cell r="E3669">
            <v>0</v>
          </cell>
        </row>
        <row r="3670">
          <cell r="A3670" t="str">
            <v>ARACAJU</v>
          </cell>
          <cell r="C3670" t="str">
            <v>GRAND VISTA AEROPORTO</v>
          </cell>
          <cell r="D3670" t="str">
            <v>B175E87E-2034-F111-BFB0-80C16E075108</v>
          </cell>
          <cell r="E3670">
            <v>0</v>
          </cell>
        </row>
        <row r="3671">
          <cell r="A3671" t="str">
            <v>ARACAJU</v>
          </cell>
          <cell r="C3671" t="str">
            <v>GRAND VISTA ARUANA</v>
          </cell>
          <cell r="D3671" t="str">
            <v>A873BA43-7B3A-F111-BFB0-80C16E075108</v>
          </cell>
          <cell r="E3671">
            <v>0</v>
          </cell>
        </row>
        <row r="3672">
          <cell r="A3672" t="str">
            <v>BELO HORIZONTE</v>
          </cell>
          <cell r="C3672" t="str">
            <v>GREDEM EMP 01</v>
          </cell>
          <cell r="D3672" t="str">
            <v>A641FEBC-7B58-F111-94D1-009C02B0CB58</v>
          </cell>
          <cell r="E3672">
            <v>0</v>
          </cell>
        </row>
        <row r="3673">
          <cell r="A3673" t="str">
            <v>BRASÍLIA</v>
          </cell>
          <cell r="C3673" t="str">
            <v>GRUPO RZK EMP 01</v>
          </cell>
          <cell r="D3673" t="str">
            <v>846B2864-F952-F111-94D1-009C02B0CB58</v>
          </cell>
          <cell r="E3673">
            <v>0</v>
          </cell>
        </row>
        <row r="3674">
          <cell r="A3674" t="str">
            <v>BELO HORIZONTE</v>
          </cell>
          <cell r="C3674" t="str">
            <v>HISTÓRICO</v>
          </cell>
          <cell r="D3674" t="str">
            <v>2B902930-AC55-DD11-BC22-001B78B9D994</v>
          </cell>
          <cell r="E3674">
            <v>0</v>
          </cell>
        </row>
        <row r="3675">
          <cell r="A3675" t="str">
            <v>RECIFE</v>
          </cell>
          <cell r="C3675" t="str">
            <v>JOANA BEZERRA EMP 02</v>
          </cell>
          <cell r="D3675" t="str">
            <v>00FEA1B9-466E-F111-BFB0-80C16E075108</v>
          </cell>
          <cell r="E3675">
            <v>0</v>
          </cell>
        </row>
        <row r="3676">
          <cell r="A3676" t="str">
            <v>FORTALEZA</v>
          </cell>
          <cell r="C3676" t="str">
            <v>KANALJP EMP 01</v>
          </cell>
          <cell r="D3676" t="str">
            <v>BA40AFDB-963E-F111-8D5C-005056856875</v>
          </cell>
          <cell r="E3676">
            <v>0</v>
          </cell>
        </row>
        <row r="3677">
          <cell r="A3677" t="str">
            <v>FORTALEZA</v>
          </cell>
          <cell r="C3677" t="str">
            <v>LACA EMP 01</v>
          </cell>
          <cell r="D3677" t="str">
            <v>FBE0F0DA-943E-F111-8D5C-005056856875</v>
          </cell>
          <cell r="E3677">
            <v>0</v>
          </cell>
        </row>
        <row r="3678">
          <cell r="A3678" t="str">
            <v>SALVADOR</v>
          </cell>
          <cell r="C3678" t="str">
            <v>LEOPOLDINA RESIDENCE</v>
          </cell>
          <cell r="D3678" t="str">
            <v>772BF5A2-F331-F111-94D1-009C02B0CB58</v>
          </cell>
          <cell r="E3678">
            <v>0</v>
          </cell>
        </row>
        <row r="3679">
          <cell r="A3679" t="str">
            <v>MARINGÁ</v>
          </cell>
          <cell r="C3679" t="str">
            <v>MALLET EMP 01</v>
          </cell>
          <cell r="D3679" t="str">
            <v>781AD410-D05A-F111-BFB0-80C16E075108</v>
          </cell>
          <cell r="E3679">
            <v>0</v>
          </cell>
        </row>
        <row r="3680">
          <cell r="A3680" t="str">
            <v>CAMPO GRANDE</v>
          </cell>
          <cell r="C3680" t="str">
            <v>MARINA LUIZA EMP 01</v>
          </cell>
          <cell r="D3680" t="str">
            <v>EADFDC2A-5966-F111-8D5C-005056856875</v>
          </cell>
          <cell r="E3680">
            <v>0</v>
          </cell>
        </row>
        <row r="3681">
          <cell r="A3681" t="str">
            <v>GUARULHOS</v>
          </cell>
          <cell r="C3681" t="str">
            <v>MARTINS JR EMP 01</v>
          </cell>
          <cell r="D3681" t="str">
            <v>B23234EC-3D58-F111-8D5C-005056856875</v>
          </cell>
          <cell r="E3681">
            <v>0</v>
          </cell>
        </row>
        <row r="3682">
          <cell r="A3682" t="str">
            <v>CUIABÁ</v>
          </cell>
          <cell r="C3682" t="str">
            <v>MIRANTE DOS TANGARÁS</v>
          </cell>
          <cell r="D3682" t="str">
            <v>12528793-7F58-F111-94D1-009C02B0CB58</v>
          </cell>
          <cell r="E3682">
            <v>0</v>
          </cell>
        </row>
        <row r="3683">
          <cell r="A3683" t="str">
            <v>SÃO PAULO</v>
          </cell>
          <cell r="C3683" t="str">
            <v>NACHIÉ EMP 01</v>
          </cell>
          <cell r="D3683" t="str">
            <v>AE5E99C9-E942-F111-8D5C-005056856875</v>
          </cell>
          <cell r="E3683">
            <v>0</v>
          </cell>
        </row>
        <row r="3684">
          <cell r="A3684" t="str">
            <v>SÃO GONÇALO</v>
          </cell>
          <cell r="C3684" t="str">
            <v>NOVO RESIDENCIAL MAUÁ</v>
          </cell>
          <cell r="D3684" t="str">
            <v>BA0A1BC7-CB2E-F111-BFB0-80C16E075108</v>
          </cell>
          <cell r="E3684">
            <v>0</v>
          </cell>
        </row>
        <row r="3685">
          <cell r="A3685" t="str">
            <v>RIBEIRÃO PRETO</v>
          </cell>
          <cell r="C3685" t="str">
            <v>NOVO SENSIA FIUSA VIEW</v>
          </cell>
          <cell r="D3685" t="str">
            <v>2ECB9EB1-4D4E-F111-BFB0-80C16E075108</v>
          </cell>
          <cell r="E3685">
            <v>0</v>
          </cell>
        </row>
        <row r="3686">
          <cell r="A3686" t="str">
            <v>SERRA</v>
          </cell>
          <cell r="C3686" t="str">
            <v>OCEANIA EMP 01</v>
          </cell>
          <cell r="D3686" t="str">
            <v>BD3246EC-032D-F111-BFB0-80C16E075108</v>
          </cell>
          <cell r="E3686">
            <v>0</v>
          </cell>
        </row>
        <row r="3687">
          <cell r="A3687" t="str">
            <v>RIO DE JANEIRO</v>
          </cell>
          <cell r="C3687" t="str">
            <v>PARK JPA EMP 01</v>
          </cell>
          <cell r="D3687" t="str">
            <v>4B47DC54-EA42-F111-8D5C-005056856875</v>
          </cell>
          <cell r="E3687">
            <v>0</v>
          </cell>
        </row>
        <row r="3688">
          <cell r="A3688" t="str">
            <v>CAMPINAS</v>
          </cell>
          <cell r="C3688" t="str">
            <v>PARQUE DAS FOLHAS EMP 01</v>
          </cell>
          <cell r="D3688" t="str">
            <v>EF49A006-F62D-F111-94D1-009C02B0CB58</v>
          </cell>
          <cell r="E3688">
            <v>0</v>
          </cell>
        </row>
        <row r="3689">
          <cell r="A3689" t="str">
            <v>CAMPINAS</v>
          </cell>
          <cell r="C3689" t="str">
            <v>PARQUE ROMEU EMP 01</v>
          </cell>
          <cell r="D3689" t="str">
            <v>A0D614A7-B74F-F111-BFB0-80C16E075108</v>
          </cell>
          <cell r="E3689">
            <v>0</v>
          </cell>
        </row>
        <row r="3690">
          <cell r="A3690" t="str">
            <v>JUNDIAÍ</v>
          </cell>
          <cell r="C3690" t="str">
            <v>PAULO SACRAMENTO EMP 01</v>
          </cell>
          <cell r="D3690" t="str">
            <v>625316A7-3F3F-F111-BFB0-80C16E075108</v>
          </cell>
          <cell r="E3690">
            <v>0</v>
          </cell>
        </row>
        <row r="3691">
          <cell r="A3691" t="str">
            <v>SÃO JOSÉ</v>
          </cell>
          <cell r="C3691" t="str">
            <v>PEÃO EMP 01</v>
          </cell>
          <cell r="D3691" t="str">
            <v>C0B1FC32-134F-F111-BFB0-80C16E075108</v>
          </cell>
          <cell r="E3691">
            <v>0</v>
          </cell>
        </row>
        <row r="3692">
          <cell r="A3692" t="str">
            <v>JOÃO PESSOA</v>
          </cell>
          <cell r="C3692" t="str">
            <v>PELOTÃO EMP 01</v>
          </cell>
          <cell r="D3692" t="str">
            <v>A3112E8E-742C-F111-94D1-009C02B0CB58</v>
          </cell>
          <cell r="E3692">
            <v>0</v>
          </cell>
        </row>
        <row r="3693">
          <cell r="A3693" t="str">
            <v>JOINVILLE</v>
          </cell>
          <cell r="C3693" t="str">
            <v>PITAGUARAS EMP 01</v>
          </cell>
          <cell r="D3693" t="str">
            <v>D69D1885-413F-F111-BFB0-80C16E075108</v>
          </cell>
          <cell r="E3693">
            <v>0</v>
          </cell>
        </row>
        <row r="3694">
          <cell r="A3694" t="str">
            <v>MOGI DAS CRUZES</v>
          </cell>
          <cell r="C3694" t="str">
            <v>PLIMPLIM EMP 01</v>
          </cell>
          <cell r="D3694" t="str">
            <v>3C859FEE-7C58-F111-94D1-009C02B0CB58</v>
          </cell>
          <cell r="E3694">
            <v>0</v>
          </cell>
        </row>
        <row r="3695">
          <cell r="A3695" t="str">
            <v>MOGI DAS CRUZES</v>
          </cell>
          <cell r="C3695" t="str">
            <v>PLIMPLIM EMP 02</v>
          </cell>
          <cell r="D3695" t="str">
            <v>B272777B-3E6E-F111-BFB0-80C16E075108</v>
          </cell>
          <cell r="E3695">
            <v>0</v>
          </cell>
        </row>
        <row r="3696">
          <cell r="A3696" t="str">
            <v>SÃO PAULO</v>
          </cell>
          <cell r="C3696" t="str">
            <v>POETAS EMP 01</v>
          </cell>
          <cell r="D3696" t="str">
            <v>AC6A7363-3742-F111-94D1-009C02B0CB58</v>
          </cell>
          <cell r="E3696">
            <v>0</v>
          </cell>
        </row>
        <row r="3697">
          <cell r="A3697" t="str">
            <v>FORTALEZA</v>
          </cell>
          <cell r="C3697" t="str">
            <v>PRIMA CASA EMP 01</v>
          </cell>
          <cell r="D3697" t="str">
            <v>DFFE085C-CF5A-F111-BFB0-80C16E075108</v>
          </cell>
          <cell r="E3697">
            <v>0</v>
          </cell>
        </row>
        <row r="3698">
          <cell r="A3698" t="str">
            <v>SALVADOR</v>
          </cell>
          <cell r="C3698" t="str">
            <v>PRINCESA ISABEL RESIDENCE</v>
          </cell>
          <cell r="D3698" t="str">
            <v>4D23FD49-C231-F111-94D1-009C02B0CB58</v>
          </cell>
          <cell r="E3698">
            <v>0</v>
          </cell>
        </row>
        <row r="3699">
          <cell r="A3699" t="str">
            <v>SALVADOR</v>
          </cell>
          <cell r="C3699" t="str">
            <v>PROFESSOR AGUIAR EMP 01</v>
          </cell>
          <cell r="D3699" t="str">
            <v>6061A71F-C42D-F111-94D1-009C02B0CB58</v>
          </cell>
          <cell r="E3699">
            <v>0</v>
          </cell>
        </row>
        <row r="3700">
          <cell r="A3700" t="str">
            <v>CARIACICA</v>
          </cell>
          <cell r="C3700" t="str">
            <v>PROLAR EMP 01</v>
          </cell>
          <cell r="D3700" t="str">
            <v>0819CA4D-D164-F111-BFB0-80C16E075108</v>
          </cell>
          <cell r="E3700">
            <v>0</v>
          </cell>
        </row>
        <row r="3701">
          <cell r="A3701" t="str">
            <v>SALVADOR</v>
          </cell>
          <cell r="C3701" t="str">
            <v>RESERVA ALVORADA</v>
          </cell>
          <cell r="D3701" t="str">
            <v>CCE89C16-332D-F111-BFB0-80C16E075108</v>
          </cell>
          <cell r="E3701">
            <v>0</v>
          </cell>
        </row>
        <row r="3702">
          <cell r="A3702" t="str">
            <v>MARINGÁ</v>
          </cell>
          <cell r="C3702" t="str">
            <v>RESERVA DO ALVORADA</v>
          </cell>
          <cell r="D3702" t="str">
            <v>B9DE6F14-943E-F111-8D5C-005056856875</v>
          </cell>
          <cell r="E3702">
            <v>0</v>
          </cell>
        </row>
        <row r="3703">
          <cell r="A3703" t="str">
            <v>SALVADOR</v>
          </cell>
          <cell r="C3703" t="str">
            <v>RESIDENCIAL BAÍA IMPERIAL</v>
          </cell>
          <cell r="D3703" t="str">
            <v>4B5A1194-F231-F111-94D1-009C02B0CB58</v>
          </cell>
          <cell r="E3703">
            <v>0</v>
          </cell>
        </row>
        <row r="3704">
          <cell r="A3704" t="str">
            <v>SALVADOR</v>
          </cell>
          <cell r="C3704" t="str">
            <v>RESIDENCIAL DOM JOÃO</v>
          </cell>
          <cell r="D3704" t="str">
            <v>DF63905F-F431-F111-94D1-009C02B0CB58</v>
          </cell>
          <cell r="E3704">
            <v>0</v>
          </cell>
        </row>
        <row r="3705">
          <cell r="A3705" t="str">
            <v>SALVADOR</v>
          </cell>
          <cell r="C3705" t="str">
            <v>RESIDENCIAL ESTRADA REAL</v>
          </cell>
          <cell r="D3705" t="str">
            <v>E6536816-F331-F111-94D1-009C02B0CB58</v>
          </cell>
          <cell r="E3705">
            <v>0</v>
          </cell>
        </row>
        <row r="3706">
          <cell r="A3706" t="str">
            <v>SALVADOR</v>
          </cell>
          <cell r="C3706" t="str">
            <v>RESIDENCIAL OURO IMPERIAL</v>
          </cell>
          <cell r="D3706" t="str">
            <v>80D0430E-F431-F111-94D1-009C02B0CB58</v>
          </cell>
          <cell r="E3706">
            <v>0</v>
          </cell>
        </row>
        <row r="3707">
          <cell r="A3707" t="str">
            <v>SALVADOR</v>
          </cell>
          <cell r="C3707" t="str">
            <v>RESIDENCIAL PALÁCIO DE SÉ</v>
          </cell>
          <cell r="D3707" t="str">
            <v>FD3072FF-D831-F111-94D1-009C02B0CB58</v>
          </cell>
          <cell r="E3707">
            <v>0</v>
          </cell>
        </row>
        <row r="3708">
          <cell r="A3708" t="str">
            <v>GUARULHOS</v>
          </cell>
          <cell r="C3708" t="str">
            <v>RESIDENCIAL VEREDA</v>
          </cell>
          <cell r="D3708" t="str">
            <v>BA6BB9F3-5E2C-F111-BFB0-80C16E075108</v>
          </cell>
          <cell r="E3708">
            <v>0</v>
          </cell>
        </row>
        <row r="3709">
          <cell r="A3709" t="str">
            <v>GOIÂNIA</v>
          </cell>
          <cell r="C3709" t="str">
            <v>SEALS EMP 01</v>
          </cell>
          <cell r="D3709" t="str">
            <v>7ECD59CA-3542-F111-94D1-009C02B0CB58</v>
          </cell>
          <cell r="E3709">
            <v>0</v>
          </cell>
        </row>
        <row r="3710">
          <cell r="A3710" t="str">
            <v>JOÃO PESSOA</v>
          </cell>
          <cell r="C3710" t="str">
            <v>SEMI BESSA EMP 01</v>
          </cell>
          <cell r="D3710" t="str">
            <v>72DD59DC-423F-F111-BFB0-80C16E075108</v>
          </cell>
          <cell r="E3710">
            <v>0</v>
          </cell>
        </row>
        <row r="3711">
          <cell r="A3711" t="str">
            <v>BELO HORIZONTE</v>
          </cell>
          <cell r="C3711" t="str">
            <v>SOUCASSEAUX EMP 01</v>
          </cell>
          <cell r="D3711" t="str">
            <v>F4EC2CD3-F72D-F111-94D1-009C02B0CB58</v>
          </cell>
          <cell r="E3711">
            <v>0</v>
          </cell>
        </row>
        <row r="3712">
          <cell r="A3712" t="str">
            <v>SÃO PAULO</v>
          </cell>
          <cell r="C3712" t="str">
            <v>SPAZIO MIRANTE DAS ÁGUAS</v>
          </cell>
          <cell r="D3712" t="str">
            <v>66873B3C-F4DF-E511-B93A-80C16E075108</v>
          </cell>
          <cell r="E3712">
            <v>288</v>
          </cell>
        </row>
        <row r="3713">
          <cell r="A3713" t="str">
            <v>SÃO LUÍS</v>
          </cell>
          <cell r="C3713" t="str">
            <v>TAGUARIGÃO EMP 01</v>
          </cell>
          <cell r="D3713" t="str">
            <v>732EF523-134A-F111-94D1-009C02B0CB58</v>
          </cell>
          <cell r="E3713">
            <v>0</v>
          </cell>
        </row>
        <row r="3714">
          <cell r="A3714" t="str">
            <v>UBERLÂNDIA</v>
          </cell>
          <cell r="C3714" t="str">
            <v>TAIAMAN EMP 02</v>
          </cell>
          <cell r="D3714" t="str">
            <v>182CC3EC-C12E-F111-BFB0-80C16E075108</v>
          </cell>
          <cell r="E3714">
            <v>0</v>
          </cell>
        </row>
        <row r="3715">
          <cell r="A3715" t="str">
            <v>SÃO LUÍS</v>
          </cell>
          <cell r="C3715" t="str">
            <v>TOPMIX EMP 01</v>
          </cell>
          <cell r="D3715" t="str">
            <v>EF5B1238-762C-F111-94D1-009C02B0CB58</v>
          </cell>
          <cell r="E3715">
            <v>0</v>
          </cell>
        </row>
        <row r="3716">
          <cell r="A3716" t="str">
            <v>MANAUS</v>
          </cell>
          <cell r="C3716" t="str">
            <v>VISTA DAS ESTRELAS</v>
          </cell>
          <cell r="D3716" t="str">
            <v>99CADB3A-2D2D-F111-BFB0-80C16E075108</v>
          </cell>
          <cell r="E3716">
            <v>0</v>
          </cell>
        </row>
        <row r="3717">
          <cell r="A3717" t="str">
            <v>MARINGÁ</v>
          </cell>
          <cell r="C3717" t="str">
            <v>WASABI EMP 01</v>
          </cell>
          <cell r="D3717" t="str">
            <v>CDCD6799-CE5A-F111-BFB0-80C16E075108</v>
          </cell>
          <cell r="E3717">
            <v>0</v>
          </cell>
        </row>
        <row r="3718">
          <cell r="A3718" t="str">
            <v>CAMAÇARI</v>
          </cell>
          <cell r="C3718" t="str">
            <v>YAN EMP 01</v>
          </cell>
          <cell r="D3718" t="str">
            <v>A033DB16-3E64-F111-BFB0-80C16E075108</v>
          </cell>
          <cell r="E3718">
            <v>0</v>
          </cell>
        </row>
        <row r="3719">
          <cell r="A3719" t="str">
            <v>CAMAÇARI</v>
          </cell>
          <cell r="C3719" t="str">
            <v>YAN EMP 02</v>
          </cell>
          <cell r="D3719" t="str">
            <v>A28B86AA-356E-F111-BFB0-80C16E075108</v>
          </cell>
          <cell r="E3719">
            <v>0</v>
          </cell>
        </row>
        <row r="3720">
          <cell r="A3720" t="str">
            <v>CAMAÇARI</v>
          </cell>
          <cell r="C3720" t="str">
            <v>YAN EMP 03</v>
          </cell>
          <cell r="D3720" t="str">
            <v>7B7E73B7-376E-F111-BFB0-80C16E075108</v>
          </cell>
          <cell r="E3720">
            <v>0</v>
          </cell>
        </row>
        <row r="3721">
          <cell r="A3721" t="str">
            <v>RIBEIRÃO PRETO</v>
          </cell>
          <cell r="C3721" t="str">
            <v>JARDIM DOS SABIÁS</v>
          </cell>
          <cell r="E3721">
            <v>245</v>
          </cell>
        </row>
      </sheetData>
      <sheetData sheetId="4"/>
      <sheetData sheetId="5"/>
      <sheetData sheetId="6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22/04/2026" id="{D97BDCC1-AEFD-4010-9B36-AC49D1BFE7A9}">
    <nsvFilter filterId="{C5DB940C-41E1-4BDD-9894-0061DEEAAB23}" ref="A6:U2588" tableId="0">
      <columnFilter colId="0">
        <filter colId="0">
          <x:filters>
            <x:filter val="DIR. COM E CRED MG E ES"/>
            <x:filter val="DIR. COM E CRED RJ"/>
            <x:filter val="DIR. COM E CRED SUL"/>
          </x:filters>
        </filter>
      </columnFilter>
      <columnFilter colId="15">
        <filter colId="15">
          <x:filters>
            <x:filter val="AGUARDANDO O ACEITE"/>
          </x:filters>
        </filter>
      </columnFilter>
    </nsvFilter>
  </namedSheetView>
  <namedSheetView name="Exibição 1" id="{5EFFF10E-FFF2-4D9F-A779-E9031F87F67D}">
    <nsvFilter filterId="{C5DB940C-41E1-4BDD-9894-0061DEEAAB23}" ref="A6:U2588" tableId="0"/>
  </namedSheetView>
  <namedSheetView name="Exibição 2" id="{51E66BCA-032C-4694-9DD8-DDC0D5F37D61}">
    <nsvFilter filterId="{C5DB940C-41E1-4BDD-9894-0061DEEAAB23}" ref="A6:U2588" tableId="0">
      <columnFilter colId="7">
        <filter colId="7">
          <x:filters>
            <x:filter val="Global"/>
            <x:filter val="I"/>
          </x:filters>
        </filter>
      </columnFilter>
    </nsvFilter>
  </namedSheetView>
  <namedSheetView name="Exibição 3" id="{C59BF300-5C99-4566-A661-258EA3D4D08B}">
    <nsvFilter filterId="{C5DB940C-41E1-4BDD-9894-0061DEEAAB23}" ref="A6:U2588" tableId="0"/>
  </namedSheetView>
  <namedSheetView name="Exibir1" id="{8A1655BB-0E75-454F-86F3-EB1449301640}">
    <nsvFilter filterId="{C5DB940C-41E1-4BDD-9894-0061DEEAAB23}" ref="A6:U2588" tableId="0"/>
  </namedSheetView>
</namedSheetView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EABBD-EAD2-47BE-B655-992224154041}">
  <sheetPr codeName="Planilha5" filterMode="1">
    <tabColor rgb="FF7030A0"/>
  </sheetPr>
  <dimension ref="A1:U2589"/>
  <sheetViews>
    <sheetView showGridLines="0" tabSelected="1" zoomScale="85" zoomScaleNormal="85" workbookViewId="0">
      <pane xSplit="5" ySplit="6" topLeftCell="T1249" activePane="bottomRight" state="frozen"/>
      <selection pane="topRight"/>
      <selection pane="bottomLeft"/>
      <selection pane="bottomRight" activeCell="A46" sqref="A46:U1284"/>
    </sheetView>
  </sheetViews>
  <sheetFormatPr defaultColWidth="9.1796875" defaultRowHeight="12" x14ac:dyDescent="0.35"/>
  <cols>
    <col min="1" max="1" width="18.1796875" style="41" bestFit="1" customWidth="1"/>
    <col min="2" max="2" width="16.36328125" style="41" bestFit="1" customWidth="1"/>
    <col min="3" max="3" width="20.7265625" style="41" bestFit="1" customWidth="1"/>
    <col min="4" max="4" width="13.7265625" style="41" bestFit="1" customWidth="1"/>
    <col min="5" max="5" width="38.54296875" style="41" bestFit="1" customWidth="1"/>
    <col min="6" max="6" width="12.6328125" style="41" bestFit="1" customWidth="1"/>
    <col min="7" max="7" width="10.7265625" style="41" bestFit="1" customWidth="1"/>
    <col min="8" max="8" width="10.90625" style="41" bestFit="1" customWidth="1"/>
    <col min="9" max="9" width="9.26953125" style="42" bestFit="1" customWidth="1"/>
    <col min="10" max="10" width="13.453125" style="43" customWidth="1"/>
    <col min="11" max="11" width="12.26953125" style="41" bestFit="1" customWidth="1"/>
    <col min="12" max="12" width="14.81640625" style="31" bestFit="1" customWidth="1"/>
    <col min="13" max="13" width="11.54296875" style="44" bestFit="1" customWidth="1"/>
    <col min="14" max="14" width="12.26953125" style="44" bestFit="1" customWidth="1"/>
    <col min="15" max="15" width="11.54296875" style="44" bestFit="1" customWidth="1"/>
    <col min="16" max="16" width="26.7265625" style="41" bestFit="1" customWidth="1"/>
    <col min="17" max="17" width="30.1796875" style="41" customWidth="1"/>
    <col min="18" max="18" width="18.453125" style="43" bestFit="1" customWidth="1"/>
    <col min="19" max="19" width="11.54296875" style="43" bestFit="1" customWidth="1"/>
    <col min="20" max="20" width="47.81640625" style="45" customWidth="1"/>
    <col min="21" max="21" width="31.453125" style="46" bestFit="1" customWidth="1"/>
    <col min="22" max="16384" width="9.1796875" style="9"/>
  </cols>
  <sheetData>
    <row r="1" spans="1:21" ht="24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/>
      <c r="J1" s="6"/>
      <c r="K1" s="7"/>
      <c r="L1" s="8"/>
      <c r="M1" s="8"/>
      <c r="N1" s="8"/>
      <c r="O1" s="9"/>
      <c r="P1" s="9"/>
      <c r="Q1" s="6"/>
      <c r="R1" s="6"/>
      <c r="S1" s="9"/>
      <c r="T1" s="9"/>
      <c r="U1" s="9"/>
    </row>
    <row r="2" spans="1:21" s="18" customFormat="1" ht="21" x14ac:dyDescent="0.35">
      <c r="A2" s="10" cm="1">
        <f t="array" ref="A2">SUMPRODUCT((E7:E5065&lt;&gt;"")/COUNTIF(E7:E5065,E7:E5065&amp;""))</f>
        <v>655.99999999999807</v>
      </c>
      <c r="B2" s="10" cm="1">
        <f t="array" ref="B2">SUMPRODUCT((P7:P5065="FINALIZADO")/COUNTIFS(E7:E5065,E7:E5065&amp;"",P7:P5065,P7:P5065&amp;""))</f>
        <v>596.99999999999773</v>
      </c>
      <c r="C2" s="10" cm="1">
        <f t="array" ref="C2">SUMPRODUCT((P7:P5065="REAVALIAÇÃO")/COUNTIFS(E7:E5065,E7:E5065&amp;"",P7:P5065,P7:P5065&amp;""))</f>
        <v>33.999999999999986</v>
      </c>
      <c r="D2" s="10" cm="1">
        <f t="array" ref="D2">SUMPRODUCT((P7:P5065="CONTESTAÇÃO")/COUNTIFS(E7:E5065, E7:E5065&amp;"",P7:P5065,P7:P5065&amp;""))</f>
        <v>2</v>
      </c>
      <c r="E2" s="11" cm="1">
        <f t="array" ref="E2">SUMPRODUCT((P7:P5065="AGUARDANDO DOCUMENTAÇÃO")/COUNTIFS(E7:E5065, E7:E5065&amp;"",P7:P5065,P7:P5065&amp;""))</f>
        <v>1</v>
      </c>
      <c r="F2" s="11" cm="1">
        <f t="array" ref="F2">SUMPRODUCT((P7:P5065="AGUARDANDO COMPROVANTE")/COUNTIFS(E7:E5065, E7:E5065&amp;"",P7:P5065,P7:P5065&amp;""))</f>
        <v>2</v>
      </c>
      <c r="G2" s="12" cm="1">
        <f t="array" ref="G2">SUMPRODUCT((P7:P5065="AGUARDANDO ACEITE")/COUNTIFS(E7:E5065, E7:E5065&amp;"",P7:P5065,P7:P5065&amp;""))</f>
        <v>15</v>
      </c>
      <c r="H2" s="13">
        <f>A2-B2</f>
        <v>59.000000000000341</v>
      </c>
      <c r="I2" s="14"/>
      <c r="J2" s="15"/>
      <c r="K2" s="16"/>
      <c r="L2" s="17"/>
      <c r="M2" s="17"/>
      <c r="N2" s="17"/>
      <c r="Q2" s="15"/>
      <c r="R2" s="15"/>
    </row>
    <row r="3" spans="1:21" x14ac:dyDescent="0.35">
      <c r="A3" s="9"/>
      <c r="B3" s="9"/>
      <c r="C3" s="9"/>
      <c r="D3" s="9"/>
      <c r="E3" s="9"/>
      <c r="F3" s="9"/>
      <c r="G3" s="9"/>
      <c r="H3" s="9"/>
      <c r="I3" s="5"/>
      <c r="J3" s="6"/>
      <c r="K3" s="7"/>
      <c r="L3" s="8"/>
      <c r="M3" s="8"/>
      <c r="N3" s="8"/>
      <c r="O3" s="9"/>
      <c r="P3" s="9"/>
      <c r="Q3" s="6"/>
      <c r="R3" s="6"/>
      <c r="S3" s="9"/>
      <c r="T3" s="9"/>
      <c r="U3" s="9"/>
    </row>
    <row r="4" spans="1:21" x14ac:dyDescent="0.35">
      <c r="A4" s="9"/>
      <c r="B4" s="9"/>
      <c r="C4" s="9"/>
      <c r="D4" s="9"/>
      <c r="E4" s="9"/>
      <c r="F4" s="9"/>
      <c r="G4" s="9"/>
      <c r="H4" s="9"/>
      <c r="I4" s="5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spans="1:21" s="19" customFormat="1" ht="12.5" thickBot="1" x14ac:dyDescent="0.4">
      <c r="A5" s="9"/>
      <c r="B5" s="9"/>
      <c r="C5" s="9"/>
      <c r="D5" s="9"/>
      <c r="E5" s="9"/>
      <c r="F5" s="9"/>
      <c r="G5" s="9"/>
      <c r="H5" s="9"/>
      <c r="I5" s="5"/>
      <c r="J5" s="9"/>
      <c r="L5" s="9"/>
      <c r="M5" s="9"/>
      <c r="N5" s="9"/>
      <c r="O5" s="9"/>
      <c r="P5" s="9"/>
      <c r="Q5" s="9"/>
      <c r="R5" s="9"/>
      <c r="S5" s="9"/>
      <c r="U5" s="9"/>
    </row>
    <row r="6" spans="1:21" s="27" customFormat="1" ht="15" thickBot="1" x14ac:dyDescent="0.4">
      <c r="A6" s="20" t="s">
        <v>8</v>
      </c>
      <c r="B6" s="21" t="s">
        <v>9</v>
      </c>
      <c r="C6" s="21" t="s">
        <v>10</v>
      </c>
      <c r="D6" s="21" t="s">
        <v>11</v>
      </c>
      <c r="E6" s="21" t="s">
        <v>12</v>
      </c>
      <c r="F6" s="21" t="s">
        <v>13</v>
      </c>
      <c r="G6" s="21" t="s">
        <v>14</v>
      </c>
      <c r="H6" s="21" t="s">
        <v>15</v>
      </c>
      <c r="I6" s="22" t="s">
        <v>16</v>
      </c>
      <c r="J6" s="23" t="s">
        <v>17</v>
      </c>
      <c r="K6" s="24" t="s">
        <v>18</v>
      </c>
      <c r="L6" s="25" t="s">
        <v>19</v>
      </c>
      <c r="M6" s="26" t="s">
        <v>20</v>
      </c>
      <c r="N6" s="26" t="s">
        <v>21</v>
      </c>
      <c r="O6" s="26" t="s">
        <v>22</v>
      </c>
      <c r="P6" s="21" t="s">
        <v>23</v>
      </c>
      <c r="Q6" s="21" t="s">
        <v>24</v>
      </c>
      <c r="R6" s="21" t="s">
        <v>25</v>
      </c>
      <c r="S6" s="21" t="s">
        <v>26</v>
      </c>
      <c r="T6" s="21" t="s">
        <v>27</v>
      </c>
      <c r="U6" s="21" t="s">
        <v>28</v>
      </c>
    </row>
    <row r="7" spans="1:21" hidden="1" x14ac:dyDescent="0.35">
      <c r="A7" s="28" t="str">
        <f>IFERROR(_xlfn.XLOOKUP(C7,[1]DIRETORIA!C:C,[1]DIRETORIA!A:A),"-")</f>
        <v>DIR. COM E CRED NE</v>
      </c>
      <c r="B7" s="28" t="str">
        <f>IFERROR(_xlfn.XLOOKUP(C7,[1]DIRETORIA!C:C,[1]DIRETORIA!B:B),"-")</f>
        <v>GST. COM NE 7 (PI+MA)</v>
      </c>
      <c r="C7" s="28" t="str">
        <f>IFERROR(_xlfn.XLOOKUP(E7,[1]EMPREENDIMENTO!C:C,[1]EMPREENDIMENTO!A:A),"-")</f>
        <v>SÃO LUÍS</v>
      </c>
      <c r="D7" s="28" t="s">
        <v>29</v>
      </c>
      <c r="E7" s="28" t="s">
        <v>30</v>
      </c>
      <c r="F7" s="28" t="s">
        <v>31</v>
      </c>
      <c r="G7" s="28" t="s">
        <v>32</v>
      </c>
      <c r="H7" s="28">
        <v>28394</v>
      </c>
      <c r="I7" s="29">
        <f>IFERROR(_xlfn.XLOOKUP(E7,[1]EMPREENDIMENTO!C:C,[1]EMPREENDIMENTO!E:E),"0")</f>
        <v>288</v>
      </c>
      <c r="J7" s="30">
        <v>46003</v>
      </c>
      <c r="K7" s="28" t="s">
        <v>33</v>
      </c>
      <c r="L7" s="31">
        <v>44979</v>
      </c>
      <c r="M7" s="32">
        <v>51925700</v>
      </c>
      <c r="N7" s="32">
        <v>57985000</v>
      </c>
      <c r="O7" s="32">
        <v>54959000</v>
      </c>
      <c r="P7" s="28" t="s">
        <v>34</v>
      </c>
      <c r="Q7" s="28" t="s">
        <v>35</v>
      </c>
      <c r="R7" s="30">
        <v>44830</v>
      </c>
      <c r="S7" s="30">
        <v>44979</v>
      </c>
      <c r="T7" s="33"/>
      <c r="U7" s="34" t="str">
        <f>IFERROR(_xlfn.XLOOKUP(E7,[1]EMPREENDIMENTO!C:C,[1]EMPREENDIMENTO!D:D),"")</f>
        <v>446c1dbd-587f-ea11-aed6-0050568aa20f</v>
      </c>
    </row>
    <row r="8" spans="1:21" hidden="1" x14ac:dyDescent="0.35">
      <c r="A8" s="28" t="str">
        <f>IFERROR(_xlfn.XLOOKUP(C8,[1]DIRETORIA!C:C,[1]DIRETORIA!A:A),"-")</f>
        <v>DIR. COM E CRED NE</v>
      </c>
      <c r="B8" s="28" t="str">
        <f>IFERROR(_xlfn.XLOOKUP(C8,[1]DIRETORIA!C:C,[1]DIRETORIA!B:B),"-")</f>
        <v>GST. COM NE 7 (PI+MA)</v>
      </c>
      <c r="C8" s="28" t="str">
        <f>IFERROR(_xlfn.XLOOKUP(E8,[1]EMPREENDIMENTO!C:C,[1]EMPREENDIMENTO!A:A),"-")</f>
        <v>SÃO LUÍS</v>
      </c>
      <c r="D8" s="28" t="s">
        <v>29</v>
      </c>
      <c r="E8" s="28" t="s">
        <v>30</v>
      </c>
      <c r="F8" s="28" t="s">
        <v>36</v>
      </c>
      <c r="G8" s="28" t="s">
        <v>37</v>
      </c>
      <c r="H8" s="28">
        <v>31740</v>
      </c>
      <c r="I8" s="29">
        <f>IFERROR(_xlfn.XLOOKUP(E8,[1]EMPREENDIMENTO!C:C,[1]EMPREENDIMENTO!E:E),"0")</f>
        <v>288</v>
      </c>
      <c r="J8" s="30">
        <v>46003</v>
      </c>
      <c r="K8" s="28" t="s">
        <v>33</v>
      </c>
      <c r="L8" s="31">
        <v>44979</v>
      </c>
      <c r="M8" s="32">
        <v>51925700</v>
      </c>
      <c r="N8" s="32">
        <v>57985000</v>
      </c>
      <c r="O8" s="32">
        <v>54959000</v>
      </c>
      <c r="P8" s="28" t="s">
        <v>34</v>
      </c>
      <c r="Q8" s="28" t="s">
        <v>38</v>
      </c>
      <c r="R8" s="30">
        <v>44984</v>
      </c>
      <c r="S8" s="30">
        <v>44979</v>
      </c>
      <c r="T8" s="33"/>
      <c r="U8" s="34" t="str">
        <f>IFERROR(_xlfn.XLOOKUP(E8,[1]EMPREENDIMENTO!C:C,[1]EMPREENDIMENTO!D:D),"")</f>
        <v>446c1dbd-587f-ea11-aed6-0050568aa20f</v>
      </c>
    </row>
    <row r="9" spans="1:21" hidden="1" x14ac:dyDescent="0.35">
      <c r="A9" s="28" t="str">
        <f>IFERROR(_xlfn.XLOOKUP(C9,[1]DIRETORIA!C:C,[1]DIRETORIA!A:A),"-")</f>
        <v>DIR. COM E CRED NE</v>
      </c>
      <c r="B9" s="28" t="str">
        <f>IFERROR(_xlfn.XLOOKUP(C9,[1]DIRETORIA!C:C,[1]DIRETORIA!B:B),"-")</f>
        <v>GST. COM NE 7 (PI+MA)</v>
      </c>
      <c r="C9" s="28" t="str">
        <f>IFERROR(_xlfn.XLOOKUP(E9,[1]EMPREENDIMENTO!C:C,[1]EMPREENDIMENTO!A:A),"-")</f>
        <v>SÃO LUÍS</v>
      </c>
      <c r="D9" s="28" t="s">
        <v>29</v>
      </c>
      <c r="E9" s="28" t="s">
        <v>30</v>
      </c>
      <c r="F9" s="28" t="s">
        <v>39</v>
      </c>
      <c r="G9" s="28" t="s">
        <v>40</v>
      </c>
      <c r="H9" s="28">
        <v>31741</v>
      </c>
      <c r="I9" s="29">
        <f>IFERROR(_xlfn.XLOOKUP(E9,[1]EMPREENDIMENTO!C:C,[1]EMPREENDIMENTO!E:E),"0")</f>
        <v>288</v>
      </c>
      <c r="J9" s="30">
        <v>46003</v>
      </c>
      <c r="K9" s="28" t="s">
        <v>33</v>
      </c>
      <c r="L9" s="31">
        <v>44979</v>
      </c>
      <c r="M9" s="32">
        <v>51925700</v>
      </c>
      <c r="N9" s="32">
        <v>57985000</v>
      </c>
      <c r="O9" s="32">
        <v>54959000</v>
      </c>
      <c r="P9" s="28" t="s">
        <v>34</v>
      </c>
      <c r="Q9" s="28" t="s">
        <v>38</v>
      </c>
      <c r="R9" s="30">
        <v>44984</v>
      </c>
      <c r="S9" s="30">
        <v>44979</v>
      </c>
      <c r="T9" s="33"/>
      <c r="U9" s="34" t="str">
        <f>IFERROR(_xlfn.XLOOKUP(E9,[1]EMPREENDIMENTO!C:C,[1]EMPREENDIMENTO!D:D),"")</f>
        <v>446c1dbd-587f-ea11-aed6-0050568aa20f</v>
      </c>
    </row>
    <row r="10" spans="1:21" hidden="1" x14ac:dyDescent="0.35">
      <c r="A10" s="28" t="str">
        <f>IFERROR(_xlfn.XLOOKUP(C10,[1]DIRETORIA!C:C,[1]DIRETORIA!A:A),"-")</f>
        <v>DIR. COM E CRED NE</v>
      </c>
      <c r="B10" s="28" t="str">
        <f>IFERROR(_xlfn.XLOOKUP(C10,[1]DIRETORIA!C:C,[1]DIRETORIA!B:B),"-")</f>
        <v>GST. COM NE1 (BA 1)</v>
      </c>
      <c r="C10" s="28" t="str">
        <f>IFERROR(_xlfn.XLOOKUP(E10,[1]EMPREENDIMENTO!C:C,[1]EMPREENDIMENTO!A:A),"-")</f>
        <v>FEIRA DE SANTANA</v>
      </c>
      <c r="D10" s="28" t="s">
        <v>29</v>
      </c>
      <c r="E10" s="28" t="s">
        <v>41</v>
      </c>
      <c r="F10" s="28" t="s">
        <v>42</v>
      </c>
      <c r="G10" s="28" t="s">
        <v>43</v>
      </c>
      <c r="H10" s="28">
        <v>20541</v>
      </c>
      <c r="I10" s="29">
        <f>IFERROR(_xlfn.XLOOKUP(E10,[1]EMPREENDIMENTO!C:C,[1]EMPREENDIMENTO!E:E),"0")</f>
        <v>312</v>
      </c>
      <c r="J10" s="30">
        <v>46020</v>
      </c>
      <c r="K10" s="28" t="s">
        <v>33</v>
      </c>
      <c r="L10" s="31">
        <v>45757</v>
      </c>
      <c r="M10" s="32">
        <v>71299632</v>
      </c>
      <c r="N10" s="32">
        <v>80058085</v>
      </c>
      <c r="O10" s="32">
        <v>77983964</v>
      </c>
      <c r="P10" s="28" t="s">
        <v>34</v>
      </c>
      <c r="Q10" s="28" t="s">
        <v>44</v>
      </c>
      <c r="R10" s="30">
        <v>45761</v>
      </c>
      <c r="S10" s="30">
        <v>45757</v>
      </c>
      <c r="T10" s="33"/>
      <c r="U10" s="34" t="str">
        <f>IFERROR(_xlfn.XLOOKUP(E10,[1]EMPREENDIMENTO!C:C,[1]EMPREENDIMENTO!D:D),"")</f>
        <v>e604d856-3fbe-e711-b989-80c16e075108</v>
      </c>
    </row>
    <row r="11" spans="1:21" hidden="1" x14ac:dyDescent="0.35">
      <c r="A11" s="28" t="str">
        <f>IFERROR(_xlfn.XLOOKUP(C11,[1]DIRETORIA!C:C,[1]DIRETORIA!A:A),"-")</f>
        <v>DIR. COM E CRED SUL</v>
      </c>
      <c r="B11" s="28" t="str">
        <f>IFERROR(_xlfn.XLOOKUP(C11,[1]DIRETORIA!C:C,[1]DIRETORIA!B:B),"-")</f>
        <v>GST. COM SC</v>
      </c>
      <c r="C11" s="28" t="str">
        <f>IFERROR(_xlfn.XLOOKUP(E11,[1]EMPREENDIMENTO!C:C,[1]EMPREENDIMENTO!A:A),"-")</f>
        <v>SÃO JOSÉ</v>
      </c>
      <c r="D11" s="28" t="s">
        <v>29</v>
      </c>
      <c r="E11" s="28" t="s">
        <v>45</v>
      </c>
      <c r="F11" s="28" t="s">
        <v>31</v>
      </c>
      <c r="G11" s="28" t="s">
        <v>46</v>
      </c>
      <c r="H11" s="28">
        <v>16958</v>
      </c>
      <c r="I11" s="29">
        <f>IFERROR(_xlfn.XLOOKUP(E11,[1]EMPREENDIMENTO!C:C,[1]EMPREENDIMENTO!E:E),"0")</f>
        <v>496</v>
      </c>
      <c r="J11" s="30">
        <v>46020</v>
      </c>
      <c r="K11" s="28" t="s">
        <v>33</v>
      </c>
      <c r="L11" s="31">
        <v>44932</v>
      </c>
      <c r="M11" s="32">
        <v>92547200</v>
      </c>
      <c r="N11" s="32">
        <v>107427200</v>
      </c>
      <c r="O11" s="32">
        <v>107427200</v>
      </c>
      <c r="P11" s="28" t="s">
        <v>34</v>
      </c>
      <c r="Q11" s="28" t="s">
        <v>47</v>
      </c>
      <c r="R11" s="30">
        <v>44960</v>
      </c>
      <c r="S11" s="30">
        <v>44932</v>
      </c>
      <c r="T11" s="33"/>
      <c r="U11" s="34" t="str">
        <f>IFERROR(_xlfn.XLOOKUP(E11,[1]EMPREENDIMENTO!C:C,[1]EMPREENDIMENTO!D:D),"")</f>
        <v>6529B8BA-64B3-E611-B1E9-009C02B0CB58</v>
      </c>
    </row>
    <row r="12" spans="1:21" hidden="1" x14ac:dyDescent="0.35">
      <c r="A12" s="28" t="str">
        <f>IFERROR(_xlfn.XLOOKUP(C12,[1]DIRETORIA!C:C,[1]DIRETORIA!A:A),"-")</f>
        <v>DIR. COM E CRED SUL</v>
      </c>
      <c r="B12" s="28" t="str">
        <f>IFERROR(_xlfn.XLOOKUP(C12,[1]DIRETORIA!C:C,[1]DIRETORIA!B:B),"-")</f>
        <v>GST. COM SC</v>
      </c>
      <c r="C12" s="28" t="str">
        <f>IFERROR(_xlfn.XLOOKUP(E12,[1]EMPREENDIMENTO!C:C,[1]EMPREENDIMENTO!A:A),"-")</f>
        <v>SÃO JOSÉ</v>
      </c>
      <c r="D12" s="28" t="s">
        <v>29</v>
      </c>
      <c r="E12" s="28" t="s">
        <v>45</v>
      </c>
      <c r="F12" s="28" t="s">
        <v>36</v>
      </c>
      <c r="G12" s="28" t="s">
        <v>48</v>
      </c>
      <c r="H12" s="28">
        <v>20749</v>
      </c>
      <c r="I12" s="29">
        <f>IFERROR(_xlfn.XLOOKUP(E12,[1]EMPREENDIMENTO!C:C,[1]EMPREENDIMENTO!E:E),"0")</f>
        <v>496</v>
      </c>
      <c r="J12" s="30">
        <v>46020</v>
      </c>
      <c r="K12" s="28" t="s">
        <v>33</v>
      </c>
      <c r="L12" s="31">
        <v>44932</v>
      </c>
      <c r="M12" s="32">
        <v>92547200</v>
      </c>
      <c r="N12" s="32">
        <v>107427200</v>
      </c>
      <c r="O12" s="32">
        <v>107427200</v>
      </c>
      <c r="P12" s="28" t="s">
        <v>34</v>
      </c>
      <c r="Q12" s="28" t="s">
        <v>47</v>
      </c>
      <c r="R12" s="30">
        <v>44960</v>
      </c>
      <c r="S12" s="30">
        <v>44932</v>
      </c>
      <c r="T12" s="33"/>
      <c r="U12" s="34" t="str">
        <f>IFERROR(_xlfn.XLOOKUP(E12,[1]EMPREENDIMENTO!C:C,[1]EMPREENDIMENTO!D:D),"")</f>
        <v>6529B8BA-64B3-E611-B1E9-009C02B0CB58</v>
      </c>
    </row>
    <row r="13" spans="1:21" hidden="1" x14ac:dyDescent="0.35">
      <c r="A13" s="28" t="str">
        <f>IFERROR(_xlfn.XLOOKUP(C13,[1]DIRETORIA!C:C,[1]DIRETORIA!A:A),"-")</f>
        <v>DIR. COM E CRED SUL</v>
      </c>
      <c r="B13" s="28" t="str">
        <f>IFERROR(_xlfn.XLOOKUP(C13,[1]DIRETORIA!C:C,[1]DIRETORIA!B:B),"-")</f>
        <v>GST. COM SC</v>
      </c>
      <c r="C13" s="28" t="str">
        <f>IFERROR(_xlfn.XLOOKUP(E13,[1]EMPREENDIMENTO!C:C,[1]EMPREENDIMENTO!A:A),"-")</f>
        <v>SÃO JOSÉ</v>
      </c>
      <c r="D13" s="28" t="s">
        <v>29</v>
      </c>
      <c r="E13" s="28" t="s">
        <v>45</v>
      </c>
      <c r="F13" s="28" t="s">
        <v>39</v>
      </c>
      <c r="G13" s="28" t="s">
        <v>49</v>
      </c>
      <c r="H13" s="28">
        <v>20750</v>
      </c>
      <c r="I13" s="29">
        <f>IFERROR(_xlfn.XLOOKUP(E13,[1]EMPREENDIMENTO!C:C,[1]EMPREENDIMENTO!E:E),"0")</f>
        <v>496</v>
      </c>
      <c r="J13" s="30">
        <v>46020</v>
      </c>
      <c r="K13" s="28" t="s">
        <v>33</v>
      </c>
      <c r="L13" s="31">
        <v>44932</v>
      </c>
      <c r="M13" s="32">
        <v>92547200</v>
      </c>
      <c r="N13" s="32">
        <v>107427200</v>
      </c>
      <c r="O13" s="32">
        <v>107427200</v>
      </c>
      <c r="P13" s="28" t="s">
        <v>34</v>
      </c>
      <c r="Q13" s="28" t="s">
        <v>47</v>
      </c>
      <c r="R13" s="30">
        <v>44960</v>
      </c>
      <c r="S13" s="30">
        <v>44932</v>
      </c>
      <c r="T13" s="33"/>
      <c r="U13" s="34" t="str">
        <f>IFERROR(_xlfn.XLOOKUP(E13,[1]EMPREENDIMENTO!C:C,[1]EMPREENDIMENTO!D:D),"")</f>
        <v>6529B8BA-64B3-E611-B1E9-009C02B0CB58</v>
      </c>
    </row>
    <row r="14" spans="1:21" hidden="1" x14ac:dyDescent="0.35">
      <c r="A14" s="28" t="str">
        <f>IFERROR(_xlfn.XLOOKUP(C14,[1]DIRETORIA!C:C,[1]DIRETORIA!A:A),"-")</f>
        <v>DIR. COM E CRED SUL</v>
      </c>
      <c r="B14" s="28" t="str">
        <f>IFERROR(_xlfn.XLOOKUP(C14,[1]DIRETORIA!C:C,[1]DIRETORIA!B:B),"-")</f>
        <v>GST. COM SC</v>
      </c>
      <c r="C14" s="28" t="str">
        <f>IFERROR(_xlfn.XLOOKUP(E14,[1]EMPREENDIMENTO!C:C,[1]EMPREENDIMENTO!A:A),"-")</f>
        <v>SÃO JOSÉ</v>
      </c>
      <c r="D14" s="28" t="s">
        <v>29</v>
      </c>
      <c r="E14" s="28" t="s">
        <v>45</v>
      </c>
      <c r="F14" s="28" t="s">
        <v>50</v>
      </c>
      <c r="G14" s="28" t="s">
        <v>51</v>
      </c>
      <c r="H14" s="28">
        <v>20751</v>
      </c>
      <c r="I14" s="29">
        <f>IFERROR(_xlfn.XLOOKUP(E14,[1]EMPREENDIMENTO!C:C,[1]EMPREENDIMENTO!E:E),"0")</f>
        <v>496</v>
      </c>
      <c r="J14" s="30">
        <v>46020</v>
      </c>
      <c r="K14" s="28" t="s">
        <v>33</v>
      </c>
      <c r="L14" s="31">
        <v>44932</v>
      </c>
      <c r="M14" s="32">
        <v>92547200</v>
      </c>
      <c r="N14" s="32">
        <v>107427200</v>
      </c>
      <c r="O14" s="32">
        <v>107427200</v>
      </c>
      <c r="P14" s="28" t="s">
        <v>34</v>
      </c>
      <c r="Q14" s="28" t="s">
        <v>47</v>
      </c>
      <c r="R14" s="30">
        <v>44960</v>
      </c>
      <c r="S14" s="30">
        <v>44932</v>
      </c>
      <c r="T14" s="33"/>
      <c r="U14" s="34" t="str">
        <f>IFERROR(_xlfn.XLOOKUP(E14,[1]EMPREENDIMENTO!C:C,[1]EMPREENDIMENTO!D:D),"")</f>
        <v>6529B8BA-64B3-E611-B1E9-009C02B0CB58</v>
      </c>
    </row>
    <row r="15" spans="1:21" hidden="1" x14ac:dyDescent="0.35">
      <c r="A15" s="28" t="str">
        <f>IFERROR(_xlfn.XLOOKUP(C15,[1]DIRETORIA!C:C,[1]DIRETORIA!A:A),"-")</f>
        <v>DIR. COM E CRED SUL</v>
      </c>
      <c r="B15" s="28" t="str">
        <f>IFERROR(_xlfn.XLOOKUP(C15,[1]DIRETORIA!C:C,[1]DIRETORIA!B:B),"-")</f>
        <v>GST. COM CURITIBA</v>
      </c>
      <c r="C15" s="28" t="str">
        <f>IFERROR(_xlfn.XLOOKUP(E15,[1]EMPREENDIMENTO!C:C,[1]EMPREENDIMENTO!A:A),"-")</f>
        <v>CURITIBA</v>
      </c>
      <c r="D15" s="28" t="s">
        <v>29</v>
      </c>
      <c r="E15" s="28" t="s">
        <v>52</v>
      </c>
      <c r="F15" s="28" t="s">
        <v>31</v>
      </c>
      <c r="G15" s="28" t="s">
        <v>53</v>
      </c>
      <c r="H15" s="28">
        <v>31119</v>
      </c>
      <c r="I15" s="29">
        <f>IFERROR(_xlfn.XLOOKUP(E15,[1]EMPREENDIMENTO!C:C,[1]EMPREENDIMENTO!E:E),"0")</f>
        <v>640</v>
      </c>
      <c r="J15" s="30">
        <v>46276</v>
      </c>
      <c r="K15" s="28" t="s">
        <v>33</v>
      </c>
      <c r="L15" s="31">
        <v>45383</v>
      </c>
      <c r="M15" s="32">
        <v>180526000</v>
      </c>
      <c r="N15" s="32">
        <v>186241000</v>
      </c>
      <c r="O15" s="32">
        <v>186241000</v>
      </c>
      <c r="P15" s="28" t="s">
        <v>34</v>
      </c>
      <c r="Q15" s="28"/>
      <c r="R15" s="30">
        <v>45383</v>
      </c>
      <c r="S15" s="30">
        <v>45391</v>
      </c>
      <c r="T15" s="33"/>
      <c r="U15" s="34" t="str">
        <f>IFERROR(_xlfn.XLOOKUP(E15,[1]EMPREENDIMENTO!C:C,[1]EMPREENDIMENTO!D:D),"")</f>
        <v>db9f656b-0354-ea11-b686-005056856875</v>
      </c>
    </row>
    <row r="16" spans="1:21" hidden="1" x14ac:dyDescent="0.35">
      <c r="A16" s="28" t="str">
        <f>IFERROR(_xlfn.XLOOKUP(C16,[1]DIRETORIA!C:C,[1]DIRETORIA!A:A),"-")</f>
        <v>DIR. COM E CRED SUL</v>
      </c>
      <c r="B16" s="28" t="str">
        <f>IFERROR(_xlfn.XLOOKUP(C16,[1]DIRETORIA!C:C,[1]DIRETORIA!B:B),"-")</f>
        <v>GST. COM CURITIBA</v>
      </c>
      <c r="C16" s="28" t="str">
        <f>IFERROR(_xlfn.XLOOKUP(E16,[1]EMPREENDIMENTO!C:C,[1]EMPREENDIMENTO!A:A),"-")</f>
        <v>CURITIBA</v>
      </c>
      <c r="D16" s="28" t="s">
        <v>29</v>
      </c>
      <c r="E16" s="28" t="s">
        <v>52</v>
      </c>
      <c r="F16" s="28" t="s">
        <v>36</v>
      </c>
      <c r="G16" s="28" t="s">
        <v>54</v>
      </c>
      <c r="H16" s="28">
        <v>33224</v>
      </c>
      <c r="I16" s="29">
        <f>IFERROR(_xlfn.XLOOKUP(E16,[1]EMPREENDIMENTO!C:C,[1]EMPREENDIMENTO!E:E),"0")</f>
        <v>640</v>
      </c>
      <c r="J16" s="30">
        <v>46276</v>
      </c>
      <c r="K16" s="28" t="s">
        <v>33</v>
      </c>
      <c r="L16" s="31">
        <v>45383</v>
      </c>
      <c r="M16" s="32">
        <v>180526000</v>
      </c>
      <c r="N16" s="32">
        <v>186241000</v>
      </c>
      <c r="O16" s="32">
        <v>186241000</v>
      </c>
      <c r="P16" s="28" t="s">
        <v>34</v>
      </c>
      <c r="Q16" s="28"/>
      <c r="R16" s="30">
        <v>45383</v>
      </c>
      <c r="S16" s="30">
        <v>45391</v>
      </c>
      <c r="T16" s="33"/>
      <c r="U16" s="34" t="str">
        <f>IFERROR(_xlfn.XLOOKUP(E16,[1]EMPREENDIMENTO!C:C,[1]EMPREENDIMENTO!D:D),"")</f>
        <v>db9f656b-0354-ea11-b686-005056856875</v>
      </c>
    </row>
    <row r="17" spans="1:21" hidden="1" x14ac:dyDescent="0.35">
      <c r="A17" s="28" t="str">
        <f>IFERROR(_xlfn.XLOOKUP(C17,[1]DIRETORIA!C:C,[1]DIRETORIA!A:A),"-")</f>
        <v>DIR. COM E CRED SUL</v>
      </c>
      <c r="B17" s="28" t="str">
        <f>IFERROR(_xlfn.XLOOKUP(C17,[1]DIRETORIA!C:C,[1]DIRETORIA!B:B),"-")</f>
        <v>GST. COM CURITIBA</v>
      </c>
      <c r="C17" s="28" t="str">
        <f>IFERROR(_xlfn.XLOOKUP(E17,[1]EMPREENDIMENTO!C:C,[1]EMPREENDIMENTO!A:A),"-")</f>
        <v>CURITIBA</v>
      </c>
      <c r="D17" s="28" t="s">
        <v>29</v>
      </c>
      <c r="E17" s="28" t="s">
        <v>52</v>
      </c>
      <c r="F17" s="28" t="s">
        <v>39</v>
      </c>
      <c r="G17" s="28" t="s">
        <v>55</v>
      </c>
      <c r="H17" s="28">
        <v>33242</v>
      </c>
      <c r="I17" s="29">
        <f>IFERROR(_xlfn.XLOOKUP(E17,[1]EMPREENDIMENTO!C:C,[1]EMPREENDIMENTO!E:E),"0")</f>
        <v>640</v>
      </c>
      <c r="J17" s="30">
        <v>46276</v>
      </c>
      <c r="K17" s="28" t="s">
        <v>33</v>
      </c>
      <c r="L17" s="31">
        <v>45383</v>
      </c>
      <c r="M17" s="32">
        <v>180526000</v>
      </c>
      <c r="N17" s="32">
        <v>186241000</v>
      </c>
      <c r="O17" s="32">
        <v>186241000</v>
      </c>
      <c r="P17" s="28" t="s">
        <v>34</v>
      </c>
      <c r="Q17" s="28"/>
      <c r="R17" s="30">
        <v>45383</v>
      </c>
      <c r="S17" s="30">
        <v>45391</v>
      </c>
      <c r="T17" s="33"/>
      <c r="U17" s="34" t="str">
        <f>IFERROR(_xlfn.XLOOKUP(E17,[1]EMPREENDIMENTO!C:C,[1]EMPREENDIMENTO!D:D),"")</f>
        <v>db9f656b-0354-ea11-b686-005056856875</v>
      </c>
    </row>
    <row r="18" spans="1:21" hidden="1" x14ac:dyDescent="0.35">
      <c r="A18" s="28" t="str">
        <f>IFERROR(_xlfn.XLOOKUP(C18,[1]DIRETORIA!C:C,[1]DIRETORIA!A:A),"-")</f>
        <v>DIR. COM E CRED SUL</v>
      </c>
      <c r="B18" s="28" t="str">
        <f>IFERROR(_xlfn.XLOOKUP(C18,[1]DIRETORIA!C:C,[1]DIRETORIA!B:B),"-")</f>
        <v>GST. COM CURITIBA</v>
      </c>
      <c r="C18" s="28" t="str">
        <f>IFERROR(_xlfn.XLOOKUP(E18,[1]EMPREENDIMENTO!C:C,[1]EMPREENDIMENTO!A:A),"-")</f>
        <v>CURITIBA</v>
      </c>
      <c r="D18" s="28" t="s">
        <v>29</v>
      </c>
      <c r="E18" s="28" t="s">
        <v>52</v>
      </c>
      <c r="F18" s="28" t="s">
        <v>50</v>
      </c>
      <c r="G18" s="28" t="s">
        <v>56</v>
      </c>
      <c r="H18" s="28">
        <v>33243</v>
      </c>
      <c r="I18" s="29">
        <f>IFERROR(_xlfn.XLOOKUP(E18,[1]EMPREENDIMENTO!C:C,[1]EMPREENDIMENTO!E:E),"0")</f>
        <v>640</v>
      </c>
      <c r="J18" s="30">
        <v>46276</v>
      </c>
      <c r="K18" s="28" t="s">
        <v>33</v>
      </c>
      <c r="L18" s="31">
        <v>45383</v>
      </c>
      <c r="M18" s="32">
        <v>180526000</v>
      </c>
      <c r="N18" s="32">
        <v>186241000</v>
      </c>
      <c r="O18" s="32">
        <v>186241000</v>
      </c>
      <c r="P18" s="28" t="s">
        <v>34</v>
      </c>
      <c r="Q18" s="28"/>
      <c r="R18" s="30">
        <v>45383</v>
      </c>
      <c r="S18" s="30">
        <v>45391</v>
      </c>
      <c r="T18" s="33"/>
      <c r="U18" s="34" t="str">
        <f>IFERROR(_xlfn.XLOOKUP(E18,[1]EMPREENDIMENTO!C:C,[1]EMPREENDIMENTO!D:D),"")</f>
        <v>db9f656b-0354-ea11-b686-005056856875</v>
      </c>
    </row>
    <row r="19" spans="1:21" hidden="1" x14ac:dyDescent="0.35">
      <c r="A19" s="28" t="str">
        <f>IFERROR(_xlfn.XLOOKUP(C19,[1]DIRETORIA!C:C,[1]DIRETORIA!A:A),"-")</f>
        <v>DIR. COM E CRED SUL</v>
      </c>
      <c r="B19" s="28" t="str">
        <f>IFERROR(_xlfn.XLOOKUP(C19,[1]DIRETORIA!C:C,[1]DIRETORIA!B:B),"-")</f>
        <v>GST. COM CURITIBA</v>
      </c>
      <c r="C19" s="28" t="str">
        <f>IFERROR(_xlfn.XLOOKUP(E19,[1]EMPREENDIMENTO!C:C,[1]EMPREENDIMENTO!A:A),"-")</f>
        <v>CURITIBA</v>
      </c>
      <c r="D19" s="28" t="s">
        <v>29</v>
      </c>
      <c r="E19" s="28" t="s">
        <v>52</v>
      </c>
      <c r="F19" s="28" t="s">
        <v>57</v>
      </c>
      <c r="G19" s="28" t="s">
        <v>58</v>
      </c>
      <c r="H19" s="28">
        <v>33244</v>
      </c>
      <c r="I19" s="29">
        <f>IFERROR(_xlfn.XLOOKUP(E19,[1]EMPREENDIMENTO!C:C,[1]EMPREENDIMENTO!E:E),"0")</f>
        <v>640</v>
      </c>
      <c r="J19" s="30">
        <v>46276</v>
      </c>
      <c r="K19" s="28" t="s">
        <v>33</v>
      </c>
      <c r="L19" s="31">
        <v>45383</v>
      </c>
      <c r="M19" s="32">
        <v>180526000</v>
      </c>
      <c r="N19" s="32">
        <v>186241000</v>
      </c>
      <c r="O19" s="32">
        <v>186241000</v>
      </c>
      <c r="P19" s="28" t="s">
        <v>34</v>
      </c>
      <c r="Q19" s="28"/>
      <c r="R19" s="30">
        <v>45383</v>
      </c>
      <c r="S19" s="30">
        <v>45391</v>
      </c>
      <c r="T19" s="33"/>
      <c r="U19" s="34" t="str">
        <f>IFERROR(_xlfn.XLOOKUP(E19,[1]EMPREENDIMENTO!C:C,[1]EMPREENDIMENTO!D:D),"")</f>
        <v>db9f656b-0354-ea11-b686-005056856875</v>
      </c>
    </row>
    <row r="20" spans="1:21" hidden="1" x14ac:dyDescent="0.35">
      <c r="A20" s="28" t="str">
        <f>IFERROR(_xlfn.XLOOKUP(C20,[1]DIRETORIA!C:C,[1]DIRETORIA!A:A),"-")</f>
        <v>DIR. COM E CRED SUL</v>
      </c>
      <c r="B20" s="28" t="str">
        <f>IFERROR(_xlfn.XLOOKUP(C20,[1]DIRETORIA!C:C,[1]DIRETORIA!B:B),"-")</f>
        <v>GST. COM SC</v>
      </c>
      <c r="C20" s="28" t="str">
        <f>IFERROR(_xlfn.XLOOKUP(E20,[1]EMPREENDIMENTO!C:C,[1]EMPREENDIMENTO!A:A),"-")</f>
        <v>SÃO JOSÉ</v>
      </c>
      <c r="D20" s="28" t="s">
        <v>29</v>
      </c>
      <c r="E20" s="28" t="s">
        <v>59</v>
      </c>
      <c r="F20" s="28" t="s">
        <v>31</v>
      </c>
      <c r="G20" s="28" t="s">
        <v>60</v>
      </c>
      <c r="H20" s="28">
        <v>18006</v>
      </c>
      <c r="I20" s="29">
        <f>IFERROR(_xlfn.XLOOKUP(E20,[1]EMPREENDIMENTO!C:C,[1]EMPREENDIMENTO!E:E),"0")</f>
        <v>500</v>
      </c>
      <c r="J20" s="30">
        <v>45625</v>
      </c>
      <c r="K20" s="28" t="s">
        <v>33</v>
      </c>
      <c r="L20" s="31">
        <v>44931</v>
      </c>
      <c r="M20" s="32">
        <v>107926300</v>
      </c>
      <c r="N20" s="32">
        <v>120426300</v>
      </c>
      <c r="O20" s="32">
        <v>116543700</v>
      </c>
      <c r="P20" s="28" t="s">
        <v>34</v>
      </c>
      <c r="Q20" s="28" t="s">
        <v>61</v>
      </c>
      <c r="R20" s="30">
        <v>44945</v>
      </c>
      <c r="S20" s="30">
        <v>44931</v>
      </c>
      <c r="T20" s="33"/>
      <c r="U20" s="34" t="str">
        <f>IFERROR(_xlfn.XLOOKUP(E20,[1]EMPREENDIMENTO!C:C,[1]EMPREENDIMENTO!D:D),"")</f>
        <v>5A6F8425-50B7-E811-9B22-80C16E075108</v>
      </c>
    </row>
    <row r="21" spans="1:21" hidden="1" x14ac:dyDescent="0.35">
      <c r="A21" s="28" t="str">
        <f>IFERROR(_xlfn.XLOOKUP(C21,[1]DIRETORIA!C:C,[1]DIRETORIA!A:A),"-")</f>
        <v>DIR. COM E CRED SUL</v>
      </c>
      <c r="B21" s="28" t="str">
        <f>IFERROR(_xlfn.XLOOKUP(C21,[1]DIRETORIA!C:C,[1]DIRETORIA!B:B),"-")</f>
        <v>GST. COM SC</v>
      </c>
      <c r="C21" s="28" t="str">
        <f>IFERROR(_xlfn.XLOOKUP(E21,[1]EMPREENDIMENTO!C:C,[1]EMPREENDIMENTO!A:A),"-")</f>
        <v>SÃO JOSÉ</v>
      </c>
      <c r="D21" s="28" t="s">
        <v>29</v>
      </c>
      <c r="E21" s="28" t="s">
        <v>59</v>
      </c>
      <c r="F21" s="28" t="s">
        <v>36</v>
      </c>
      <c r="G21" s="28" t="s">
        <v>62</v>
      </c>
      <c r="H21" s="28">
        <v>21816</v>
      </c>
      <c r="I21" s="29">
        <f>IFERROR(_xlfn.XLOOKUP(E21,[1]EMPREENDIMENTO!C:C,[1]EMPREENDIMENTO!E:E),"0")</f>
        <v>500</v>
      </c>
      <c r="J21" s="30">
        <v>45625</v>
      </c>
      <c r="K21" s="28" t="s">
        <v>33</v>
      </c>
      <c r="L21" s="31">
        <v>44931</v>
      </c>
      <c r="M21" s="32">
        <v>107926300</v>
      </c>
      <c r="N21" s="32">
        <v>120426300</v>
      </c>
      <c r="O21" s="32">
        <v>116543700</v>
      </c>
      <c r="P21" s="28" t="s">
        <v>34</v>
      </c>
      <c r="Q21" s="28" t="s">
        <v>61</v>
      </c>
      <c r="R21" s="30">
        <v>44945</v>
      </c>
      <c r="S21" s="30">
        <v>44931</v>
      </c>
      <c r="T21" s="33"/>
      <c r="U21" s="34" t="str">
        <f>IFERROR(_xlfn.XLOOKUP(E21,[1]EMPREENDIMENTO!C:C,[1]EMPREENDIMENTO!D:D),"")</f>
        <v>5A6F8425-50B7-E811-9B22-80C16E075108</v>
      </c>
    </row>
    <row r="22" spans="1:21" hidden="1" x14ac:dyDescent="0.35">
      <c r="A22" s="28" t="str">
        <f>IFERROR(_xlfn.XLOOKUP(C22,[1]DIRETORIA!C:C,[1]DIRETORIA!A:A),"-")</f>
        <v>DIR. COM E CRED SUL</v>
      </c>
      <c r="B22" s="28" t="str">
        <f>IFERROR(_xlfn.XLOOKUP(C22,[1]DIRETORIA!C:C,[1]DIRETORIA!B:B),"-")</f>
        <v>GST. COM SC</v>
      </c>
      <c r="C22" s="28" t="str">
        <f>IFERROR(_xlfn.XLOOKUP(E22,[1]EMPREENDIMENTO!C:C,[1]EMPREENDIMENTO!A:A),"-")</f>
        <v>SÃO JOSÉ</v>
      </c>
      <c r="D22" s="28" t="s">
        <v>29</v>
      </c>
      <c r="E22" s="28" t="s">
        <v>59</v>
      </c>
      <c r="F22" s="28" t="s">
        <v>39</v>
      </c>
      <c r="G22" s="28" t="s">
        <v>63</v>
      </c>
      <c r="H22" s="28">
        <v>21818</v>
      </c>
      <c r="I22" s="29">
        <f>IFERROR(_xlfn.XLOOKUP(E22,[1]EMPREENDIMENTO!C:C,[1]EMPREENDIMENTO!E:E),"0")</f>
        <v>500</v>
      </c>
      <c r="J22" s="30">
        <v>45625</v>
      </c>
      <c r="K22" s="28" t="s">
        <v>33</v>
      </c>
      <c r="L22" s="31">
        <v>44931</v>
      </c>
      <c r="M22" s="32">
        <v>107926300</v>
      </c>
      <c r="N22" s="32">
        <v>120426300</v>
      </c>
      <c r="O22" s="32">
        <v>116543700</v>
      </c>
      <c r="P22" s="28" t="s">
        <v>34</v>
      </c>
      <c r="Q22" s="28" t="s">
        <v>61</v>
      </c>
      <c r="R22" s="30">
        <v>44945</v>
      </c>
      <c r="S22" s="30">
        <v>44931</v>
      </c>
      <c r="T22" s="33"/>
      <c r="U22" s="34" t="str">
        <f>IFERROR(_xlfn.XLOOKUP(E22,[1]EMPREENDIMENTO!C:C,[1]EMPREENDIMENTO!D:D),"")</f>
        <v>5A6F8425-50B7-E811-9B22-80C16E075108</v>
      </c>
    </row>
    <row r="23" spans="1:21" hidden="1" x14ac:dyDescent="0.35">
      <c r="A23" s="28" t="str">
        <f>IFERROR(_xlfn.XLOOKUP(C23,[1]DIRETORIA!C:C,[1]DIRETORIA!A:A),"-")</f>
        <v>DIR. COM E CRED SUL</v>
      </c>
      <c r="B23" s="28" t="str">
        <f>IFERROR(_xlfn.XLOOKUP(C23,[1]DIRETORIA!C:C,[1]DIRETORIA!B:B),"-")</f>
        <v>GST. COM SC</v>
      </c>
      <c r="C23" s="28" t="str">
        <f>IFERROR(_xlfn.XLOOKUP(E23,[1]EMPREENDIMENTO!C:C,[1]EMPREENDIMENTO!A:A),"-")</f>
        <v>SÃO JOSÉ</v>
      </c>
      <c r="D23" s="28" t="s">
        <v>29</v>
      </c>
      <c r="E23" s="28" t="s">
        <v>59</v>
      </c>
      <c r="F23" s="28" t="s">
        <v>50</v>
      </c>
      <c r="G23" s="28" t="s">
        <v>64</v>
      </c>
      <c r="H23" s="28">
        <v>21820</v>
      </c>
      <c r="I23" s="29">
        <f>IFERROR(_xlfn.XLOOKUP(E23,[1]EMPREENDIMENTO!C:C,[1]EMPREENDIMENTO!E:E),"0")</f>
        <v>500</v>
      </c>
      <c r="J23" s="30">
        <v>45625</v>
      </c>
      <c r="K23" s="28" t="s">
        <v>33</v>
      </c>
      <c r="L23" s="31">
        <v>44931</v>
      </c>
      <c r="M23" s="32">
        <v>107926300</v>
      </c>
      <c r="N23" s="32">
        <v>120426300</v>
      </c>
      <c r="O23" s="32">
        <v>116543700</v>
      </c>
      <c r="P23" s="28" t="s">
        <v>34</v>
      </c>
      <c r="Q23" s="28" t="s">
        <v>61</v>
      </c>
      <c r="R23" s="30">
        <v>44945</v>
      </c>
      <c r="S23" s="30">
        <v>44931</v>
      </c>
      <c r="T23" s="33"/>
      <c r="U23" s="34" t="str">
        <f>IFERROR(_xlfn.XLOOKUP(E23,[1]EMPREENDIMENTO!C:C,[1]EMPREENDIMENTO!D:D),"")</f>
        <v>5A6F8425-50B7-E811-9B22-80C16E075108</v>
      </c>
    </row>
    <row r="24" spans="1:21" hidden="1" x14ac:dyDescent="0.35">
      <c r="A24" s="28" t="str">
        <f>IFERROR(_xlfn.XLOOKUP(C24,[1]DIRETORIA!C:C,[1]DIRETORIA!A:A),"-")</f>
        <v>DIR. COM E CRED SUL</v>
      </c>
      <c r="B24" s="28" t="str">
        <f>IFERROR(_xlfn.XLOOKUP(C24,[1]DIRETORIA!C:C,[1]DIRETORIA!B:B),"-")</f>
        <v>GST. COM LONDRINA</v>
      </c>
      <c r="C24" s="28" t="str">
        <f>IFERROR(_xlfn.XLOOKUP(E24,[1]EMPREENDIMENTO!C:C,[1]EMPREENDIMENTO!A:A),"-")</f>
        <v>MARINGÁ</v>
      </c>
      <c r="D24" s="28" t="s">
        <v>29</v>
      </c>
      <c r="E24" s="28" t="s">
        <v>65</v>
      </c>
      <c r="F24" s="28" t="s">
        <v>42</v>
      </c>
      <c r="G24" s="28" t="s">
        <v>66</v>
      </c>
      <c r="H24" s="28">
        <v>28295</v>
      </c>
      <c r="I24" s="29">
        <f>IFERROR(_xlfn.XLOOKUP(E24,[1]EMPREENDIMENTO!C:C,[1]EMPREENDIMENTO!E:E),"0")</f>
        <v>288</v>
      </c>
      <c r="J24" s="30">
        <v>45898</v>
      </c>
      <c r="K24" s="28" t="s">
        <v>33</v>
      </c>
      <c r="L24" s="31">
        <v>44976</v>
      </c>
      <c r="M24" s="32">
        <v>74558175</v>
      </c>
      <c r="N24" s="32">
        <v>82973993</v>
      </c>
      <c r="O24" s="32">
        <v>82226115</v>
      </c>
      <c r="P24" s="28" t="s">
        <v>34</v>
      </c>
      <c r="Q24" s="28" t="s">
        <v>67</v>
      </c>
      <c r="R24" s="30">
        <v>44979</v>
      </c>
      <c r="S24" s="30">
        <v>44979</v>
      </c>
      <c r="T24" s="33"/>
      <c r="U24" s="34" t="str">
        <f>IFERROR(_xlfn.XLOOKUP(E24,[1]EMPREENDIMENTO!C:C,[1]EMPREENDIMENTO!D:D),"")</f>
        <v>2f399c8e-c5bb-ea11-88c0-0050568aa20f</v>
      </c>
    </row>
    <row r="25" spans="1:21" hidden="1" x14ac:dyDescent="0.35">
      <c r="A25" s="28" t="str">
        <f>IFERROR(_xlfn.XLOOKUP(C25,[1]DIRETORIA!C:C,[1]DIRETORIA!A:A),"-")</f>
        <v>DIR. COM E CRED NE</v>
      </c>
      <c r="B25" s="28" t="str">
        <f>IFERROR(_xlfn.XLOOKUP(C25,[1]DIRETORIA!C:C,[1]DIRETORIA!B:B),"-")</f>
        <v>GST. COM NE 3 (SE+AL)</v>
      </c>
      <c r="C25" s="28" t="str">
        <f>IFERROR(_xlfn.XLOOKUP(E25,[1]EMPREENDIMENTO!C:C,[1]EMPREENDIMENTO!A:A),"-")</f>
        <v>ARACAJU</v>
      </c>
      <c r="D25" s="28" t="s">
        <v>29</v>
      </c>
      <c r="E25" s="28" t="s">
        <v>68</v>
      </c>
      <c r="F25" s="28" t="s">
        <v>31</v>
      </c>
      <c r="G25" s="28" t="s">
        <v>69</v>
      </c>
      <c r="H25" s="28">
        <v>20337</v>
      </c>
      <c r="I25" s="29">
        <f>IFERROR(_xlfn.XLOOKUP(E25,[1]EMPREENDIMENTO!C:C,[1]EMPREENDIMENTO!E:E),"0")</f>
        <v>404</v>
      </c>
      <c r="J25" s="30">
        <v>46418</v>
      </c>
      <c r="K25" s="28" t="s">
        <v>33</v>
      </c>
      <c r="L25" s="31">
        <v>45664</v>
      </c>
      <c r="M25" s="32">
        <v>79558611</v>
      </c>
      <c r="N25" s="32">
        <v>87745562</v>
      </c>
      <c r="O25" s="32">
        <v>80424700</v>
      </c>
      <c r="P25" s="28" t="s">
        <v>34</v>
      </c>
      <c r="Q25" s="28" t="s">
        <v>70</v>
      </c>
      <c r="R25" s="30">
        <v>45666</v>
      </c>
      <c r="S25" s="30">
        <v>45664</v>
      </c>
      <c r="T25" s="33"/>
      <c r="U25" s="34" t="str">
        <f>IFERROR(_xlfn.XLOOKUP(E25,[1]EMPREENDIMENTO!C:C,[1]EMPREENDIMENTO!D:D),"")</f>
        <v>1a30a729-8ced-e811-b773-80c16e075108</v>
      </c>
    </row>
    <row r="26" spans="1:21" hidden="1" x14ac:dyDescent="0.35">
      <c r="A26" s="28" t="str">
        <f>IFERROR(_xlfn.XLOOKUP(C26,[1]DIRETORIA!C:C,[1]DIRETORIA!A:A),"-")</f>
        <v>DIR. COM E CRED NE</v>
      </c>
      <c r="B26" s="28" t="str">
        <f>IFERROR(_xlfn.XLOOKUP(C26,[1]DIRETORIA!C:C,[1]DIRETORIA!B:B),"-")</f>
        <v>GST. COM NE 3 (SE+AL)</v>
      </c>
      <c r="C26" s="28" t="str">
        <f>IFERROR(_xlfn.XLOOKUP(E26,[1]EMPREENDIMENTO!C:C,[1]EMPREENDIMENTO!A:A),"-")</f>
        <v>ARACAJU</v>
      </c>
      <c r="D26" s="28" t="s">
        <v>29</v>
      </c>
      <c r="E26" s="28" t="s">
        <v>68</v>
      </c>
      <c r="F26" s="28" t="s">
        <v>36</v>
      </c>
      <c r="G26" s="28" t="s">
        <v>71</v>
      </c>
      <c r="H26" s="28">
        <v>22236</v>
      </c>
      <c r="I26" s="29">
        <f>IFERROR(_xlfn.XLOOKUP(E26,[1]EMPREENDIMENTO!C:C,[1]EMPREENDIMENTO!E:E),"0")</f>
        <v>404</v>
      </c>
      <c r="J26" s="30">
        <v>46418</v>
      </c>
      <c r="K26" s="28" t="s">
        <v>33</v>
      </c>
      <c r="L26" s="31">
        <v>45664</v>
      </c>
      <c r="M26" s="32">
        <v>79558611</v>
      </c>
      <c r="N26" s="32">
        <v>87745562</v>
      </c>
      <c r="O26" s="32">
        <v>80424700</v>
      </c>
      <c r="P26" s="28" t="s">
        <v>34</v>
      </c>
      <c r="Q26" s="28" t="s">
        <v>70</v>
      </c>
      <c r="R26" s="30">
        <v>45666</v>
      </c>
      <c r="S26" s="30">
        <v>45664</v>
      </c>
      <c r="T26" s="33"/>
      <c r="U26" s="34" t="str">
        <f>IFERROR(_xlfn.XLOOKUP(E26,[1]EMPREENDIMENTO!C:C,[1]EMPREENDIMENTO!D:D),"")</f>
        <v>1a30a729-8ced-e811-b773-80c16e075108</v>
      </c>
    </row>
    <row r="27" spans="1:21" hidden="1" x14ac:dyDescent="0.35">
      <c r="A27" s="28" t="str">
        <f>IFERROR(_xlfn.XLOOKUP(C27,[1]DIRETORIA!C:C,[1]DIRETORIA!A:A),"-")</f>
        <v>DIR. COM E CRED NE</v>
      </c>
      <c r="B27" s="28" t="str">
        <f>IFERROR(_xlfn.XLOOKUP(C27,[1]DIRETORIA!C:C,[1]DIRETORIA!B:B),"-")</f>
        <v>GST. COM NE 3 (SE+AL)</v>
      </c>
      <c r="C27" s="28" t="str">
        <f>IFERROR(_xlfn.XLOOKUP(E27,[1]EMPREENDIMENTO!C:C,[1]EMPREENDIMENTO!A:A),"-")</f>
        <v>ARACAJU</v>
      </c>
      <c r="D27" s="28" t="s">
        <v>29</v>
      </c>
      <c r="E27" s="28" t="s">
        <v>68</v>
      </c>
      <c r="F27" s="28" t="s">
        <v>39</v>
      </c>
      <c r="G27" s="28" t="s">
        <v>72</v>
      </c>
      <c r="H27" s="28">
        <v>22242</v>
      </c>
      <c r="I27" s="29">
        <f>IFERROR(_xlfn.XLOOKUP(E27,[1]EMPREENDIMENTO!C:C,[1]EMPREENDIMENTO!E:E),"0")</f>
        <v>404</v>
      </c>
      <c r="J27" s="30">
        <v>46418</v>
      </c>
      <c r="K27" s="28" t="s">
        <v>33</v>
      </c>
      <c r="L27" s="31">
        <v>45664</v>
      </c>
      <c r="M27" s="32">
        <v>79558611</v>
      </c>
      <c r="N27" s="32">
        <v>87745562</v>
      </c>
      <c r="O27" s="32">
        <v>80424700</v>
      </c>
      <c r="P27" s="28" t="s">
        <v>34</v>
      </c>
      <c r="Q27" s="28" t="s">
        <v>70</v>
      </c>
      <c r="R27" s="30">
        <v>45666</v>
      </c>
      <c r="S27" s="30">
        <v>45664</v>
      </c>
      <c r="T27" s="33"/>
      <c r="U27" s="34" t="str">
        <f>IFERROR(_xlfn.XLOOKUP(E27,[1]EMPREENDIMENTO!C:C,[1]EMPREENDIMENTO!D:D),"")</f>
        <v>1a30a729-8ced-e811-b773-80c16e075108</v>
      </c>
    </row>
    <row r="28" spans="1:21" hidden="1" x14ac:dyDescent="0.35">
      <c r="A28" s="28" t="str">
        <f>IFERROR(_xlfn.XLOOKUP(C28,[1]DIRETORIA!C:C,[1]DIRETORIA!A:A),"-")</f>
        <v>DIR. COM E CRED NE</v>
      </c>
      <c r="B28" s="28" t="str">
        <f>IFERROR(_xlfn.XLOOKUP(C28,[1]DIRETORIA!C:C,[1]DIRETORIA!B:B),"-")</f>
        <v>GST. COM NE 3 (SE+AL)</v>
      </c>
      <c r="C28" s="28" t="str">
        <f>IFERROR(_xlfn.XLOOKUP(E28,[1]EMPREENDIMENTO!C:C,[1]EMPREENDIMENTO!A:A),"-")</f>
        <v>ARACAJU</v>
      </c>
      <c r="D28" s="28" t="s">
        <v>29</v>
      </c>
      <c r="E28" s="28" t="s">
        <v>68</v>
      </c>
      <c r="F28" s="28" t="s">
        <v>50</v>
      </c>
      <c r="G28" s="28" t="s">
        <v>73</v>
      </c>
      <c r="H28" s="28">
        <v>22243</v>
      </c>
      <c r="I28" s="29">
        <f>IFERROR(_xlfn.XLOOKUP(E28,[1]EMPREENDIMENTO!C:C,[1]EMPREENDIMENTO!E:E),"0")</f>
        <v>404</v>
      </c>
      <c r="J28" s="30">
        <v>46418</v>
      </c>
      <c r="K28" s="28" t="s">
        <v>33</v>
      </c>
      <c r="L28" s="31">
        <v>45664</v>
      </c>
      <c r="M28" s="32">
        <v>79558611</v>
      </c>
      <c r="N28" s="32">
        <v>87745562</v>
      </c>
      <c r="O28" s="32">
        <v>80424700</v>
      </c>
      <c r="P28" s="28" t="s">
        <v>34</v>
      </c>
      <c r="Q28" s="28" t="s">
        <v>70</v>
      </c>
      <c r="R28" s="30">
        <v>45666</v>
      </c>
      <c r="S28" s="30">
        <v>45664</v>
      </c>
      <c r="T28" s="33"/>
      <c r="U28" s="34" t="str">
        <f>IFERROR(_xlfn.XLOOKUP(E28,[1]EMPREENDIMENTO!C:C,[1]EMPREENDIMENTO!D:D),"")</f>
        <v>1a30a729-8ced-e811-b773-80c16e075108</v>
      </c>
    </row>
    <row r="29" spans="1:21" hidden="1" x14ac:dyDescent="0.35">
      <c r="A29" s="28" t="str">
        <f>IFERROR(_xlfn.XLOOKUP(C29,[1]DIRETORIA!C:C,[1]DIRETORIA!A:A),"-")</f>
        <v>DIR. COM E CRED SUL</v>
      </c>
      <c r="B29" s="28" t="str">
        <f>IFERROR(_xlfn.XLOOKUP(C29,[1]DIRETORIA!C:C,[1]DIRETORIA!B:B),"-")</f>
        <v>GST. COM RS NORTE</v>
      </c>
      <c r="C29" s="28" t="str">
        <f>IFERROR(_xlfn.XLOOKUP(E29,[1]EMPREENDIMENTO!C:C,[1]EMPREENDIMENTO!A:A),"-")</f>
        <v>CAXIAS DO SUL</v>
      </c>
      <c r="D29" s="28" t="s">
        <v>29</v>
      </c>
      <c r="E29" s="28" t="s">
        <v>74</v>
      </c>
      <c r="F29" s="28" t="s">
        <v>31</v>
      </c>
      <c r="G29" s="28" t="s">
        <v>75</v>
      </c>
      <c r="H29" s="28">
        <v>5626</v>
      </c>
      <c r="I29" s="29">
        <f>IFERROR(_xlfn.XLOOKUP(E29,[1]EMPREENDIMENTO!C:C,[1]EMPREENDIMENTO!E:E),"0")</f>
        <v>400</v>
      </c>
      <c r="J29" s="30">
        <v>45625</v>
      </c>
      <c r="K29" s="28" t="s">
        <v>33</v>
      </c>
      <c r="L29" s="31">
        <v>45821</v>
      </c>
      <c r="M29" s="32">
        <v>87560000</v>
      </c>
      <c r="N29" s="32">
        <v>93900000</v>
      </c>
      <c r="O29" s="32">
        <v>93900000</v>
      </c>
      <c r="P29" s="28" t="s">
        <v>34</v>
      </c>
      <c r="Q29" s="28" t="s">
        <v>76</v>
      </c>
      <c r="R29" s="30">
        <v>45838</v>
      </c>
      <c r="S29" s="30">
        <v>45821</v>
      </c>
      <c r="T29" s="33"/>
      <c r="U29" s="34" t="str">
        <f>IFERROR(_xlfn.XLOOKUP(E29,[1]EMPREENDIMENTO!C:C,[1]EMPREENDIMENTO!D:D),"")</f>
        <v>f7df71c2-8b37-e511-a6cc-009c02b0cb58</v>
      </c>
    </row>
    <row r="30" spans="1:21" hidden="1" x14ac:dyDescent="0.35">
      <c r="A30" s="28" t="str">
        <f>IFERROR(_xlfn.XLOOKUP(C30,[1]DIRETORIA!C:C,[1]DIRETORIA!A:A),"-")</f>
        <v>DIR. COM E CRED SUL</v>
      </c>
      <c r="B30" s="28" t="str">
        <f>IFERROR(_xlfn.XLOOKUP(C30,[1]DIRETORIA!C:C,[1]DIRETORIA!B:B),"-")</f>
        <v>GST. COM RS NORTE</v>
      </c>
      <c r="C30" s="28" t="str">
        <f>IFERROR(_xlfn.XLOOKUP(E30,[1]EMPREENDIMENTO!C:C,[1]EMPREENDIMENTO!A:A),"-")</f>
        <v>CAXIAS DO SUL</v>
      </c>
      <c r="D30" s="28" t="s">
        <v>29</v>
      </c>
      <c r="E30" s="28" t="s">
        <v>74</v>
      </c>
      <c r="F30" s="28" t="s">
        <v>36</v>
      </c>
      <c r="G30" s="28" t="s">
        <v>77</v>
      </c>
      <c r="H30" s="28">
        <v>5627</v>
      </c>
      <c r="I30" s="29">
        <f>IFERROR(_xlfn.XLOOKUP(E30,[1]EMPREENDIMENTO!C:C,[1]EMPREENDIMENTO!E:E),"0")</f>
        <v>400</v>
      </c>
      <c r="J30" s="30">
        <v>45625</v>
      </c>
      <c r="K30" s="28" t="s">
        <v>33</v>
      </c>
      <c r="L30" s="31">
        <v>45821</v>
      </c>
      <c r="M30" s="32">
        <v>87560000</v>
      </c>
      <c r="N30" s="32">
        <v>93900000</v>
      </c>
      <c r="O30" s="32">
        <v>93900000</v>
      </c>
      <c r="P30" s="28" t="s">
        <v>34</v>
      </c>
      <c r="Q30" s="28" t="s">
        <v>76</v>
      </c>
      <c r="R30" s="30">
        <v>45838</v>
      </c>
      <c r="S30" s="30">
        <v>45821</v>
      </c>
      <c r="T30" s="33"/>
      <c r="U30" s="34" t="str">
        <f>IFERROR(_xlfn.XLOOKUP(E30,[1]EMPREENDIMENTO!C:C,[1]EMPREENDIMENTO!D:D),"")</f>
        <v>f7df71c2-8b37-e511-a6cc-009c02b0cb58</v>
      </c>
    </row>
    <row r="31" spans="1:21" hidden="1" x14ac:dyDescent="0.35">
      <c r="A31" s="28" t="str">
        <f>IFERROR(_xlfn.XLOOKUP(C31,[1]DIRETORIA!C:C,[1]DIRETORIA!A:A),"-")</f>
        <v>DIR. COM E CRED SUL</v>
      </c>
      <c r="B31" s="28" t="str">
        <f>IFERROR(_xlfn.XLOOKUP(C31,[1]DIRETORIA!C:C,[1]DIRETORIA!B:B),"-")</f>
        <v>GST. COM RS NORTE</v>
      </c>
      <c r="C31" s="28" t="str">
        <f>IFERROR(_xlfn.XLOOKUP(E31,[1]EMPREENDIMENTO!C:C,[1]EMPREENDIMENTO!A:A),"-")</f>
        <v>CAXIAS DO SUL</v>
      </c>
      <c r="D31" s="28" t="s">
        <v>29</v>
      </c>
      <c r="E31" s="28" t="s">
        <v>74</v>
      </c>
      <c r="F31" s="28" t="s">
        <v>39</v>
      </c>
      <c r="G31" s="28" t="s">
        <v>78</v>
      </c>
      <c r="H31" s="28">
        <v>5628</v>
      </c>
      <c r="I31" s="29">
        <f>IFERROR(_xlfn.XLOOKUP(E31,[1]EMPREENDIMENTO!C:C,[1]EMPREENDIMENTO!E:E),"0")</f>
        <v>400</v>
      </c>
      <c r="J31" s="30">
        <v>45625</v>
      </c>
      <c r="K31" s="28" t="s">
        <v>33</v>
      </c>
      <c r="L31" s="31">
        <v>45821</v>
      </c>
      <c r="M31" s="32">
        <v>87560000</v>
      </c>
      <c r="N31" s="32">
        <v>93900000</v>
      </c>
      <c r="O31" s="32">
        <v>93900000</v>
      </c>
      <c r="P31" s="28" t="s">
        <v>34</v>
      </c>
      <c r="Q31" s="28" t="s">
        <v>76</v>
      </c>
      <c r="R31" s="30">
        <v>45838</v>
      </c>
      <c r="S31" s="30">
        <v>45821</v>
      </c>
      <c r="T31" s="33"/>
      <c r="U31" s="34" t="str">
        <f>IFERROR(_xlfn.XLOOKUP(E31,[1]EMPREENDIMENTO!C:C,[1]EMPREENDIMENTO!D:D),"")</f>
        <v>f7df71c2-8b37-e511-a6cc-009c02b0cb58</v>
      </c>
    </row>
    <row r="32" spans="1:21" hidden="1" x14ac:dyDescent="0.35">
      <c r="A32" s="28" t="str">
        <f>IFERROR(_xlfn.XLOOKUP(C32,[1]DIRETORIA!C:C,[1]DIRETORIA!A:A),"-")</f>
        <v>DIR. COM E CRED MG E ES</v>
      </c>
      <c r="B32" s="28" t="str">
        <f>IFERROR(_xlfn.XLOOKUP(C32,[1]DIRETORIA!C:C,[1]DIRETORIA!B:B),"-")</f>
        <v>GST. COM TM</v>
      </c>
      <c r="C32" s="28" t="str">
        <f>IFERROR(_xlfn.XLOOKUP(E32,[1]EMPREENDIMENTO!C:C,[1]EMPREENDIMENTO!A:A),"-")</f>
        <v>UBERLÂNDIA</v>
      </c>
      <c r="D32" s="28" t="s">
        <v>29</v>
      </c>
      <c r="E32" s="28" t="s">
        <v>79</v>
      </c>
      <c r="F32" s="28" t="s">
        <v>31</v>
      </c>
      <c r="G32" s="28" t="s">
        <v>80</v>
      </c>
      <c r="H32" s="28">
        <v>22064</v>
      </c>
      <c r="I32" s="29">
        <f>IFERROR(_xlfn.XLOOKUP(E32,[1]EMPREENDIMENTO!C:C,[1]EMPREENDIMENTO!E:E),"0")</f>
        <v>480</v>
      </c>
      <c r="J32" s="30">
        <v>46339</v>
      </c>
      <c r="K32" s="28" t="s">
        <v>33</v>
      </c>
      <c r="L32" s="31">
        <v>46128</v>
      </c>
      <c r="M32" s="32">
        <v>132191107</v>
      </c>
      <c r="N32" s="32">
        <v>144623056</v>
      </c>
      <c r="O32" s="32">
        <v>134960500</v>
      </c>
      <c r="P32" s="28" t="s">
        <v>81</v>
      </c>
      <c r="Q32" s="28" t="s">
        <v>82</v>
      </c>
      <c r="R32" s="30">
        <v>46129</v>
      </c>
      <c r="S32" s="30">
        <v>46128</v>
      </c>
      <c r="T32" s="33"/>
      <c r="U32" s="34" t="str">
        <f>IFERROR(_xlfn.XLOOKUP(E32,[1]EMPREENDIMENTO!C:C,[1]EMPREENDIMENTO!D:D),"")</f>
        <v>914a465e-e6ea-e511-a5bb-009c02b0cb58</v>
      </c>
    </row>
    <row r="33" spans="1:21" hidden="1" x14ac:dyDescent="0.35">
      <c r="A33" s="28" t="str">
        <f>IFERROR(_xlfn.XLOOKUP(C33,[1]DIRETORIA!C:C,[1]DIRETORIA!A:A),"-")</f>
        <v>DIR. COM E CRED MG E ES</v>
      </c>
      <c r="B33" s="28" t="str">
        <f>IFERROR(_xlfn.XLOOKUP(C33,[1]DIRETORIA!C:C,[1]DIRETORIA!B:B),"-")</f>
        <v>GST. COM TM</v>
      </c>
      <c r="C33" s="28" t="str">
        <f>IFERROR(_xlfn.XLOOKUP(E33,[1]EMPREENDIMENTO!C:C,[1]EMPREENDIMENTO!A:A),"-")</f>
        <v>UBERLÂNDIA</v>
      </c>
      <c r="D33" s="28" t="s">
        <v>29</v>
      </c>
      <c r="E33" s="28" t="s">
        <v>79</v>
      </c>
      <c r="F33" s="28" t="s">
        <v>36</v>
      </c>
      <c r="G33" s="28" t="s">
        <v>83</v>
      </c>
      <c r="H33" s="28">
        <v>31055</v>
      </c>
      <c r="I33" s="29">
        <f>IFERROR(_xlfn.XLOOKUP(E33,[1]EMPREENDIMENTO!C:C,[1]EMPREENDIMENTO!E:E),"0")</f>
        <v>480</v>
      </c>
      <c r="J33" s="30">
        <v>46339</v>
      </c>
      <c r="K33" s="28" t="s">
        <v>33</v>
      </c>
      <c r="L33" s="31">
        <v>46128</v>
      </c>
      <c r="M33" s="32">
        <v>132191107</v>
      </c>
      <c r="N33" s="32">
        <v>144623056</v>
      </c>
      <c r="O33" s="32">
        <v>134960500</v>
      </c>
      <c r="P33" s="28" t="s">
        <v>81</v>
      </c>
      <c r="Q33" s="28" t="s">
        <v>82</v>
      </c>
      <c r="R33" s="30">
        <v>46129</v>
      </c>
      <c r="S33" s="30">
        <v>46128</v>
      </c>
      <c r="T33" s="33"/>
      <c r="U33" s="34" t="str">
        <f>IFERROR(_xlfn.XLOOKUP(E33,[1]EMPREENDIMENTO!C:C,[1]EMPREENDIMENTO!D:D),"")</f>
        <v>914a465e-e6ea-e511-a5bb-009c02b0cb58</v>
      </c>
    </row>
    <row r="34" spans="1:21" hidden="1" x14ac:dyDescent="0.35">
      <c r="A34" s="28" t="str">
        <f>IFERROR(_xlfn.XLOOKUP(C34,[1]DIRETORIA!C:C,[1]DIRETORIA!A:A),"-")</f>
        <v>DIR. COM E CRED MG E ES</v>
      </c>
      <c r="B34" s="28" t="str">
        <f>IFERROR(_xlfn.XLOOKUP(C34,[1]DIRETORIA!C:C,[1]DIRETORIA!B:B),"-")</f>
        <v>GST. COM TM</v>
      </c>
      <c r="C34" s="28" t="str">
        <f>IFERROR(_xlfn.XLOOKUP(E34,[1]EMPREENDIMENTO!C:C,[1]EMPREENDIMENTO!A:A),"-")</f>
        <v>UBERLÂNDIA</v>
      </c>
      <c r="D34" s="28" t="s">
        <v>29</v>
      </c>
      <c r="E34" s="28" t="s">
        <v>79</v>
      </c>
      <c r="F34" s="28" t="s">
        <v>39</v>
      </c>
      <c r="G34" s="28" t="s">
        <v>84</v>
      </c>
      <c r="H34" s="28">
        <v>31053</v>
      </c>
      <c r="I34" s="29">
        <f>IFERROR(_xlfn.XLOOKUP(E34,[1]EMPREENDIMENTO!C:C,[1]EMPREENDIMENTO!E:E),"0")</f>
        <v>480</v>
      </c>
      <c r="J34" s="30">
        <v>46339</v>
      </c>
      <c r="K34" s="28" t="s">
        <v>33</v>
      </c>
      <c r="L34" s="31">
        <v>46128</v>
      </c>
      <c r="M34" s="32">
        <v>132191107</v>
      </c>
      <c r="N34" s="32">
        <v>144623056</v>
      </c>
      <c r="O34" s="32">
        <v>134960500</v>
      </c>
      <c r="P34" s="28" t="s">
        <v>81</v>
      </c>
      <c r="Q34" s="28" t="s">
        <v>82</v>
      </c>
      <c r="R34" s="30">
        <v>46129</v>
      </c>
      <c r="S34" s="30">
        <v>46128</v>
      </c>
      <c r="T34" s="33"/>
      <c r="U34" s="34" t="str">
        <f>IFERROR(_xlfn.XLOOKUP(E34,[1]EMPREENDIMENTO!C:C,[1]EMPREENDIMENTO!D:D),"")</f>
        <v>914a465e-e6ea-e511-a5bb-009c02b0cb58</v>
      </c>
    </row>
    <row r="35" spans="1:21" hidden="1" x14ac:dyDescent="0.35">
      <c r="A35" s="28" t="str">
        <f>IFERROR(_xlfn.XLOOKUP(C35,[1]DIRETORIA!C:C,[1]DIRETORIA!A:A),"-")</f>
        <v>DIR. COM E CRED MG E ES</v>
      </c>
      <c r="B35" s="28" t="str">
        <f>IFERROR(_xlfn.XLOOKUP(C35,[1]DIRETORIA!C:C,[1]DIRETORIA!B:B),"-")</f>
        <v>GST. COM TM</v>
      </c>
      <c r="C35" s="28" t="str">
        <f>IFERROR(_xlfn.XLOOKUP(E35,[1]EMPREENDIMENTO!C:C,[1]EMPREENDIMENTO!A:A),"-")</f>
        <v>UBERLÂNDIA</v>
      </c>
      <c r="D35" s="28" t="s">
        <v>85</v>
      </c>
      <c r="E35" s="28" t="s">
        <v>79</v>
      </c>
      <c r="F35" s="28" t="s">
        <v>50</v>
      </c>
      <c r="G35" s="28" t="s">
        <v>86</v>
      </c>
      <c r="H35" s="28">
        <v>31050</v>
      </c>
      <c r="I35" s="29">
        <f>IFERROR(_xlfn.XLOOKUP(E35,[1]EMPREENDIMENTO!C:C,[1]EMPREENDIMENTO!E:E),"0")</f>
        <v>480</v>
      </c>
      <c r="J35" s="30">
        <v>46339</v>
      </c>
      <c r="K35" s="28" t="s">
        <v>33</v>
      </c>
      <c r="L35" s="31">
        <v>46128</v>
      </c>
      <c r="M35" s="32">
        <v>132191107</v>
      </c>
      <c r="N35" s="32">
        <v>144623056</v>
      </c>
      <c r="O35" s="32">
        <v>134960500</v>
      </c>
      <c r="P35" s="28" t="s">
        <v>81</v>
      </c>
      <c r="Q35" s="28" t="s">
        <v>82</v>
      </c>
      <c r="R35" s="30">
        <v>46129</v>
      </c>
      <c r="S35" s="30">
        <v>46128</v>
      </c>
      <c r="T35" s="33"/>
      <c r="U35" s="34" t="str">
        <f>IFERROR(_xlfn.XLOOKUP(E35,[1]EMPREENDIMENTO!C:C,[1]EMPREENDIMENTO!D:D),"")</f>
        <v>914a465e-e6ea-e511-a5bb-009c02b0cb58</v>
      </c>
    </row>
    <row r="36" spans="1:21" hidden="1" x14ac:dyDescent="0.35">
      <c r="A36" s="28" t="str">
        <f>IFERROR(_xlfn.XLOOKUP(C36,[1]DIRETORIA!C:C,[1]DIRETORIA!A:A),"-")</f>
        <v>DIR. COM E CRED SUL</v>
      </c>
      <c r="B36" s="28" t="str">
        <f>IFERROR(_xlfn.XLOOKUP(C36,[1]DIRETORIA!C:C,[1]DIRETORIA!B:B),"-")</f>
        <v>GST. COM RS SUL</v>
      </c>
      <c r="C36" s="28" t="str">
        <f>IFERROR(_xlfn.XLOOKUP(E36,[1]EMPREENDIMENTO!C:C,[1]EMPREENDIMENTO!A:A),"-")</f>
        <v>PORTO ALEGRE</v>
      </c>
      <c r="D36" s="28" t="s">
        <v>29</v>
      </c>
      <c r="E36" s="28" t="s">
        <v>87</v>
      </c>
      <c r="F36" s="28" t="s">
        <v>31</v>
      </c>
      <c r="G36" s="28" t="s">
        <v>88</v>
      </c>
      <c r="H36" s="28">
        <v>6435</v>
      </c>
      <c r="I36" s="29">
        <f>IFERROR(_xlfn.XLOOKUP(E36,[1]EMPREENDIMENTO!C:C,[1]EMPREENDIMENTO!E:E),"0")</f>
        <v>240</v>
      </c>
      <c r="J36" s="30">
        <v>46486</v>
      </c>
      <c r="K36" s="28" t="s">
        <v>33</v>
      </c>
      <c r="L36" s="31">
        <v>45700</v>
      </c>
      <c r="M36" s="32">
        <v>62288000</v>
      </c>
      <c r="N36" s="32">
        <v>65864000</v>
      </c>
      <c r="O36" s="32">
        <v>65864000</v>
      </c>
      <c r="P36" s="28" t="s">
        <v>34</v>
      </c>
      <c r="Q36" s="28" t="s">
        <v>89</v>
      </c>
      <c r="R36" s="30">
        <v>45698</v>
      </c>
      <c r="S36" s="30">
        <v>45699</v>
      </c>
      <c r="T36" s="33"/>
      <c r="U36" s="34" t="str">
        <f>IFERROR(_xlfn.XLOOKUP(E36,[1]EMPREENDIMENTO!C:C,[1]EMPREENDIMENTO!D:D),"")</f>
        <v>fa7ff5f3-8243-e611-a5bb-009c02b0cb58</v>
      </c>
    </row>
    <row r="37" spans="1:21" hidden="1" x14ac:dyDescent="0.35">
      <c r="A37" s="28" t="str">
        <f>IFERROR(_xlfn.XLOOKUP(C37,[1]DIRETORIA!C:C,[1]DIRETORIA!A:A),"-")</f>
        <v>DIR. COM E CRED SUL</v>
      </c>
      <c r="B37" s="28" t="str">
        <f>IFERROR(_xlfn.XLOOKUP(C37,[1]DIRETORIA!C:C,[1]DIRETORIA!B:B),"-")</f>
        <v>GST. COM RS SUL</v>
      </c>
      <c r="C37" s="28" t="str">
        <f>IFERROR(_xlfn.XLOOKUP(E37,[1]EMPREENDIMENTO!C:C,[1]EMPREENDIMENTO!A:A),"-")</f>
        <v>PORTO ALEGRE</v>
      </c>
      <c r="D37" s="28" t="s">
        <v>29</v>
      </c>
      <c r="E37" s="28" t="s">
        <v>87</v>
      </c>
      <c r="F37" s="28" t="s">
        <v>36</v>
      </c>
      <c r="G37" s="28" t="s">
        <v>90</v>
      </c>
      <c r="H37" s="28">
        <v>19838</v>
      </c>
      <c r="I37" s="29">
        <f>IFERROR(_xlfn.XLOOKUP(E37,[1]EMPREENDIMENTO!C:C,[1]EMPREENDIMENTO!E:E),"0")</f>
        <v>240</v>
      </c>
      <c r="J37" s="30">
        <v>46486</v>
      </c>
      <c r="K37" s="28" t="s">
        <v>33</v>
      </c>
      <c r="L37" s="31">
        <v>45699</v>
      </c>
      <c r="M37" s="32">
        <v>62288000</v>
      </c>
      <c r="N37" s="32">
        <v>71220000</v>
      </c>
      <c r="O37" s="32">
        <v>71220000</v>
      </c>
      <c r="P37" s="28" t="s">
        <v>34</v>
      </c>
      <c r="Q37" s="28" t="s">
        <v>89</v>
      </c>
      <c r="R37" s="30">
        <v>45698</v>
      </c>
      <c r="S37" s="30">
        <v>45700</v>
      </c>
      <c r="T37" s="33"/>
      <c r="U37" s="34" t="str">
        <f>IFERROR(_xlfn.XLOOKUP(E37,[1]EMPREENDIMENTO!C:C,[1]EMPREENDIMENTO!D:D),"")</f>
        <v>fa7ff5f3-8243-e611-a5bb-009c02b0cb58</v>
      </c>
    </row>
    <row r="38" spans="1:21" hidden="1" x14ac:dyDescent="0.35">
      <c r="A38" s="28" t="str">
        <f>IFERROR(_xlfn.XLOOKUP(C38,[1]DIRETORIA!C:C,[1]DIRETORIA!A:A),"-")</f>
        <v>DIR. COM E CRED SUL</v>
      </c>
      <c r="B38" s="28" t="str">
        <f>IFERROR(_xlfn.XLOOKUP(C38,[1]DIRETORIA!C:C,[1]DIRETORIA!B:B),"-")</f>
        <v>GST. COM RS SUL</v>
      </c>
      <c r="C38" s="28" t="str">
        <f>IFERROR(_xlfn.XLOOKUP(E38,[1]EMPREENDIMENTO!C:C,[1]EMPREENDIMENTO!A:A),"-")</f>
        <v>PORTO ALEGRE</v>
      </c>
      <c r="D38" s="28" t="s">
        <v>29</v>
      </c>
      <c r="E38" s="28" t="s">
        <v>91</v>
      </c>
      <c r="F38" s="28" t="s">
        <v>42</v>
      </c>
      <c r="G38" s="28" t="s">
        <v>92</v>
      </c>
      <c r="H38" s="28">
        <v>15366</v>
      </c>
      <c r="I38" s="29">
        <f>IFERROR(_xlfn.XLOOKUP(E38,[1]EMPREENDIMENTO!C:C,[1]EMPREENDIMENTO!E:E),"0")</f>
        <v>160</v>
      </c>
      <c r="J38" s="30">
        <v>45807</v>
      </c>
      <c r="K38" s="28" t="s">
        <v>33</v>
      </c>
      <c r="L38" s="31">
        <v>45874</v>
      </c>
      <c r="M38" s="32">
        <v>67271000</v>
      </c>
      <c r="N38" s="32">
        <v>73998100</v>
      </c>
      <c r="O38" s="32">
        <v>73944300</v>
      </c>
      <c r="P38" s="28" t="s">
        <v>34</v>
      </c>
      <c r="Q38" s="28" t="s">
        <v>93</v>
      </c>
      <c r="R38" s="30">
        <v>45885</v>
      </c>
      <c r="S38" s="30">
        <v>45874</v>
      </c>
      <c r="T38" s="33"/>
      <c r="U38" s="34" t="str">
        <f>IFERROR(_xlfn.XLOOKUP(E38,[1]EMPREENDIMENTO!C:C,[1]EMPREENDIMENTO!D:D),"")</f>
        <v>08e143cf-3e65-e611-b1e9-009c02b0cb58</v>
      </c>
    </row>
    <row r="39" spans="1:21" hidden="1" x14ac:dyDescent="0.35">
      <c r="A39" s="28" t="str">
        <f>IFERROR(_xlfn.XLOOKUP(C39,[1]DIRETORIA!C:C,[1]DIRETORIA!A:A),"-")</f>
        <v>DIR. COM E CRED NE</v>
      </c>
      <c r="B39" s="28" t="str">
        <f>IFERROR(_xlfn.XLOOKUP(C39,[1]DIRETORIA!C:C,[1]DIRETORIA!B:B),"-")</f>
        <v>GST. COM NE4 (CE)</v>
      </c>
      <c r="C39" s="28" t="str">
        <f>IFERROR(_xlfn.XLOOKUP(E39,[1]EMPREENDIMENTO!C:C,[1]EMPREENDIMENTO!A:A),"-")</f>
        <v>FORTALEZA</v>
      </c>
      <c r="D39" s="28" t="s">
        <v>29</v>
      </c>
      <c r="E39" s="28" t="s">
        <v>94</v>
      </c>
      <c r="F39" s="28" t="s">
        <v>31</v>
      </c>
      <c r="G39" s="28" t="s">
        <v>95</v>
      </c>
      <c r="H39" s="28">
        <v>25968</v>
      </c>
      <c r="I39" s="29">
        <f>IFERROR(_xlfn.XLOOKUP(E39,[1]EMPREENDIMENTO!C:C,[1]EMPREENDIMENTO!E:E),"0")</f>
        <v>272</v>
      </c>
      <c r="J39" s="30">
        <v>46502</v>
      </c>
      <c r="K39" s="28" t="s">
        <v>33</v>
      </c>
      <c r="L39" s="31">
        <v>46148</v>
      </c>
      <c r="M39" s="32">
        <v>86725216</v>
      </c>
      <c r="N39" s="32">
        <v>93169248</v>
      </c>
      <c r="O39" s="32">
        <v>92770524</v>
      </c>
      <c r="P39" s="28" t="s">
        <v>34</v>
      </c>
      <c r="Q39" s="28" t="s">
        <v>96</v>
      </c>
      <c r="R39" s="30">
        <v>46148</v>
      </c>
      <c r="S39" s="30">
        <v>46149</v>
      </c>
      <c r="T39" s="33"/>
      <c r="U39" s="34" t="str">
        <f>IFERROR(_xlfn.XLOOKUP(E39,[1]EMPREENDIMENTO!C:C,[1]EMPREENDIMENTO!D:D),"")</f>
        <v>52128ea1-4747-ea11-801d-005056856875</v>
      </c>
    </row>
    <row r="40" spans="1:21" hidden="1" x14ac:dyDescent="0.35">
      <c r="A40" s="28" t="str">
        <f>IFERROR(_xlfn.XLOOKUP(C40,[1]DIRETORIA!C:C,[1]DIRETORIA!A:A),"-")</f>
        <v>DIR. COM E CRED NE</v>
      </c>
      <c r="B40" s="28" t="str">
        <f>IFERROR(_xlfn.XLOOKUP(C40,[1]DIRETORIA!C:C,[1]DIRETORIA!B:B),"-")</f>
        <v>GST. COM NE4 (CE)</v>
      </c>
      <c r="C40" s="28" t="str">
        <f>IFERROR(_xlfn.XLOOKUP(E40,[1]EMPREENDIMENTO!C:C,[1]EMPREENDIMENTO!A:A),"-")</f>
        <v>FORTALEZA</v>
      </c>
      <c r="D40" s="28" t="s">
        <v>29</v>
      </c>
      <c r="E40" s="28" t="s">
        <v>94</v>
      </c>
      <c r="F40" s="28" t="s">
        <v>36</v>
      </c>
      <c r="G40" s="28" t="s">
        <v>97</v>
      </c>
      <c r="H40" s="28">
        <v>41660</v>
      </c>
      <c r="I40" s="29">
        <f>IFERROR(_xlfn.XLOOKUP(E40,[1]EMPREENDIMENTO!C:C,[1]EMPREENDIMENTO!E:E),"0")</f>
        <v>272</v>
      </c>
      <c r="J40" s="30">
        <v>46502</v>
      </c>
      <c r="K40" s="28" t="s">
        <v>33</v>
      </c>
      <c r="L40" s="31">
        <v>46148</v>
      </c>
      <c r="M40" s="32">
        <v>86725216</v>
      </c>
      <c r="N40" s="32">
        <v>93169248</v>
      </c>
      <c r="O40" s="32">
        <v>92770524</v>
      </c>
      <c r="P40" s="28" t="s">
        <v>34</v>
      </c>
      <c r="Q40" s="28" t="s">
        <v>96</v>
      </c>
      <c r="R40" s="30">
        <v>46148</v>
      </c>
      <c r="S40" s="30">
        <v>46149</v>
      </c>
      <c r="T40" s="33"/>
      <c r="U40" s="34" t="str">
        <f>IFERROR(_xlfn.XLOOKUP(E40,[1]EMPREENDIMENTO!C:C,[1]EMPREENDIMENTO!D:D),"")</f>
        <v>52128ea1-4747-ea11-801d-005056856875</v>
      </c>
    </row>
    <row r="41" spans="1:21" hidden="1" x14ac:dyDescent="0.35">
      <c r="A41" s="28" t="str">
        <f>IFERROR(_xlfn.XLOOKUP(C41,[1]DIRETORIA!C:C,[1]DIRETORIA!A:A),"-")</f>
        <v>DIR. COM E CRED SUL</v>
      </c>
      <c r="B41" s="28" t="str">
        <f>IFERROR(_xlfn.XLOOKUP(C41,[1]DIRETORIA!C:C,[1]DIRETORIA!B:B),"-")</f>
        <v>GST. COM CURITIBA</v>
      </c>
      <c r="C41" s="28" t="str">
        <f>IFERROR(_xlfn.XLOOKUP(E41,[1]EMPREENDIMENTO!C:C,[1]EMPREENDIMENTO!A:A),"-")</f>
        <v>CURITIBA</v>
      </c>
      <c r="D41" s="28" t="s">
        <v>29</v>
      </c>
      <c r="E41" s="28" t="s">
        <v>98</v>
      </c>
      <c r="F41" s="28" t="s">
        <v>31</v>
      </c>
      <c r="G41" s="28" t="s">
        <v>99</v>
      </c>
      <c r="H41" s="28">
        <v>30925</v>
      </c>
      <c r="I41" s="29">
        <f>IFERROR(_xlfn.XLOOKUP(E41,[1]EMPREENDIMENTO!C:C,[1]EMPREENDIMENTO!E:E),"0")</f>
        <v>408</v>
      </c>
      <c r="J41" s="30">
        <v>46375</v>
      </c>
      <c r="K41" s="28" t="s">
        <v>33</v>
      </c>
      <c r="L41" s="31">
        <v>45447</v>
      </c>
      <c r="M41" s="32">
        <v>125183490</v>
      </c>
      <c r="N41" s="32">
        <v>139699272.59999999</v>
      </c>
      <c r="O41" s="32">
        <v>139699272.59999999</v>
      </c>
      <c r="P41" s="28" t="s">
        <v>34</v>
      </c>
      <c r="Q41" s="28" t="s">
        <v>100</v>
      </c>
      <c r="R41" s="30">
        <v>45464</v>
      </c>
      <c r="S41" s="30">
        <v>45447</v>
      </c>
      <c r="T41" s="33"/>
      <c r="U41" s="34" t="str">
        <f>IFERROR(_xlfn.XLOOKUP(E41,[1]EMPREENDIMENTO!C:C,[1]EMPREENDIMENTO!D:D),"")</f>
        <v>5ea49046-247d-eb11-8864-0050568aa20f</v>
      </c>
    </row>
    <row r="42" spans="1:21" hidden="1" x14ac:dyDescent="0.35">
      <c r="A42" s="28" t="str">
        <f>IFERROR(_xlfn.XLOOKUP(C42,[1]DIRETORIA!C:C,[1]DIRETORIA!A:A),"-")</f>
        <v>DIR. COM E CRED SUL</v>
      </c>
      <c r="B42" s="28" t="str">
        <f>IFERROR(_xlfn.XLOOKUP(C42,[1]DIRETORIA!C:C,[1]DIRETORIA!B:B),"-")</f>
        <v>GST. COM CURITIBA</v>
      </c>
      <c r="C42" s="28" t="str">
        <f>IFERROR(_xlfn.XLOOKUP(E42,[1]EMPREENDIMENTO!C:C,[1]EMPREENDIMENTO!A:A),"-")</f>
        <v>CURITIBA</v>
      </c>
      <c r="D42" s="28" t="s">
        <v>29</v>
      </c>
      <c r="E42" s="28" t="s">
        <v>98</v>
      </c>
      <c r="F42" s="28" t="s">
        <v>36</v>
      </c>
      <c r="G42" s="28" t="s">
        <v>101</v>
      </c>
      <c r="H42" s="28">
        <v>41301</v>
      </c>
      <c r="I42" s="29">
        <f>IFERROR(_xlfn.XLOOKUP(E42,[1]EMPREENDIMENTO!C:C,[1]EMPREENDIMENTO!E:E),"0")</f>
        <v>408</v>
      </c>
      <c r="J42" s="30">
        <v>46375</v>
      </c>
      <c r="K42" s="28" t="s">
        <v>33</v>
      </c>
      <c r="L42" s="31">
        <v>45447</v>
      </c>
      <c r="M42" s="32">
        <v>125183490</v>
      </c>
      <c r="N42" s="32">
        <v>139699272.59999999</v>
      </c>
      <c r="O42" s="32">
        <v>139699272.59999999</v>
      </c>
      <c r="P42" s="28" t="s">
        <v>34</v>
      </c>
      <c r="Q42" s="28" t="s">
        <v>100</v>
      </c>
      <c r="R42" s="30">
        <v>45464</v>
      </c>
      <c r="S42" s="30">
        <v>45447</v>
      </c>
      <c r="T42" s="33"/>
      <c r="U42" s="34" t="str">
        <f>IFERROR(_xlfn.XLOOKUP(E42,[1]EMPREENDIMENTO!C:C,[1]EMPREENDIMENTO!D:D),"")</f>
        <v>5ea49046-247d-eb11-8864-0050568aa20f</v>
      </c>
    </row>
    <row r="43" spans="1:21" hidden="1" x14ac:dyDescent="0.35">
      <c r="A43" s="28" t="str">
        <f>IFERROR(_xlfn.XLOOKUP(C43,[1]DIRETORIA!C:C,[1]DIRETORIA!A:A),"-")</f>
        <v>DIR. COM E CRED NE</v>
      </c>
      <c r="B43" s="28" t="str">
        <f>IFERROR(_xlfn.XLOOKUP(C43,[1]DIRETORIA!C:C,[1]DIRETORIA!B:B),"-")</f>
        <v>GST. COM NE5 (RN+PB)</v>
      </c>
      <c r="C43" s="28" t="str">
        <f>IFERROR(_xlfn.XLOOKUP(E43,[1]EMPREENDIMENTO!C:C,[1]EMPREENDIMENTO!A:A),"-")</f>
        <v>JOÃO PESSOA</v>
      </c>
      <c r="D43" s="28" t="s">
        <v>29</v>
      </c>
      <c r="E43" s="28" t="s">
        <v>102</v>
      </c>
      <c r="F43" s="28" t="s">
        <v>31</v>
      </c>
      <c r="G43" s="28" t="s">
        <v>103</v>
      </c>
      <c r="H43" s="28">
        <v>28858</v>
      </c>
      <c r="I43" s="29">
        <f>IFERROR(_xlfn.XLOOKUP(E43,[1]EMPREENDIMENTO!C:C,[1]EMPREENDIMENTO!E:E),"0")</f>
        <v>408</v>
      </c>
      <c r="J43" s="30">
        <v>46769</v>
      </c>
      <c r="K43" s="28" t="s">
        <v>33</v>
      </c>
      <c r="L43" s="31">
        <v>45898</v>
      </c>
      <c r="M43" s="32">
        <v>105723371</v>
      </c>
      <c r="N43" s="32">
        <v>112040094</v>
      </c>
      <c r="O43" s="32">
        <v>110383896</v>
      </c>
      <c r="P43" s="28" t="s">
        <v>34</v>
      </c>
      <c r="Q43" s="28" t="s">
        <v>104</v>
      </c>
      <c r="R43" s="30">
        <v>45901</v>
      </c>
      <c r="S43" s="30">
        <v>45901</v>
      </c>
      <c r="T43" s="33"/>
      <c r="U43" s="34" t="str">
        <f>IFERROR(_xlfn.XLOOKUP(E43,[1]EMPREENDIMENTO!C:C,[1]EMPREENDIMENTO!D:D),"")</f>
        <v>803dc1d0-cebd-e911-a3f3-005056856b6c</v>
      </c>
    </row>
    <row r="44" spans="1:21" hidden="1" x14ac:dyDescent="0.35">
      <c r="A44" s="28" t="str">
        <f>IFERROR(_xlfn.XLOOKUP(C44,[1]DIRETORIA!C:C,[1]DIRETORIA!A:A),"-")</f>
        <v>DIR. COM E CRED NE</v>
      </c>
      <c r="B44" s="28" t="str">
        <f>IFERROR(_xlfn.XLOOKUP(C44,[1]DIRETORIA!C:C,[1]DIRETORIA!B:B),"-")</f>
        <v>GST. COM NE5 (RN+PB)</v>
      </c>
      <c r="C44" s="28" t="str">
        <f>IFERROR(_xlfn.XLOOKUP(E44,[1]EMPREENDIMENTO!C:C,[1]EMPREENDIMENTO!A:A),"-")</f>
        <v>JOÃO PESSOA</v>
      </c>
      <c r="D44" s="28" t="s">
        <v>29</v>
      </c>
      <c r="E44" s="28" t="s">
        <v>102</v>
      </c>
      <c r="F44" s="28" t="s">
        <v>36</v>
      </c>
      <c r="G44" s="28" t="s">
        <v>105</v>
      </c>
      <c r="H44" s="28">
        <v>46101</v>
      </c>
      <c r="I44" s="29">
        <f>IFERROR(_xlfn.XLOOKUP(E44,[1]EMPREENDIMENTO!C:C,[1]EMPREENDIMENTO!E:E),"0")</f>
        <v>408</v>
      </c>
      <c r="J44" s="30">
        <v>46769</v>
      </c>
      <c r="K44" s="28" t="s">
        <v>33</v>
      </c>
      <c r="L44" s="31">
        <v>45898</v>
      </c>
      <c r="M44" s="32">
        <v>105723371</v>
      </c>
      <c r="N44" s="32">
        <v>112040094</v>
      </c>
      <c r="O44" s="32">
        <v>110383896</v>
      </c>
      <c r="P44" s="28" t="s">
        <v>34</v>
      </c>
      <c r="Q44" s="28" t="s">
        <v>104</v>
      </c>
      <c r="R44" s="30">
        <v>45901</v>
      </c>
      <c r="S44" s="30">
        <v>45901</v>
      </c>
      <c r="T44" s="33"/>
      <c r="U44" s="34" t="str">
        <f>IFERROR(_xlfn.XLOOKUP(E44,[1]EMPREENDIMENTO!C:C,[1]EMPREENDIMENTO!D:D),"")</f>
        <v>803dc1d0-cebd-e911-a3f3-005056856b6c</v>
      </c>
    </row>
    <row r="45" spans="1:21" hidden="1" x14ac:dyDescent="0.35">
      <c r="A45" s="28" t="str">
        <f>IFERROR(_xlfn.XLOOKUP(C45,[1]DIRETORIA!C:C,[1]DIRETORIA!A:A),"-")</f>
        <v>DIR. COM E CRED NE</v>
      </c>
      <c r="B45" s="28" t="str">
        <f>IFERROR(_xlfn.XLOOKUP(C45,[1]DIRETORIA!C:C,[1]DIRETORIA!B:B),"-")</f>
        <v>GST. COM NE5 (RN+PB)</v>
      </c>
      <c r="C45" s="28" t="str">
        <f>IFERROR(_xlfn.XLOOKUP(E45,[1]EMPREENDIMENTO!C:C,[1]EMPREENDIMENTO!A:A),"-")</f>
        <v>JOÃO PESSOA</v>
      </c>
      <c r="D45" s="28" t="s">
        <v>29</v>
      </c>
      <c r="E45" s="28" t="s">
        <v>102</v>
      </c>
      <c r="F45" s="28" t="s">
        <v>39</v>
      </c>
      <c r="G45" s="28" t="s">
        <v>106</v>
      </c>
      <c r="H45" s="28">
        <v>54508</v>
      </c>
      <c r="I45" s="29">
        <f>IFERROR(_xlfn.XLOOKUP(E45,[1]EMPREENDIMENTO!C:C,[1]EMPREENDIMENTO!E:E),"0")</f>
        <v>408</v>
      </c>
      <c r="J45" s="30">
        <v>46769</v>
      </c>
      <c r="K45" s="28" t="s">
        <v>33</v>
      </c>
      <c r="L45" s="31">
        <v>45898</v>
      </c>
      <c r="M45" s="32">
        <v>105723371</v>
      </c>
      <c r="N45" s="32">
        <v>112040094</v>
      </c>
      <c r="O45" s="32">
        <v>110383896</v>
      </c>
      <c r="P45" s="28" t="s">
        <v>34</v>
      </c>
      <c r="Q45" s="28" t="s">
        <v>104</v>
      </c>
      <c r="R45" s="30">
        <v>45901</v>
      </c>
      <c r="S45" s="30">
        <v>45901</v>
      </c>
      <c r="T45" s="33"/>
      <c r="U45" s="34" t="str">
        <f>IFERROR(_xlfn.XLOOKUP(E45,[1]EMPREENDIMENTO!C:C,[1]EMPREENDIMENTO!D:D),"")</f>
        <v>803dc1d0-cebd-e911-a3f3-005056856b6c</v>
      </c>
    </row>
    <row r="46" spans="1:21" x14ac:dyDescent="0.35">
      <c r="A46" s="28" t="str">
        <f>IFERROR(_xlfn.XLOOKUP(C46,[1]DIRETORIA!C:C,[1]DIRETORIA!A:A),"-")</f>
        <v>DIR. COM E CRED SPI</v>
      </c>
      <c r="B46" s="28" t="str">
        <f>IFERROR(_xlfn.XLOOKUP(C46,[1]DIRETORIA!C:C,[1]DIRETORIA!B:B),"-")</f>
        <v>GST. COM RP 2</v>
      </c>
      <c r="C46" s="28" t="str">
        <f>IFERROR(_xlfn.XLOOKUP(E46,[1]EMPREENDIMENTO!C:C,[1]EMPREENDIMENTO!A:A),"-")</f>
        <v>ARARAQUARA</v>
      </c>
      <c r="D46" s="28" t="s">
        <v>29</v>
      </c>
      <c r="E46" s="28" t="s">
        <v>107</v>
      </c>
      <c r="F46" s="28" t="s">
        <v>42</v>
      </c>
      <c r="G46" s="28" t="s">
        <v>108</v>
      </c>
      <c r="H46" s="28">
        <v>30770</v>
      </c>
      <c r="I46" s="29">
        <f>IFERROR(_xlfn.XLOOKUP(E46,[1]EMPREENDIMENTO!C:C,[1]EMPREENDIMENTO!E:E),"0")</f>
        <v>192</v>
      </c>
      <c r="J46" s="30">
        <v>45860</v>
      </c>
      <c r="K46" s="28" t="s">
        <v>33</v>
      </c>
      <c r="L46" s="31">
        <v>45653</v>
      </c>
      <c r="M46" s="32">
        <v>48255000</v>
      </c>
      <c r="N46" s="32">
        <v>58216100</v>
      </c>
      <c r="O46" s="32">
        <v>50429000</v>
      </c>
      <c r="P46" s="28" t="s">
        <v>34</v>
      </c>
      <c r="Q46" s="28" t="s">
        <v>109</v>
      </c>
      <c r="R46" s="30">
        <v>45670</v>
      </c>
      <c r="S46" s="30">
        <v>45672</v>
      </c>
      <c r="T46" s="33"/>
      <c r="U46" s="34" t="str">
        <f>IFERROR(_xlfn.XLOOKUP(E46,[1]EMPREENDIMENTO!C:C,[1]EMPREENDIMENTO!D:D),"")</f>
        <v>ec6498b6-0d03-eb11-8cc6-0050568aa20f</v>
      </c>
    </row>
    <row r="47" spans="1:21" hidden="1" x14ac:dyDescent="0.35">
      <c r="A47" s="28" t="str">
        <f>IFERROR(_xlfn.XLOOKUP(C47,[1]DIRETORIA!C:C,[1]DIRETORIA!A:A),"-")</f>
        <v>DIR. COM E CRED SUL</v>
      </c>
      <c r="B47" s="28" t="str">
        <f>IFERROR(_xlfn.XLOOKUP(C47,[1]DIRETORIA!C:C,[1]DIRETORIA!B:B),"-")</f>
        <v>GST. COM RS NORTE</v>
      </c>
      <c r="C47" s="28" t="str">
        <f>IFERROR(_xlfn.XLOOKUP(E47,[1]EMPREENDIMENTO!C:C,[1]EMPREENDIMENTO!A:A),"-")</f>
        <v>GRAVATAÍ</v>
      </c>
      <c r="D47" s="28" t="s">
        <v>29</v>
      </c>
      <c r="E47" s="28" t="s">
        <v>110</v>
      </c>
      <c r="F47" s="28" t="s">
        <v>42</v>
      </c>
      <c r="G47" s="28" t="s">
        <v>111</v>
      </c>
      <c r="H47" s="28">
        <v>18157</v>
      </c>
      <c r="I47" s="29">
        <f>IFERROR(_xlfn.XLOOKUP(E47,[1]EMPREENDIMENTO!C:C,[1]EMPREENDIMENTO!E:E),"0")</f>
        <v>180</v>
      </c>
      <c r="J47" s="30">
        <v>45929</v>
      </c>
      <c r="K47" s="28" t="s">
        <v>33</v>
      </c>
      <c r="L47" s="31">
        <v>45610</v>
      </c>
      <c r="M47" s="32">
        <v>40338320</v>
      </c>
      <c r="N47" s="32">
        <v>44372152</v>
      </c>
      <c r="O47" s="32">
        <v>42857200</v>
      </c>
      <c r="P47" s="28" t="s">
        <v>34</v>
      </c>
      <c r="Q47" s="28" t="s">
        <v>112</v>
      </c>
      <c r="R47" s="30">
        <v>45614</v>
      </c>
      <c r="S47" s="30">
        <v>45610</v>
      </c>
      <c r="T47" s="33"/>
      <c r="U47" s="34" t="str">
        <f>IFERROR(_xlfn.XLOOKUP(E47,[1]EMPREENDIMENTO!C:C,[1]EMPREENDIMENTO!D:D),"")</f>
        <v>3641099d-1120-e911-b503-009c02b0cb58</v>
      </c>
    </row>
    <row r="48" spans="1:21" hidden="1" x14ac:dyDescent="0.35">
      <c r="A48" s="28" t="str">
        <f>IFERROR(_xlfn.XLOOKUP(C48,[1]DIRETORIA!C:C,[1]DIRETORIA!A:A),"-")</f>
        <v>DIR. COM E CRED NE</v>
      </c>
      <c r="B48" s="28" t="str">
        <f>IFERROR(_xlfn.XLOOKUP(C48,[1]DIRETORIA!C:C,[1]DIRETORIA!B:B),"-")</f>
        <v>GST. COM NE1 (BA 1)</v>
      </c>
      <c r="C48" s="28" t="str">
        <f>IFERROR(_xlfn.XLOOKUP(E48,[1]EMPREENDIMENTO!C:C,[1]EMPREENDIMENTO!A:A),"-")</f>
        <v>FEIRA DE SANTANA</v>
      </c>
      <c r="D48" s="28" t="s">
        <v>85</v>
      </c>
      <c r="E48" s="28" t="s">
        <v>113</v>
      </c>
      <c r="F48" s="28" t="s">
        <v>42</v>
      </c>
      <c r="G48" s="28" t="s">
        <v>114</v>
      </c>
      <c r="H48" s="28">
        <v>31067</v>
      </c>
      <c r="I48" s="29">
        <f>IFERROR(_xlfn.XLOOKUP(E48,[1]EMPREENDIMENTO!C:C,[1]EMPREENDIMENTO!E:E),"0")</f>
        <v>0</v>
      </c>
      <c r="J48" s="30"/>
      <c r="K48" s="28" t="s">
        <v>33</v>
      </c>
      <c r="L48" s="31">
        <v>45366</v>
      </c>
      <c r="M48" s="32">
        <v>96482000</v>
      </c>
      <c r="N48" s="32">
        <v>96482000</v>
      </c>
      <c r="O48" s="32">
        <v>96482000</v>
      </c>
      <c r="P48" s="28" t="s">
        <v>34</v>
      </c>
      <c r="Q48" s="28"/>
      <c r="R48" s="30"/>
      <c r="S48" s="30">
        <v>45366</v>
      </c>
      <c r="T48" s="33"/>
      <c r="U48" s="34">
        <f>IFERROR(_xlfn.XLOOKUP(E48,[1]EMPREENDIMENTO!C:C,[1]EMPREENDIMENTO!D:D),"")</f>
        <v>0</v>
      </c>
    </row>
    <row r="49" spans="1:21" x14ac:dyDescent="0.35">
      <c r="A49" s="28" t="str">
        <f>IFERROR(_xlfn.XLOOKUP(C49,[1]DIRETORIA!C:C,[1]DIRETORIA!A:A),"-")</f>
        <v>DIR. COM E CRED SPI CP</v>
      </c>
      <c r="B49" s="28" t="str">
        <f>IFERROR(_xlfn.XLOOKUP(C49,[1]DIRETORIA!C:C,[1]DIRETORIA!B:B),"-")</f>
        <v>GST. COM CP1</v>
      </c>
      <c r="C49" s="28" t="str">
        <f>IFERROR(_xlfn.XLOOKUP(E49,[1]EMPREENDIMENTO!C:C,[1]EMPREENDIMENTO!A:A),"-")</f>
        <v>CAMPINAS</v>
      </c>
      <c r="D49" s="28" t="s">
        <v>29</v>
      </c>
      <c r="E49" s="28" t="s">
        <v>115</v>
      </c>
      <c r="F49" s="28" t="s">
        <v>31</v>
      </c>
      <c r="G49" s="28" t="s">
        <v>116</v>
      </c>
      <c r="H49" s="28">
        <v>35558</v>
      </c>
      <c r="I49" s="29">
        <f>IFERROR(_xlfn.XLOOKUP(E49,[1]EMPREENDIMENTO!C:C,[1]EMPREENDIMENTO!E:E),"0")</f>
        <v>384</v>
      </c>
      <c r="J49" s="30">
        <v>46294</v>
      </c>
      <c r="K49" s="28" t="s">
        <v>33</v>
      </c>
      <c r="L49" s="31">
        <v>45639</v>
      </c>
      <c r="M49" s="32">
        <v>100070050</v>
      </c>
      <c r="N49" s="32">
        <v>111210250</v>
      </c>
      <c r="O49" s="32">
        <v>109346900</v>
      </c>
      <c r="P49" s="28" t="s">
        <v>34</v>
      </c>
      <c r="Q49" s="28" t="s">
        <v>117</v>
      </c>
      <c r="R49" s="30">
        <v>45661</v>
      </c>
      <c r="S49" s="30">
        <v>45639</v>
      </c>
      <c r="T49" s="33"/>
      <c r="U49" s="34" t="str">
        <f>IFERROR(_xlfn.XLOOKUP(E49,[1]EMPREENDIMENTO!C:C,[1]EMPREENDIMENTO!D:D),"")</f>
        <v>920d4571-3a9f-ec11-b501-005056856b6c</v>
      </c>
    </row>
    <row r="50" spans="1:21" x14ac:dyDescent="0.35">
      <c r="A50" s="28" t="str">
        <f>IFERROR(_xlfn.XLOOKUP(C50,[1]DIRETORIA!C:C,[1]DIRETORIA!A:A),"-")</f>
        <v>DIR. COM E CRED SPI CP</v>
      </c>
      <c r="B50" s="28" t="str">
        <f>IFERROR(_xlfn.XLOOKUP(C50,[1]DIRETORIA!C:C,[1]DIRETORIA!B:B),"-")</f>
        <v>GST. COM CP1</v>
      </c>
      <c r="C50" s="28" t="str">
        <f>IFERROR(_xlfn.XLOOKUP(E50,[1]EMPREENDIMENTO!C:C,[1]EMPREENDIMENTO!A:A),"-")</f>
        <v>CAMPINAS</v>
      </c>
      <c r="D50" s="28" t="s">
        <v>29</v>
      </c>
      <c r="E50" s="28" t="s">
        <v>115</v>
      </c>
      <c r="F50" s="28" t="s">
        <v>36</v>
      </c>
      <c r="G50" s="28" t="s">
        <v>118</v>
      </c>
      <c r="H50" s="28">
        <v>38665</v>
      </c>
      <c r="I50" s="29">
        <f>IFERROR(_xlfn.XLOOKUP(E50,[1]EMPREENDIMENTO!C:C,[1]EMPREENDIMENTO!E:E),"0")</f>
        <v>384</v>
      </c>
      <c r="J50" s="30">
        <v>46294</v>
      </c>
      <c r="K50" s="28" t="s">
        <v>33</v>
      </c>
      <c r="L50" s="31">
        <v>45639</v>
      </c>
      <c r="M50" s="32">
        <v>100070050</v>
      </c>
      <c r="N50" s="32">
        <v>111210250</v>
      </c>
      <c r="O50" s="32">
        <v>109346900</v>
      </c>
      <c r="P50" s="28" t="s">
        <v>34</v>
      </c>
      <c r="Q50" s="28" t="s">
        <v>117</v>
      </c>
      <c r="R50" s="30">
        <v>45661</v>
      </c>
      <c r="S50" s="30">
        <v>45639</v>
      </c>
      <c r="T50" s="33"/>
      <c r="U50" s="34" t="str">
        <f>IFERROR(_xlfn.XLOOKUP(E50,[1]EMPREENDIMENTO!C:C,[1]EMPREENDIMENTO!D:D),"")</f>
        <v>920d4571-3a9f-ec11-b501-005056856b6c</v>
      </c>
    </row>
    <row r="51" spans="1:21" x14ac:dyDescent="0.35">
      <c r="A51" s="28" t="str">
        <f>IFERROR(_xlfn.XLOOKUP(C51,[1]DIRETORIA!C:C,[1]DIRETORIA!A:A),"-")</f>
        <v>DIR. COM E CRED SPI</v>
      </c>
      <c r="B51" s="28" t="str">
        <f>IFERROR(_xlfn.XLOOKUP(C51,[1]DIRETORIA!C:C,[1]DIRETORIA!B:B),"-")</f>
        <v>GST. COM RP 2</v>
      </c>
      <c r="C51" s="28" t="str">
        <f>IFERROR(_xlfn.XLOOKUP(E51,[1]EMPREENDIMENTO!C:C,[1]EMPREENDIMENTO!A:A),"-")</f>
        <v>ARARAQUARA</v>
      </c>
      <c r="D51" s="28" t="s">
        <v>29</v>
      </c>
      <c r="E51" s="28" t="s">
        <v>119</v>
      </c>
      <c r="F51" s="28" t="s">
        <v>31</v>
      </c>
      <c r="G51" s="28" t="s">
        <v>120</v>
      </c>
      <c r="H51" s="28">
        <v>24741</v>
      </c>
      <c r="I51" s="29">
        <f>IFERROR(_xlfn.XLOOKUP(E51,[1]EMPREENDIMENTO!C:C,[1]EMPREENDIMENTO!E:E),"0")</f>
        <v>260</v>
      </c>
      <c r="J51" s="30">
        <v>45747</v>
      </c>
      <c r="K51" s="28" t="s">
        <v>33</v>
      </c>
      <c r="L51" s="31">
        <v>45665</v>
      </c>
      <c r="M51" s="32">
        <v>54828500</v>
      </c>
      <c r="N51" s="32">
        <v>65429800</v>
      </c>
      <c r="O51" s="32">
        <v>60167500</v>
      </c>
      <c r="P51" s="28" t="s">
        <v>34</v>
      </c>
      <c r="Q51" s="28" t="s">
        <v>121</v>
      </c>
      <c r="R51" s="30">
        <v>45670</v>
      </c>
      <c r="S51" s="30">
        <v>45666</v>
      </c>
      <c r="T51" s="33"/>
      <c r="U51" s="34" t="str">
        <f>IFERROR(_xlfn.XLOOKUP(E51,[1]EMPREENDIMENTO!C:C,[1]EMPREENDIMENTO!D:D),"")</f>
        <v>f99c5f8f-3db0-e811-944c-009c02b0cb58</v>
      </c>
    </row>
    <row r="52" spans="1:21" x14ac:dyDescent="0.35">
      <c r="A52" s="28" t="str">
        <f>IFERROR(_xlfn.XLOOKUP(C52,[1]DIRETORIA!C:C,[1]DIRETORIA!A:A),"-")</f>
        <v>DIR. COM E CRED SPI</v>
      </c>
      <c r="B52" s="28" t="str">
        <f>IFERROR(_xlfn.XLOOKUP(C52,[1]DIRETORIA!C:C,[1]DIRETORIA!B:B),"-")</f>
        <v>GST. COM RP 2</v>
      </c>
      <c r="C52" s="28" t="str">
        <f>IFERROR(_xlfn.XLOOKUP(E52,[1]EMPREENDIMENTO!C:C,[1]EMPREENDIMENTO!A:A),"-")</f>
        <v>ARARAQUARA</v>
      </c>
      <c r="D52" s="28" t="s">
        <v>29</v>
      </c>
      <c r="E52" s="28" t="s">
        <v>119</v>
      </c>
      <c r="F52" s="28" t="s">
        <v>36</v>
      </c>
      <c r="G52" s="28" t="s">
        <v>122</v>
      </c>
      <c r="H52" s="28">
        <v>26381</v>
      </c>
      <c r="I52" s="29">
        <f>IFERROR(_xlfn.XLOOKUP(E52,[1]EMPREENDIMENTO!C:C,[1]EMPREENDIMENTO!E:E),"0")</f>
        <v>260</v>
      </c>
      <c r="J52" s="30">
        <v>45747</v>
      </c>
      <c r="K52" s="28" t="s">
        <v>33</v>
      </c>
      <c r="L52" s="31">
        <v>45665</v>
      </c>
      <c r="M52" s="32">
        <v>54828500</v>
      </c>
      <c r="N52" s="32">
        <v>65429800</v>
      </c>
      <c r="O52" s="32">
        <v>60167500</v>
      </c>
      <c r="P52" s="28" t="s">
        <v>34</v>
      </c>
      <c r="Q52" s="28" t="s">
        <v>121</v>
      </c>
      <c r="R52" s="30">
        <v>45670</v>
      </c>
      <c r="S52" s="30">
        <v>45666</v>
      </c>
      <c r="T52" s="33"/>
      <c r="U52" s="34" t="str">
        <f>IFERROR(_xlfn.XLOOKUP(E52,[1]EMPREENDIMENTO!C:C,[1]EMPREENDIMENTO!D:D),"")</f>
        <v>f99c5f8f-3db0-e811-944c-009c02b0cb58</v>
      </c>
    </row>
    <row r="53" spans="1:21" x14ac:dyDescent="0.35">
      <c r="A53" s="28" t="str">
        <f>IFERROR(_xlfn.XLOOKUP(C53,[1]DIRETORIA!C:C,[1]DIRETORIA!A:A),"-")</f>
        <v>DIR. COM E CRED SPI</v>
      </c>
      <c r="B53" s="28" t="str">
        <f>IFERROR(_xlfn.XLOOKUP(C53,[1]DIRETORIA!C:C,[1]DIRETORIA!B:B),"-")</f>
        <v>GST. COM RP 1</v>
      </c>
      <c r="C53" s="28" t="str">
        <f>IFERROR(_xlfn.XLOOKUP(E53,[1]EMPREENDIMENTO!C:C,[1]EMPREENDIMENTO!A:A),"-")</f>
        <v>FRANCA</v>
      </c>
      <c r="D53" s="28" t="s">
        <v>29</v>
      </c>
      <c r="E53" s="28" t="s">
        <v>123</v>
      </c>
      <c r="F53" s="28" t="s">
        <v>31</v>
      </c>
      <c r="G53" s="28" t="s">
        <v>124</v>
      </c>
      <c r="H53" s="28">
        <v>34354</v>
      </c>
      <c r="I53" s="29">
        <f>IFERROR(_xlfn.XLOOKUP(E53,[1]EMPREENDIMENTO!C:C,[1]EMPREENDIMENTO!E:E),"0")</f>
        <v>200</v>
      </c>
      <c r="J53" s="30">
        <v>46611</v>
      </c>
      <c r="K53" s="28" t="s">
        <v>33</v>
      </c>
      <c r="L53" s="31">
        <v>45784</v>
      </c>
      <c r="M53" s="32">
        <v>56768000</v>
      </c>
      <c r="N53" s="32">
        <v>66584800</v>
      </c>
      <c r="O53" s="32">
        <v>66584800</v>
      </c>
      <c r="P53" s="28" t="s">
        <v>34</v>
      </c>
      <c r="Q53" s="28" t="s">
        <v>125</v>
      </c>
      <c r="R53" s="30">
        <v>45783</v>
      </c>
      <c r="S53" s="30">
        <v>45784</v>
      </c>
      <c r="T53" s="33"/>
      <c r="U53" s="34" t="str">
        <f>IFERROR(_xlfn.XLOOKUP(E53,[1]EMPREENDIMENTO!C:C,[1]EMPREENDIMENTO!D:D),"")</f>
        <v>97a7dc8d-c90e-e911-b773-80c16e075108</v>
      </c>
    </row>
    <row r="54" spans="1:21" x14ac:dyDescent="0.35">
      <c r="A54" s="28" t="str">
        <f>IFERROR(_xlfn.XLOOKUP(C54,[1]DIRETORIA!C:C,[1]DIRETORIA!A:A),"-")</f>
        <v>DIR. COM E CRED SPI</v>
      </c>
      <c r="B54" s="28" t="str">
        <f>IFERROR(_xlfn.XLOOKUP(C54,[1]DIRETORIA!C:C,[1]DIRETORIA!B:B),"-")</f>
        <v>GST. COM RP 1</v>
      </c>
      <c r="C54" s="28" t="str">
        <f>IFERROR(_xlfn.XLOOKUP(E54,[1]EMPREENDIMENTO!C:C,[1]EMPREENDIMENTO!A:A),"-")</f>
        <v>FRANCA</v>
      </c>
      <c r="D54" s="28" t="s">
        <v>29</v>
      </c>
      <c r="E54" s="28" t="s">
        <v>123</v>
      </c>
      <c r="F54" s="28" t="s">
        <v>36</v>
      </c>
      <c r="G54" s="28" t="s">
        <v>126</v>
      </c>
      <c r="H54" s="28">
        <v>35582</v>
      </c>
      <c r="I54" s="29">
        <f>IFERROR(_xlfn.XLOOKUP(E54,[1]EMPREENDIMENTO!C:C,[1]EMPREENDIMENTO!E:E),"0")</f>
        <v>200</v>
      </c>
      <c r="J54" s="30">
        <v>46611</v>
      </c>
      <c r="K54" s="28" t="s">
        <v>33</v>
      </c>
      <c r="L54" s="31">
        <v>45784</v>
      </c>
      <c r="M54" s="32">
        <v>56768000</v>
      </c>
      <c r="N54" s="32">
        <v>66584800</v>
      </c>
      <c r="O54" s="32">
        <v>66584800</v>
      </c>
      <c r="P54" s="28" t="s">
        <v>34</v>
      </c>
      <c r="Q54" s="28" t="s">
        <v>125</v>
      </c>
      <c r="R54" s="30">
        <v>45783</v>
      </c>
      <c r="S54" s="30">
        <v>45784</v>
      </c>
      <c r="T54" s="33"/>
      <c r="U54" s="34" t="str">
        <f>IFERROR(_xlfn.XLOOKUP(E54,[1]EMPREENDIMENTO!C:C,[1]EMPREENDIMENTO!D:D),"")</f>
        <v>97a7dc8d-c90e-e911-b773-80c16e075108</v>
      </c>
    </row>
    <row r="55" spans="1:21" hidden="1" x14ac:dyDescent="0.35">
      <c r="A55" s="28" t="str">
        <f>IFERROR(_xlfn.XLOOKUP(C55,[1]DIRETORIA!C:C,[1]DIRETORIA!A:A),"-")</f>
        <v>DIR. COM E CRED SUL</v>
      </c>
      <c r="B55" s="28" t="str">
        <f>IFERROR(_xlfn.XLOOKUP(C55,[1]DIRETORIA!C:C,[1]DIRETORIA!B:B),"-")</f>
        <v>GST. COM SC</v>
      </c>
      <c r="C55" s="28" t="str">
        <f>IFERROR(_xlfn.XLOOKUP(E55,[1]EMPREENDIMENTO!C:C,[1]EMPREENDIMENTO!A:A),"-")</f>
        <v>PALHOÇA</v>
      </c>
      <c r="D55" s="28" t="s">
        <v>29</v>
      </c>
      <c r="E55" s="28" t="s">
        <v>127</v>
      </c>
      <c r="F55" s="28" t="s">
        <v>31</v>
      </c>
      <c r="G55" s="28" t="s">
        <v>128</v>
      </c>
      <c r="H55" s="28">
        <v>18010</v>
      </c>
      <c r="I55" s="29">
        <f>IFERROR(_xlfn.XLOOKUP(E55,[1]EMPREENDIMENTO!C:C,[1]EMPREENDIMENTO!E:E),"0")</f>
        <v>420</v>
      </c>
      <c r="J55" s="30">
        <v>46194</v>
      </c>
      <c r="K55" s="28" t="s">
        <v>33</v>
      </c>
      <c r="L55" s="31">
        <v>45272</v>
      </c>
      <c r="M55" s="32">
        <v>95118600</v>
      </c>
      <c r="N55" s="32">
        <v>98034600</v>
      </c>
      <c r="O55" s="32">
        <v>98034600</v>
      </c>
      <c r="P55" s="28" t="s">
        <v>34</v>
      </c>
      <c r="Q55" s="28"/>
      <c r="R55" s="30"/>
      <c r="S55" s="30">
        <v>45272</v>
      </c>
      <c r="T55" s="33"/>
      <c r="U55" s="34" t="str">
        <f>IFERROR(_xlfn.XLOOKUP(E55,[1]EMPREENDIMENTO!C:C,[1]EMPREENDIMENTO!D:D),"")</f>
        <v>27AB86C7-B847-E811-8CE7-80C16E075108</v>
      </c>
    </row>
    <row r="56" spans="1:21" hidden="1" x14ac:dyDescent="0.35">
      <c r="A56" s="28" t="str">
        <f>IFERROR(_xlfn.XLOOKUP(C56,[1]DIRETORIA!C:C,[1]DIRETORIA!A:A),"-")</f>
        <v>DIR. COM E CRED SUL</v>
      </c>
      <c r="B56" s="28" t="str">
        <f>IFERROR(_xlfn.XLOOKUP(C56,[1]DIRETORIA!C:C,[1]DIRETORIA!B:B),"-")</f>
        <v>GST. COM SC</v>
      </c>
      <c r="C56" s="28" t="str">
        <f>IFERROR(_xlfn.XLOOKUP(E56,[1]EMPREENDIMENTO!C:C,[1]EMPREENDIMENTO!A:A),"-")</f>
        <v>PALHOÇA</v>
      </c>
      <c r="D56" s="28" t="s">
        <v>29</v>
      </c>
      <c r="E56" s="28" t="s">
        <v>127</v>
      </c>
      <c r="F56" s="28" t="s">
        <v>36</v>
      </c>
      <c r="G56" s="28" t="s">
        <v>129</v>
      </c>
      <c r="H56" s="28">
        <v>37271</v>
      </c>
      <c r="I56" s="29">
        <f>IFERROR(_xlfn.XLOOKUP(E56,[1]EMPREENDIMENTO!C:C,[1]EMPREENDIMENTO!E:E),"0")</f>
        <v>420</v>
      </c>
      <c r="J56" s="30">
        <v>46194</v>
      </c>
      <c r="K56" s="28" t="s">
        <v>33</v>
      </c>
      <c r="L56" s="31">
        <v>45272</v>
      </c>
      <c r="M56" s="32">
        <v>95118600</v>
      </c>
      <c r="N56" s="32">
        <v>98034600</v>
      </c>
      <c r="O56" s="32">
        <v>98034600</v>
      </c>
      <c r="P56" s="28" t="s">
        <v>34</v>
      </c>
      <c r="Q56" s="28"/>
      <c r="R56" s="30"/>
      <c r="S56" s="30">
        <v>45272</v>
      </c>
      <c r="T56" s="33"/>
      <c r="U56" s="34" t="str">
        <f>IFERROR(_xlfn.XLOOKUP(E56,[1]EMPREENDIMENTO!C:C,[1]EMPREENDIMENTO!D:D),"")</f>
        <v>27AB86C7-B847-E811-8CE7-80C16E075108</v>
      </c>
    </row>
    <row r="57" spans="1:21" hidden="1" x14ac:dyDescent="0.35">
      <c r="A57" s="28" t="str">
        <f>IFERROR(_xlfn.XLOOKUP(C57,[1]DIRETORIA!C:C,[1]DIRETORIA!A:A),"-")</f>
        <v>DIR. COM E CRED SUL</v>
      </c>
      <c r="B57" s="28" t="str">
        <f>IFERROR(_xlfn.XLOOKUP(C57,[1]DIRETORIA!C:C,[1]DIRETORIA!B:B),"-")</f>
        <v>GST. COM SC</v>
      </c>
      <c r="C57" s="28" t="str">
        <f>IFERROR(_xlfn.XLOOKUP(E57,[1]EMPREENDIMENTO!C:C,[1]EMPREENDIMENTO!A:A),"-")</f>
        <v>PALHOÇA</v>
      </c>
      <c r="D57" s="28" t="s">
        <v>29</v>
      </c>
      <c r="E57" s="28" t="s">
        <v>127</v>
      </c>
      <c r="F57" s="28" t="s">
        <v>39</v>
      </c>
      <c r="G57" s="28" t="s">
        <v>130</v>
      </c>
      <c r="H57" s="28">
        <v>38738</v>
      </c>
      <c r="I57" s="29">
        <f>IFERROR(_xlfn.XLOOKUP(E57,[1]EMPREENDIMENTO!C:C,[1]EMPREENDIMENTO!E:E),"0")</f>
        <v>420</v>
      </c>
      <c r="J57" s="30">
        <v>46194</v>
      </c>
      <c r="K57" s="28" t="s">
        <v>33</v>
      </c>
      <c r="L57" s="31">
        <v>45272</v>
      </c>
      <c r="M57" s="32">
        <v>95118600</v>
      </c>
      <c r="N57" s="32">
        <v>98034600</v>
      </c>
      <c r="O57" s="32">
        <v>98034600</v>
      </c>
      <c r="P57" s="28" t="s">
        <v>34</v>
      </c>
      <c r="Q57" s="28"/>
      <c r="R57" s="30"/>
      <c r="S57" s="30">
        <v>45272</v>
      </c>
      <c r="T57" s="33"/>
      <c r="U57" s="34" t="str">
        <f>IFERROR(_xlfn.XLOOKUP(E57,[1]EMPREENDIMENTO!C:C,[1]EMPREENDIMENTO!D:D),"")</f>
        <v>27AB86C7-B847-E811-8CE7-80C16E075108</v>
      </c>
    </row>
    <row r="58" spans="1:21" x14ac:dyDescent="0.35">
      <c r="A58" s="28" t="str">
        <f>IFERROR(_xlfn.XLOOKUP(C58,[1]DIRETORIA!C:C,[1]DIRETORIA!A:A),"-")</f>
        <v>DIR. COM E CRED SPI CP</v>
      </c>
      <c r="B58" s="28" t="str">
        <f>IFERROR(_xlfn.XLOOKUP(C58,[1]DIRETORIA!C:C,[1]DIRETORIA!B:B),"-")</f>
        <v>GST. COM CP1</v>
      </c>
      <c r="C58" s="28" t="str">
        <f>IFERROR(_xlfn.XLOOKUP(E58,[1]EMPREENDIMENTO!C:C,[1]EMPREENDIMENTO!A:A),"-")</f>
        <v>CAMPINAS</v>
      </c>
      <c r="D58" s="28" t="s">
        <v>29</v>
      </c>
      <c r="E58" s="28" t="s">
        <v>131</v>
      </c>
      <c r="F58" s="28" t="s">
        <v>42</v>
      </c>
      <c r="G58" s="28" t="s">
        <v>132</v>
      </c>
      <c r="H58" s="28">
        <v>27305</v>
      </c>
      <c r="I58" s="29">
        <f>IFERROR(_xlfn.XLOOKUP(E58,[1]EMPREENDIMENTO!C:C,[1]EMPREENDIMENTO!E:E),"0")</f>
        <v>176</v>
      </c>
      <c r="J58" s="30">
        <v>45555</v>
      </c>
      <c r="K58" s="28" t="s">
        <v>33</v>
      </c>
      <c r="L58" s="31">
        <v>45149</v>
      </c>
      <c r="M58" s="32">
        <v>45242669</v>
      </c>
      <c r="N58" s="32">
        <v>45506592</v>
      </c>
      <c r="O58" s="32">
        <v>45339949</v>
      </c>
      <c r="P58" s="28" t="s">
        <v>34</v>
      </c>
      <c r="Q58" s="28" t="s">
        <v>133</v>
      </c>
      <c r="R58" s="30">
        <v>45163</v>
      </c>
      <c r="S58" s="30">
        <v>45152</v>
      </c>
      <c r="T58" s="33"/>
      <c r="U58" s="34" t="str">
        <f>IFERROR(_xlfn.XLOOKUP(E58,[1]EMPREENDIMENTO!C:C,[1]EMPREENDIMENTO!D:D),"")</f>
        <v>384B3C7E-16C1-EA11-BEEB-005056856875</v>
      </c>
    </row>
    <row r="59" spans="1:21" hidden="1" x14ac:dyDescent="0.35">
      <c r="A59" s="28" t="str">
        <f>IFERROR(_xlfn.XLOOKUP(C59,[1]DIRETORIA!C:C,[1]DIRETORIA!A:A),"-")</f>
        <v>DIR. COM E CRED NE</v>
      </c>
      <c r="B59" s="28" t="str">
        <f>IFERROR(_xlfn.XLOOKUP(C59,[1]DIRETORIA!C:C,[1]DIRETORIA!B:B),"-")</f>
        <v>GST. COM NE 3 (SE+AL)</v>
      </c>
      <c r="C59" s="28" t="str">
        <f>IFERROR(_xlfn.XLOOKUP(E59,[1]EMPREENDIMENTO!C:C,[1]EMPREENDIMENTO!A:A),"-")</f>
        <v>MACEIÓ</v>
      </c>
      <c r="D59" s="28" t="s">
        <v>29</v>
      </c>
      <c r="E59" s="28" t="s">
        <v>134</v>
      </c>
      <c r="F59" s="28" t="s">
        <v>31</v>
      </c>
      <c r="G59" s="28" t="s">
        <v>135</v>
      </c>
      <c r="H59" s="28">
        <v>31317</v>
      </c>
      <c r="I59" s="29">
        <f>IFERROR(_xlfn.XLOOKUP(E59,[1]EMPREENDIMENTO!C:C,[1]EMPREENDIMENTO!E:E),"0")</f>
        <v>336</v>
      </c>
      <c r="J59" s="30">
        <v>45656</v>
      </c>
      <c r="K59" s="28" t="s">
        <v>33</v>
      </c>
      <c r="L59" s="31">
        <v>45561</v>
      </c>
      <c r="M59" s="32">
        <v>79625911</v>
      </c>
      <c r="N59" s="32">
        <v>86984368</v>
      </c>
      <c r="O59" s="32">
        <v>86530071</v>
      </c>
      <c r="P59" s="28" t="s">
        <v>34</v>
      </c>
      <c r="Q59" s="28" t="s">
        <v>136</v>
      </c>
      <c r="R59" s="30">
        <v>45719</v>
      </c>
      <c r="S59" s="30">
        <v>45721</v>
      </c>
      <c r="T59" s="33"/>
      <c r="U59" s="34" t="str">
        <f>IFERROR(_xlfn.XLOOKUP(E59,[1]EMPREENDIMENTO!C:C,[1]EMPREENDIMENTO!D:D),"")</f>
        <v>e11e14f3-ea80-eb11-aa45-005056856875</v>
      </c>
    </row>
    <row r="60" spans="1:21" hidden="1" x14ac:dyDescent="0.35">
      <c r="A60" s="28" t="str">
        <f>IFERROR(_xlfn.XLOOKUP(C60,[1]DIRETORIA!C:C,[1]DIRETORIA!A:A),"-")</f>
        <v>DIR. COM E CRED NE</v>
      </c>
      <c r="B60" s="28" t="str">
        <f>IFERROR(_xlfn.XLOOKUP(C60,[1]DIRETORIA!C:C,[1]DIRETORIA!B:B),"-")</f>
        <v>GST. COM NE 3 (SE+AL)</v>
      </c>
      <c r="C60" s="28" t="str">
        <f>IFERROR(_xlfn.XLOOKUP(E60,[1]EMPREENDIMENTO!C:C,[1]EMPREENDIMENTO!A:A),"-")</f>
        <v>MACEIÓ</v>
      </c>
      <c r="D60" s="28" t="s">
        <v>29</v>
      </c>
      <c r="E60" s="28" t="s">
        <v>134</v>
      </c>
      <c r="F60" s="28" t="s">
        <v>36</v>
      </c>
      <c r="G60" s="28" t="s">
        <v>137</v>
      </c>
      <c r="H60" s="28">
        <v>32344</v>
      </c>
      <c r="I60" s="29">
        <f>IFERROR(_xlfn.XLOOKUP(E60,[1]EMPREENDIMENTO!C:C,[1]EMPREENDIMENTO!E:E),"0")</f>
        <v>336</v>
      </c>
      <c r="J60" s="30">
        <v>45656</v>
      </c>
      <c r="K60" s="28" t="s">
        <v>33</v>
      </c>
      <c r="L60" s="31">
        <v>45561</v>
      </c>
      <c r="M60" s="32">
        <v>79625911</v>
      </c>
      <c r="N60" s="32">
        <v>86984368</v>
      </c>
      <c r="O60" s="32">
        <v>86530071</v>
      </c>
      <c r="P60" s="28" t="s">
        <v>34</v>
      </c>
      <c r="Q60" s="28" t="s">
        <v>136</v>
      </c>
      <c r="R60" s="30">
        <v>45719</v>
      </c>
      <c r="S60" s="30">
        <v>45721</v>
      </c>
      <c r="T60" s="33"/>
      <c r="U60" s="34" t="str">
        <f>IFERROR(_xlfn.XLOOKUP(E60,[1]EMPREENDIMENTO!C:C,[1]EMPREENDIMENTO!D:D),"")</f>
        <v>e11e14f3-ea80-eb11-aa45-005056856875</v>
      </c>
    </row>
    <row r="61" spans="1:21" x14ac:dyDescent="0.35">
      <c r="A61" s="28" t="str">
        <f>IFERROR(_xlfn.XLOOKUP(C61,[1]DIRETORIA!C:C,[1]DIRETORIA!A:A),"-")</f>
        <v>DIR. COM E CRED SPI</v>
      </c>
      <c r="B61" s="28" t="str">
        <f>IFERROR(_xlfn.XLOOKUP(C61,[1]DIRETORIA!C:C,[1]DIRETORIA!B:B),"-")</f>
        <v>GST. COM RP 2</v>
      </c>
      <c r="C61" s="28" t="str">
        <f>IFERROR(_xlfn.XLOOKUP(E61,[1]EMPREENDIMENTO!C:C,[1]EMPREENDIMENTO!A:A),"-")</f>
        <v>BOTUCATU</v>
      </c>
      <c r="D61" s="28" t="s">
        <v>29</v>
      </c>
      <c r="E61" s="28" t="s">
        <v>138</v>
      </c>
      <c r="F61" s="28" t="s">
        <v>36</v>
      </c>
      <c r="G61" s="28" t="s">
        <v>139</v>
      </c>
      <c r="H61" s="28">
        <v>26383</v>
      </c>
      <c r="I61" s="29">
        <f>IFERROR(_xlfn.XLOOKUP(E61,[1]EMPREENDIMENTO!C:C,[1]EMPREENDIMENTO!E:E),"0")</f>
        <v>192</v>
      </c>
      <c r="J61" s="30">
        <v>46461</v>
      </c>
      <c r="K61" s="28" t="s">
        <v>33</v>
      </c>
      <c r="L61" s="31">
        <v>45450</v>
      </c>
      <c r="M61" s="32">
        <v>39470000</v>
      </c>
      <c r="N61" s="32">
        <v>43887200</v>
      </c>
      <c r="O61" s="32">
        <v>42671000</v>
      </c>
      <c r="P61" s="28" t="s">
        <v>34</v>
      </c>
      <c r="Q61" s="28" t="s">
        <v>140</v>
      </c>
      <c r="R61" s="30">
        <v>45453</v>
      </c>
      <c r="S61" s="30">
        <v>45450</v>
      </c>
      <c r="T61" s="33"/>
      <c r="U61" s="34" t="str">
        <f>IFERROR(_xlfn.XLOOKUP(E61,[1]EMPREENDIMENTO!C:C,[1]EMPREENDIMENTO!D:D),"")</f>
        <v>c9f77587-392d-e811-a00d-009c02b0cb58</v>
      </c>
    </row>
    <row r="62" spans="1:21" x14ac:dyDescent="0.35">
      <c r="A62" s="28" t="str">
        <f>IFERROR(_xlfn.XLOOKUP(C62,[1]DIRETORIA!C:C,[1]DIRETORIA!A:A),"-")</f>
        <v>DIR. COM E CRED SPI</v>
      </c>
      <c r="B62" s="28" t="str">
        <f>IFERROR(_xlfn.XLOOKUP(C62,[1]DIRETORIA!C:C,[1]DIRETORIA!B:B),"-")</f>
        <v>GST. COM RP 2</v>
      </c>
      <c r="C62" s="28" t="str">
        <f>IFERROR(_xlfn.XLOOKUP(E62,[1]EMPREENDIMENTO!C:C,[1]EMPREENDIMENTO!A:A),"-")</f>
        <v>BOTUCATU</v>
      </c>
      <c r="D62" s="28" t="s">
        <v>29</v>
      </c>
      <c r="E62" s="28" t="s">
        <v>138</v>
      </c>
      <c r="F62" s="28" t="s">
        <v>31</v>
      </c>
      <c r="G62" s="28" t="s">
        <v>141</v>
      </c>
      <c r="H62" s="28">
        <v>33948</v>
      </c>
      <c r="I62" s="29">
        <f>IFERROR(_xlfn.XLOOKUP(E62,[1]EMPREENDIMENTO!C:C,[1]EMPREENDIMENTO!E:E),"0")</f>
        <v>192</v>
      </c>
      <c r="J62" s="30">
        <v>46461</v>
      </c>
      <c r="K62" s="28" t="s">
        <v>33</v>
      </c>
      <c r="L62" s="31">
        <v>45450</v>
      </c>
      <c r="M62" s="32">
        <v>39470000</v>
      </c>
      <c r="N62" s="32">
        <v>43887200</v>
      </c>
      <c r="O62" s="32">
        <v>42671000</v>
      </c>
      <c r="P62" s="28" t="s">
        <v>34</v>
      </c>
      <c r="Q62" s="28" t="s">
        <v>140</v>
      </c>
      <c r="R62" s="30">
        <v>45453</v>
      </c>
      <c r="S62" s="30">
        <v>45450</v>
      </c>
      <c r="T62" s="33"/>
      <c r="U62" s="34" t="str">
        <f>IFERROR(_xlfn.XLOOKUP(E62,[1]EMPREENDIMENTO!C:C,[1]EMPREENDIMENTO!D:D),"")</f>
        <v>c9f77587-392d-e811-a00d-009c02b0cb58</v>
      </c>
    </row>
    <row r="63" spans="1:21" hidden="1" x14ac:dyDescent="0.35">
      <c r="A63" s="28" t="str">
        <f>IFERROR(_xlfn.XLOOKUP(C63,[1]DIRETORIA!C:C,[1]DIRETORIA!A:A),"-")</f>
        <v>DIR. COM E CRED RJ</v>
      </c>
      <c r="B63" s="28" t="str">
        <f>IFERROR(_xlfn.XLOOKUP(C63,[1]DIRETORIA!C:C,[1]DIRETORIA!B:B),"-")</f>
        <v>GST. COM RJ1</v>
      </c>
      <c r="C63" s="28" t="str">
        <f>IFERROR(_xlfn.XLOOKUP(E63,[1]EMPREENDIMENTO!C:C,[1]EMPREENDIMENTO!A:A),"-")</f>
        <v>RIO DE JANEIRO</v>
      </c>
      <c r="D63" s="28" t="s">
        <v>29</v>
      </c>
      <c r="E63" s="28" t="s">
        <v>142</v>
      </c>
      <c r="F63" s="28" t="s">
        <v>31</v>
      </c>
      <c r="G63" s="28" t="s">
        <v>143</v>
      </c>
      <c r="H63" s="28">
        <v>32650</v>
      </c>
      <c r="I63" s="29">
        <f>IFERROR(_xlfn.XLOOKUP(E63,[1]EMPREENDIMENTO!C:C,[1]EMPREENDIMENTO!E:E),"0")</f>
        <v>256</v>
      </c>
      <c r="J63" s="30">
        <v>46179</v>
      </c>
      <c r="K63" s="28" t="s">
        <v>33</v>
      </c>
      <c r="L63" s="31">
        <v>45182</v>
      </c>
      <c r="M63" s="32">
        <v>69793280</v>
      </c>
      <c r="N63" s="32">
        <v>71829508</v>
      </c>
      <c r="O63" s="32">
        <v>71826808</v>
      </c>
      <c r="P63" s="28" t="s">
        <v>34</v>
      </c>
      <c r="Q63" s="28" t="s">
        <v>144</v>
      </c>
      <c r="R63" s="30">
        <v>45187</v>
      </c>
      <c r="S63" s="30">
        <v>45182</v>
      </c>
      <c r="T63" s="33"/>
      <c r="U63" s="34" t="str">
        <f>IFERROR(_xlfn.XLOOKUP(E63,[1]EMPREENDIMENTO!C:C,[1]EMPREENDIMENTO!D:D),"")</f>
        <v>8b10d193-e6d1-ea11-beeb-005056856875</v>
      </c>
    </row>
    <row r="64" spans="1:21" hidden="1" x14ac:dyDescent="0.35">
      <c r="A64" s="28" t="str">
        <f>IFERROR(_xlfn.XLOOKUP(C64,[1]DIRETORIA!C:C,[1]DIRETORIA!A:A),"-")</f>
        <v>DIR. COM E CRED RJ</v>
      </c>
      <c r="B64" s="28" t="str">
        <f>IFERROR(_xlfn.XLOOKUP(C64,[1]DIRETORIA!C:C,[1]DIRETORIA!B:B),"-")</f>
        <v>GST. COM RJ1</v>
      </c>
      <c r="C64" s="28" t="str">
        <f>IFERROR(_xlfn.XLOOKUP(E64,[1]EMPREENDIMENTO!C:C,[1]EMPREENDIMENTO!A:A),"-")</f>
        <v>RIO DE JANEIRO</v>
      </c>
      <c r="D64" s="28" t="s">
        <v>29</v>
      </c>
      <c r="E64" s="28" t="s">
        <v>142</v>
      </c>
      <c r="F64" s="28" t="s">
        <v>36</v>
      </c>
      <c r="G64" s="28" t="s">
        <v>145</v>
      </c>
      <c r="H64" s="28">
        <v>35690</v>
      </c>
      <c r="I64" s="29">
        <f>IFERROR(_xlfn.XLOOKUP(E64,[1]EMPREENDIMENTO!C:C,[1]EMPREENDIMENTO!E:E),"0")</f>
        <v>256</v>
      </c>
      <c r="J64" s="30">
        <v>46179</v>
      </c>
      <c r="K64" s="28" t="s">
        <v>33</v>
      </c>
      <c r="L64" s="31">
        <v>45182</v>
      </c>
      <c r="M64" s="32">
        <v>69793280</v>
      </c>
      <c r="N64" s="32">
        <v>71829508</v>
      </c>
      <c r="O64" s="32">
        <v>71826808</v>
      </c>
      <c r="P64" s="28" t="s">
        <v>34</v>
      </c>
      <c r="Q64" s="28" t="s">
        <v>144</v>
      </c>
      <c r="R64" s="30">
        <v>45187</v>
      </c>
      <c r="S64" s="30">
        <v>45182</v>
      </c>
      <c r="T64" s="33"/>
      <c r="U64" s="34" t="str">
        <f>IFERROR(_xlfn.XLOOKUP(E64,[1]EMPREENDIMENTO!C:C,[1]EMPREENDIMENTO!D:D),"")</f>
        <v>8b10d193-e6d1-ea11-beeb-005056856875</v>
      </c>
    </row>
    <row r="65" spans="1:21" hidden="1" x14ac:dyDescent="0.35">
      <c r="A65" s="28" t="str">
        <f>IFERROR(_xlfn.XLOOKUP(C65,[1]DIRETORIA!C:C,[1]DIRETORIA!A:A),"-")</f>
        <v>DIR. COM E CRED RJ</v>
      </c>
      <c r="B65" s="28" t="str">
        <f>IFERROR(_xlfn.XLOOKUP(C65,[1]DIRETORIA!C:C,[1]DIRETORIA!B:B),"-")</f>
        <v>GST. COM RJ1</v>
      </c>
      <c r="C65" s="28" t="str">
        <f>IFERROR(_xlfn.XLOOKUP(E65,[1]EMPREENDIMENTO!C:C,[1]EMPREENDIMENTO!A:A),"-")</f>
        <v>RIO DE JANEIRO</v>
      </c>
      <c r="D65" s="28" t="s">
        <v>29</v>
      </c>
      <c r="E65" s="28" t="s">
        <v>146</v>
      </c>
      <c r="F65" s="28" t="s">
        <v>31</v>
      </c>
      <c r="G65" s="28" t="s">
        <v>147</v>
      </c>
      <c r="H65" s="28">
        <v>21156</v>
      </c>
      <c r="I65" s="29">
        <f>IFERROR(_xlfn.XLOOKUP(E65,[1]EMPREENDIMENTO!C:C,[1]EMPREENDIMENTO!E:E),"0")</f>
        <v>499</v>
      </c>
      <c r="J65" s="30">
        <v>45565</v>
      </c>
      <c r="K65" s="28" t="s">
        <v>148</v>
      </c>
      <c r="L65" s="31">
        <v>45271</v>
      </c>
      <c r="M65" s="32">
        <v>115284800</v>
      </c>
      <c r="N65" s="32">
        <v>117771200</v>
      </c>
      <c r="O65" s="32">
        <v>117771200</v>
      </c>
      <c r="P65" s="28" t="s">
        <v>34</v>
      </c>
      <c r="Q65" s="28" t="s">
        <v>149</v>
      </c>
      <c r="R65" s="30">
        <v>45288</v>
      </c>
      <c r="S65" s="30">
        <v>45273</v>
      </c>
      <c r="T65" s="33"/>
      <c r="U65" s="34" t="str">
        <f>IFERROR(_xlfn.XLOOKUP(E65,[1]EMPREENDIMENTO!C:C,[1]EMPREENDIMENTO!D:D),"")</f>
        <v>5BC8A864-E596-E611-B1E9-009C02B0CB58</v>
      </c>
    </row>
    <row r="66" spans="1:21" hidden="1" x14ac:dyDescent="0.35">
      <c r="A66" s="28" t="str">
        <f>IFERROR(_xlfn.XLOOKUP(C66,[1]DIRETORIA!C:C,[1]DIRETORIA!A:A),"-")</f>
        <v>DIR. COM E CRED RJ</v>
      </c>
      <c r="B66" s="28" t="str">
        <f>IFERROR(_xlfn.XLOOKUP(C66,[1]DIRETORIA!C:C,[1]DIRETORIA!B:B),"-")</f>
        <v>GST. COM RJ1</v>
      </c>
      <c r="C66" s="28" t="str">
        <f>IFERROR(_xlfn.XLOOKUP(E66,[1]EMPREENDIMENTO!C:C,[1]EMPREENDIMENTO!A:A),"-")</f>
        <v>RIO DE JANEIRO</v>
      </c>
      <c r="D66" s="28" t="s">
        <v>29</v>
      </c>
      <c r="E66" s="28" t="s">
        <v>146</v>
      </c>
      <c r="F66" s="28" t="s">
        <v>36</v>
      </c>
      <c r="G66" s="28" t="s">
        <v>150</v>
      </c>
      <c r="H66" s="28">
        <v>21155</v>
      </c>
      <c r="I66" s="29">
        <f>IFERROR(_xlfn.XLOOKUP(E66,[1]EMPREENDIMENTO!C:C,[1]EMPREENDIMENTO!E:E),"0")</f>
        <v>499</v>
      </c>
      <c r="J66" s="30">
        <v>45565</v>
      </c>
      <c r="K66" s="28" t="s">
        <v>148</v>
      </c>
      <c r="L66" s="31">
        <v>45271</v>
      </c>
      <c r="M66" s="32">
        <v>115284800</v>
      </c>
      <c r="N66" s="32">
        <v>117771200</v>
      </c>
      <c r="O66" s="32">
        <v>117771200</v>
      </c>
      <c r="P66" s="28" t="s">
        <v>34</v>
      </c>
      <c r="Q66" s="28" t="s">
        <v>149</v>
      </c>
      <c r="R66" s="30">
        <v>45288</v>
      </c>
      <c r="S66" s="30">
        <v>45273</v>
      </c>
      <c r="T66" s="33"/>
      <c r="U66" s="34" t="str">
        <f>IFERROR(_xlfn.XLOOKUP(E66,[1]EMPREENDIMENTO!C:C,[1]EMPREENDIMENTO!D:D),"")</f>
        <v>5BC8A864-E596-E611-B1E9-009C02B0CB58</v>
      </c>
    </row>
    <row r="67" spans="1:21" hidden="1" x14ac:dyDescent="0.35">
      <c r="A67" s="28" t="str">
        <f>IFERROR(_xlfn.XLOOKUP(C67,[1]DIRETORIA!C:C,[1]DIRETORIA!A:A),"-")</f>
        <v>DIR. COM E CRED RJ</v>
      </c>
      <c r="B67" s="28" t="str">
        <f>IFERROR(_xlfn.XLOOKUP(C67,[1]DIRETORIA!C:C,[1]DIRETORIA!B:B),"-")</f>
        <v>GST. COM RJ1</v>
      </c>
      <c r="C67" s="28" t="str">
        <f>IFERROR(_xlfn.XLOOKUP(E67,[1]EMPREENDIMENTO!C:C,[1]EMPREENDIMENTO!A:A),"-")</f>
        <v>RIO DE JANEIRO</v>
      </c>
      <c r="D67" s="28" t="s">
        <v>29</v>
      </c>
      <c r="E67" s="28" t="s">
        <v>146</v>
      </c>
      <c r="F67" s="28" t="s">
        <v>39</v>
      </c>
      <c r="G67" s="28" t="s">
        <v>151</v>
      </c>
      <c r="H67" s="28">
        <v>21154</v>
      </c>
      <c r="I67" s="29">
        <f>IFERROR(_xlfn.XLOOKUP(E67,[1]EMPREENDIMENTO!C:C,[1]EMPREENDIMENTO!E:E),"0")</f>
        <v>499</v>
      </c>
      <c r="J67" s="30">
        <v>45565</v>
      </c>
      <c r="K67" s="28" t="s">
        <v>148</v>
      </c>
      <c r="L67" s="31">
        <v>45271</v>
      </c>
      <c r="M67" s="32">
        <v>115284800</v>
      </c>
      <c r="N67" s="32">
        <v>117771200</v>
      </c>
      <c r="O67" s="32">
        <v>117771200</v>
      </c>
      <c r="P67" s="28" t="s">
        <v>34</v>
      </c>
      <c r="Q67" s="28" t="s">
        <v>149</v>
      </c>
      <c r="R67" s="30">
        <v>45288</v>
      </c>
      <c r="S67" s="30">
        <v>45273</v>
      </c>
      <c r="T67" s="33"/>
      <c r="U67" s="34" t="str">
        <f>IFERROR(_xlfn.XLOOKUP(E67,[1]EMPREENDIMENTO!C:C,[1]EMPREENDIMENTO!D:D),"")</f>
        <v>5BC8A864-E596-E611-B1E9-009C02B0CB58</v>
      </c>
    </row>
    <row r="68" spans="1:21" hidden="1" x14ac:dyDescent="0.35">
      <c r="A68" s="28" t="str">
        <f>IFERROR(_xlfn.XLOOKUP(C68,[1]DIRETORIA!C:C,[1]DIRETORIA!A:A),"-")</f>
        <v>DIR. COM E CRED CO E AM</v>
      </c>
      <c r="B68" s="28" t="str">
        <f>IFERROR(_xlfn.XLOOKUP(C68,[1]DIRETORIA!C:C,[1]DIRETORIA!B:B),"-")</f>
        <v>GST. COM MT</v>
      </c>
      <c r="C68" s="28" t="str">
        <f>IFERROR(_xlfn.XLOOKUP(E68,[1]EMPREENDIMENTO!C:C,[1]EMPREENDIMENTO!A:A),"-")</f>
        <v>CUIABÁ</v>
      </c>
      <c r="D68" s="28" t="s">
        <v>29</v>
      </c>
      <c r="E68" s="28" t="s">
        <v>152</v>
      </c>
      <c r="F68" s="28" t="s">
        <v>31</v>
      </c>
      <c r="G68" s="28" t="s">
        <v>153</v>
      </c>
      <c r="H68" s="28">
        <v>44187</v>
      </c>
      <c r="I68" s="29">
        <f>IFERROR(_xlfn.XLOOKUP(E68,[1]EMPREENDIMENTO!C:C,[1]EMPREENDIMENTO!E:E),"0")</f>
        <v>192</v>
      </c>
      <c r="J68" s="30">
        <v>46292</v>
      </c>
      <c r="K68" s="28" t="s">
        <v>33</v>
      </c>
      <c r="L68" s="31">
        <v>45897</v>
      </c>
      <c r="M68" s="32">
        <v>76993320</v>
      </c>
      <c r="N68" s="32"/>
      <c r="O68" s="32"/>
      <c r="P68" s="28" t="s">
        <v>2</v>
      </c>
      <c r="Q68" s="28" t="s">
        <v>154</v>
      </c>
      <c r="R68" s="30">
        <v>46282</v>
      </c>
      <c r="S68" s="30"/>
      <c r="T68" s="33"/>
      <c r="U68" s="34" t="str">
        <f>IFERROR(_xlfn.XLOOKUP(E68,[1]EMPREENDIMENTO!C:C,[1]EMPREENDIMENTO!D:D),"")</f>
        <v>4611e230-7968-ea11-b686-005056856875</v>
      </c>
    </row>
    <row r="69" spans="1:21" hidden="1" x14ac:dyDescent="0.35">
      <c r="A69" s="28" t="str">
        <f>IFERROR(_xlfn.XLOOKUP(C69,[1]DIRETORIA!C:C,[1]DIRETORIA!A:A),"-")</f>
        <v>DIR. COM E CRED CO E AM</v>
      </c>
      <c r="B69" s="28" t="str">
        <f>IFERROR(_xlfn.XLOOKUP(C69,[1]DIRETORIA!C:C,[1]DIRETORIA!B:B),"-")</f>
        <v>GST. COM MT</v>
      </c>
      <c r="C69" s="28" t="str">
        <f>IFERROR(_xlfn.XLOOKUP(E69,[1]EMPREENDIMENTO!C:C,[1]EMPREENDIMENTO!A:A),"-")</f>
        <v>CUIABÁ</v>
      </c>
      <c r="D69" s="28" t="s">
        <v>29</v>
      </c>
      <c r="E69" s="28" t="s">
        <v>152</v>
      </c>
      <c r="F69" s="28" t="s">
        <v>36</v>
      </c>
      <c r="G69" s="28" t="s">
        <v>155</v>
      </c>
      <c r="H69" s="28">
        <v>34132</v>
      </c>
      <c r="I69" s="29">
        <f>IFERROR(_xlfn.XLOOKUP(E69,[1]EMPREENDIMENTO!C:C,[1]EMPREENDIMENTO!E:E),"0")</f>
        <v>192</v>
      </c>
      <c r="J69" s="30">
        <v>46292</v>
      </c>
      <c r="K69" s="28" t="s">
        <v>33</v>
      </c>
      <c r="L69" s="31">
        <v>45897</v>
      </c>
      <c r="M69" s="32">
        <v>76993320</v>
      </c>
      <c r="N69" s="32"/>
      <c r="O69" s="32"/>
      <c r="P69" s="28" t="s">
        <v>2</v>
      </c>
      <c r="Q69" s="28" t="s">
        <v>154</v>
      </c>
      <c r="R69" s="30">
        <v>46282</v>
      </c>
      <c r="S69" s="30"/>
      <c r="T69" s="33"/>
      <c r="U69" s="34" t="str">
        <f>IFERROR(_xlfn.XLOOKUP(E69,[1]EMPREENDIMENTO!C:C,[1]EMPREENDIMENTO!D:D),"")</f>
        <v>4611e230-7968-ea11-b686-005056856875</v>
      </c>
    </row>
    <row r="70" spans="1:21" hidden="1" x14ac:dyDescent="0.35">
      <c r="A70" s="28" t="str">
        <f>IFERROR(_xlfn.XLOOKUP(C70,[1]DIRETORIA!C:C,[1]DIRETORIA!A:A),"-")</f>
        <v>DIR. COM E CRED SUL</v>
      </c>
      <c r="B70" s="28" t="str">
        <f>IFERROR(_xlfn.XLOOKUP(C70,[1]DIRETORIA!C:C,[1]DIRETORIA!B:B),"-")</f>
        <v>GST. COM RS NORTE</v>
      </c>
      <c r="C70" s="28" t="str">
        <f>IFERROR(_xlfn.XLOOKUP(E70,[1]EMPREENDIMENTO!C:C,[1]EMPREENDIMENTO!A:A),"-")</f>
        <v>CANOAS</v>
      </c>
      <c r="D70" s="28" t="s">
        <v>29</v>
      </c>
      <c r="E70" s="28" t="s">
        <v>156</v>
      </c>
      <c r="F70" s="28" t="s">
        <v>31</v>
      </c>
      <c r="G70" s="28" t="s">
        <v>157</v>
      </c>
      <c r="H70" s="28">
        <v>30551</v>
      </c>
      <c r="I70" s="29">
        <f>IFERROR(_xlfn.XLOOKUP(E70,[1]EMPREENDIMENTO!C:C,[1]EMPREENDIMENTO!E:E),"0")</f>
        <v>480</v>
      </c>
      <c r="J70" s="30">
        <v>46283</v>
      </c>
      <c r="K70" s="28" t="s">
        <v>33</v>
      </c>
      <c r="L70" s="31">
        <v>45707</v>
      </c>
      <c r="M70" s="32">
        <v>117940050</v>
      </c>
      <c r="N70" s="32">
        <v>141528060</v>
      </c>
      <c r="O70" s="32">
        <v>130155800</v>
      </c>
      <c r="P70" s="28" t="s">
        <v>34</v>
      </c>
      <c r="Q70" s="28" t="s">
        <v>158</v>
      </c>
      <c r="R70" s="30">
        <v>45712</v>
      </c>
      <c r="S70" s="30">
        <v>45708</v>
      </c>
      <c r="T70" s="33"/>
      <c r="U70" s="34" t="str">
        <f>IFERROR(_xlfn.XLOOKUP(E70,[1]EMPREENDIMENTO!C:C,[1]EMPREENDIMENTO!D:D),"")</f>
        <v>061f5ed3-5024-eb11-9d23-005056856b6c</v>
      </c>
    </row>
    <row r="71" spans="1:21" hidden="1" x14ac:dyDescent="0.35">
      <c r="A71" s="28" t="str">
        <f>IFERROR(_xlfn.XLOOKUP(C71,[1]DIRETORIA!C:C,[1]DIRETORIA!A:A),"-")</f>
        <v>DIR. COM E CRED SUL</v>
      </c>
      <c r="B71" s="28" t="str">
        <f>IFERROR(_xlfn.XLOOKUP(C71,[1]DIRETORIA!C:C,[1]DIRETORIA!B:B),"-")</f>
        <v>GST. COM RS NORTE</v>
      </c>
      <c r="C71" s="28" t="str">
        <f>IFERROR(_xlfn.XLOOKUP(E71,[1]EMPREENDIMENTO!C:C,[1]EMPREENDIMENTO!A:A),"-")</f>
        <v>CANOAS</v>
      </c>
      <c r="D71" s="28" t="s">
        <v>29</v>
      </c>
      <c r="E71" s="28" t="s">
        <v>156</v>
      </c>
      <c r="F71" s="28" t="s">
        <v>36</v>
      </c>
      <c r="G71" s="28" t="s">
        <v>159</v>
      </c>
      <c r="H71" s="28">
        <v>31593</v>
      </c>
      <c r="I71" s="29">
        <f>IFERROR(_xlfn.XLOOKUP(E71,[1]EMPREENDIMENTO!C:C,[1]EMPREENDIMENTO!E:E),"0")</f>
        <v>480</v>
      </c>
      <c r="J71" s="30">
        <v>46283</v>
      </c>
      <c r="K71" s="28" t="s">
        <v>33</v>
      </c>
      <c r="L71" s="31">
        <v>45707</v>
      </c>
      <c r="M71" s="32">
        <v>117940050</v>
      </c>
      <c r="N71" s="32">
        <v>141528060</v>
      </c>
      <c r="O71" s="32">
        <v>130155800</v>
      </c>
      <c r="P71" s="28" t="s">
        <v>34</v>
      </c>
      <c r="Q71" s="28" t="s">
        <v>158</v>
      </c>
      <c r="R71" s="30">
        <v>45712</v>
      </c>
      <c r="S71" s="30">
        <v>45708</v>
      </c>
      <c r="T71" s="33"/>
      <c r="U71" s="34" t="str">
        <f>IFERROR(_xlfn.XLOOKUP(E71,[1]EMPREENDIMENTO!C:C,[1]EMPREENDIMENTO!D:D),"")</f>
        <v>061f5ed3-5024-eb11-9d23-005056856b6c</v>
      </c>
    </row>
    <row r="72" spans="1:21" hidden="1" x14ac:dyDescent="0.35">
      <c r="A72" s="28" t="str">
        <f>IFERROR(_xlfn.XLOOKUP(C72,[1]DIRETORIA!C:C,[1]DIRETORIA!A:A),"-")</f>
        <v>DIR. COM E CRED SUL</v>
      </c>
      <c r="B72" s="28" t="str">
        <f>IFERROR(_xlfn.XLOOKUP(C72,[1]DIRETORIA!C:C,[1]DIRETORIA!B:B),"-")</f>
        <v>GST. COM RS NORTE</v>
      </c>
      <c r="C72" s="28" t="str">
        <f>IFERROR(_xlfn.XLOOKUP(E72,[1]EMPREENDIMENTO!C:C,[1]EMPREENDIMENTO!A:A),"-")</f>
        <v>CANOAS</v>
      </c>
      <c r="D72" s="28" t="s">
        <v>29</v>
      </c>
      <c r="E72" s="28" t="s">
        <v>156</v>
      </c>
      <c r="F72" s="28" t="s">
        <v>39</v>
      </c>
      <c r="G72" s="28" t="s">
        <v>160</v>
      </c>
      <c r="H72" s="28">
        <v>31592</v>
      </c>
      <c r="I72" s="29">
        <f>IFERROR(_xlfn.XLOOKUP(E72,[1]EMPREENDIMENTO!C:C,[1]EMPREENDIMENTO!E:E),"0")</f>
        <v>480</v>
      </c>
      <c r="J72" s="30">
        <v>46283</v>
      </c>
      <c r="K72" s="28" t="s">
        <v>33</v>
      </c>
      <c r="L72" s="31">
        <v>45707</v>
      </c>
      <c r="M72" s="32">
        <v>117940050</v>
      </c>
      <c r="N72" s="32">
        <v>141528060</v>
      </c>
      <c r="O72" s="32">
        <v>130155800</v>
      </c>
      <c r="P72" s="28" t="s">
        <v>34</v>
      </c>
      <c r="Q72" s="28" t="s">
        <v>158</v>
      </c>
      <c r="R72" s="30">
        <v>45712</v>
      </c>
      <c r="S72" s="30">
        <v>45708</v>
      </c>
      <c r="T72" s="33"/>
      <c r="U72" s="34" t="str">
        <f>IFERROR(_xlfn.XLOOKUP(E72,[1]EMPREENDIMENTO!C:C,[1]EMPREENDIMENTO!D:D),"")</f>
        <v>061f5ed3-5024-eb11-9d23-005056856b6c</v>
      </c>
    </row>
    <row r="73" spans="1:21" hidden="1" x14ac:dyDescent="0.35">
      <c r="A73" s="28" t="str">
        <f>IFERROR(_xlfn.XLOOKUP(C73,[1]DIRETORIA!C:C,[1]DIRETORIA!A:A),"-")</f>
        <v>DIR. COM E CRED SUL</v>
      </c>
      <c r="B73" s="28" t="str">
        <f>IFERROR(_xlfn.XLOOKUP(C73,[1]DIRETORIA!C:C,[1]DIRETORIA!B:B),"-")</f>
        <v>GST. COM RS NORTE</v>
      </c>
      <c r="C73" s="28" t="str">
        <f>IFERROR(_xlfn.XLOOKUP(E73,[1]EMPREENDIMENTO!C:C,[1]EMPREENDIMENTO!A:A),"-")</f>
        <v>CANOAS</v>
      </c>
      <c r="D73" s="28" t="s">
        <v>29</v>
      </c>
      <c r="E73" s="28" t="s">
        <v>156</v>
      </c>
      <c r="F73" s="28" t="s">
        <v>50</v>
      </c>
      <c r="G73" s="28" t="s">
        <v>161</v>
      </c>
      <c r="H73" s="28">
        <v>31591</v>
      </c>
      <c r="I73" s="29">
        <f>IFERROR(_xlfn.XLOOKUP(E73,[1]EMPREENDIMENTO!C:C,[1]EMPREENDIMENTO!E:E),"0")</f>
        <v>480</v>
      </c>
      <c r="J73" s="30">
        <v>46283</v>
      </c>
      <c r="K73" s="28" t="s">
        <v>33</v>
      </c>
      <c r="L73" s="31">
        <v>45707</v>
      </c>
      <c r="M73" s="32">
        <v>117940050</v>
      </c>
      <c r="N73" s="32">
        <v>141528060</v>
      </c>
      <c r="O73" s="32">
        <v>130155800</v>
      </c>
      <c r="P73" s="28" t="s">
        <v>34</v>
      </c>
      <c r="Q73" s="28" t="s">
        <v>158</v>
      </c>
      <c r="R73" s="30">
        <v>45712</v>
      </c>
      <c r="S73" s="30">
        <v>45708</v>
      </c>
      <c r="T73" s="33"/>
      <c r="U73" s="34" t="str">
        <f>IFERROR(_xlfn.XLOOKUP(E73,[1]EMPREENDIMENTO!C:C,[1]EMPREENDIMENTO!D:D),"")</f>
        <v>061f5ed3-5024-eb11-9d23-005056856b6c</v>
      </c>
    </row>
    <row r="74" spans="1:21" hidden="1" x14ac:dyDescent="0.35">
      <c r="A74" s="28" t="str">
        <f>IFERROR(_xlfn.XLOOKUP(C74,[1]DIRETORIA!C:C,[1]DIRETORIA!A:A),"-")</f>
        <v>DIR. COM E CRED NE</v>
      </c>
      <c r="B74" s="28" t="str">
        <f>IFERROR(_xlfn.XLOOKUP(C74,[1]DIRETORIA!C:C,[1]DIRETORIA!B:B),"-")</f>
        <v>GST. COM NE1 (BA 1)</v>
      </c>
      <c r="C74" s="28" t="str">
        <f>IFERROR(_xlfn.XLOOKUP(E74,[1]EMPREENDIMENTO!C:C,[1]EMPREENDIMENTO!A:A),"-")</f>
        <v>CAMAÇARI</v>
      </c>
      <c r="D74" s="28" t="s">
        <v>29</v>
      </c>
      <c r="E74" s="28" t="s">
        <v>162</v>
      </c>
      <c r="F74" s="28" t="s">
        <v>31</v>
      </c>
      <c r="G74" s="28" t="s">
        <v>163</v>
      </c>
      <c r="H74" s="28">
        <v>26378</v>
      </c>
      <c r="I74" s="29">
        <f>IFERROR(_xlfn.XLOOKUP(E74,[1]EMPREENDIMENTO!C:C,[1]EMPREENDIMENTO!E:E),"0")</f>
        <v>400</v>
      </c>
      <c r="J74" s="30">
        <v>46751</v>
      </c>
      <c r="K74" s="28" t="s">
        <v>164</v>
      </c>
      <c r="L74" s="31">
        <v>45894</v>
      </c>
      <c r="M74" s="32">
        <v>97062736</v>
      </c>
      <c r="N74" s="32">
        <v>101711356</v>
      </c>
      <c r="O74" s="32">
        <v>98835332</v>
      </c>
      <c r="P74" s="28" t="s">
        <v>34</v>
      </c>
      <c r="Q74" s="28" t="s">
        <v>165</v>
      </c>
      <c r="R74" s="30">
        <v>46055</v>
      </c>
      <c r="S74" s="30">
        <v>46052</v>
      </c>
      <c r="T74" s="33"/>
      <c r="U74" s="34" t="str">
        <f>IFERROR(_xlfn.XLOOKUP(E74,[1]EMPREENDIMENTO!C:C,[1]EMPREENDIMENTO!D:D),"")</f>
        <v>7a43e2df-aaba-e811-a4f5-80c16e075108</v>
      </c>
    </row>
    <row r="75" spans="1:21" hidden="1" x14ac:dyDescent="0.35">
      <c r="A75" s="28" t="str">
        <f>IFERROR(_xlfn.XLOOKUP(C75,[1]DIRETORIA!C:C,[1]DIRETORIA!A:A),"-")</f>
        <v>DIR. COM E CRED NE</v>
      </c>
      <c r="B75" s="28" t="str">
        <f>IFERROR(_xlfn.XLOOKUP(C75,[1]DIRETORIA!C:C,[1]DIRETORIA!B:B),"-")</f>
        <v>GST. COM NE1 (BA 1)</v>
      </c>
      <c r="C75" s="28" t="str">
        <f>IFERROR(_xlfn.XLOOKUP(E75,[1]EMPREENDIMENTO!C:C,[1]EMPREENDIMENTO!A:A),"-")</f>
        <v>CAMAÇARI</v>
      </c>
      <c r="D75" s="28" t="s">
        <v>29</v>
      </c>
      <c r="E75" s="28" t="s">
        <v>162</v>
      </c>
      <c r="F75" s="28" t="s">
        <v>36</v>
      </c>
      <c r="G75" s="28" t="s">
        <v>166</v>
      </c>
      <c r="H75" s="28">
        <v>43916</v>
      </c>
      <c r="I75" s="29">
        <f>IFERROR(_xlfn.XLOOKUP(E75,[1]EMPREENDIMENTO!C:C,[1]EMPREENDIMENTO!E:E),"0")</f>
        <v>400</v>
      </c>
      <c r="J75" s="30">
        <v>46751</v>
      </c>
      <c r="K75" s="28" t="s">
        <v>164</v>
      </c>
      <c r="L75" s="31">
        <v>45894</v>
      </c>
      <c r="M75" s="32">
        <v>97062736</v>
      </c>
      <c r="N75" s="32">
        <v>101711356</v>
      </c>
      <c r="O75" s="32">
        <v>98835332</v>
      </c>
      <c r="P75" s="28" t="s">
        <v>34</v>
      </c>
      <c r="Q75" s="28" t="s">
        <v>165</v>
      </c>
      <c r="R75" s="30">
        <v>46055</v>
      </c>
      <c r="S75" s="30">
        <v>46052</v>
      </c>
      <c r="T75" s="33"/>
      <c r="U75" s="34" t="str">
        <f>IFERROR(_xlfn.XLOOKUP(E75,[1]EMPREENDIMENTO!C:C,[1]EMPREENDIMENTO!D:D),"")</f>
        <v>7a43e2df-aaba-e811-a4f5-80c16e075108</v>
      </c>
    </row>
    <row r="76" spans="1:21" hidden="1" x14ac:dyDescent="0.35">
      <c r="A76" s="28" t="str">
        <f>IFERROR(_xlfn.XLOOKUP(C76,[1]DIRETORIA!C:C,[1]DIRETORIA!A:A),"-")</f>
        <v>DIR. COM E CRED NE</v>
      </c>
      <c r="B76" s="28" t="str">
        <f>IFERROR(_xlfn.XLOOKUP(C76,[1]DIRETORIA!C:C,[1]DIRETORIA!B:B),"-")</f>
        <v>GST. COM NE1 (BA 1)</v>
      </c>
      <c r="C76" s="28" t="str">
        <f>IFERROR(_xlfn.XLOOKUP(E76,[1]EMPREENDIMENTO!C:C,[1]EMPREENDIMENTO!A:A),"-")</f>
        <v>CAMAÇARI</v>
      </c>
      <c r="D76" s="28" t="s">
        <v>29</v>
      </c>
      <c r="E76" s="28" t="s">
        <v>162</v>
      </c>
      <c r="F76" s="28" t="s">
        <v>39</v>
      </c>
      <c r="G76" s="28" t="s">
        <v>167</v>
      </c>
      <c r="H76" s="28">
        <v>46172</v>
      </c>
      <c r="I76" s="29">
        <f>IFERROR(_xlfn.XLOOKUP(E76,[1]EMPREENDIMENTO!C:C,[1]EMPREENDIMENTO!E:E),"0")</f>
        <v>400</v>
      </c>
      <c r="J76" s="30">
        <v>46751</v>
      </c>
      <c r="K76" s="28" t="s">
        <v>164</v>
      </c>
      <c r="L76" s="31">
        <v>45894</v>
      </c>
      <c r="M76" s="32">
        <v>97062736</v>
      </c>
      <c r="N76" s="32">
        <v>101711356</v>
      </c>
      <c r="O76" s="32">
        <v>98835332</v>
      </c>
      <c r="P76" s="28" t="s">
        <v>34</v>
      </c>
      <c r="Q76" s="28" t="s">
        <v>165</v>
      </c>
      <c r="R76" s="30">
        <v>46055</v>
      </c>
      <c r="S76" s="30">
        <v>46052</v>
      </c>
      <c r="T76" s="33"/>
      <c r="U76" s="34" t="str">
        <f>IFERROR(_xlfn.XLOOKUP(E76,[1]EMPREENDIMENTO!C:C,[1]EMPREENDIMENTO!D:D),"")</f>
        <v>7a43e2df-aaba-e811-a4f5-80c16e075108</v>
      </c>
    </row>
    <row r="77" spans="1:21" hidden="1" x14ac:dyDescent="0.35">
      <c r="A77" s="28" t="str">
        <f>IFERROR(_xlfn.XLOOKUP(C77,[1]DIRETORIA!C:C,[1]DIRETORIA!A:A),"-")</f>
        <v>DIR. COM E CRED SUL</v>
      </c>
      <c r="B77" s="28" t="str">
        <f>IFERROR(_xlfn.XLOOKUP(C77,[1]DIRETORIA!C:C,[1]DIRETORIA!B:B),"-")</f>
        <v>GST. COM SC</v>
      </c>
      <c r="C77" s="28" t="str">
        <f>IFERROR(_xlfn.XLOOKUP(E77,[1]EMPREENDIMENTO!C:C,[1]EMPREENDIMENTO!A:A),"-")</f>
        <v>JOINVILLE</v>
      </c>
      <c r="D77" s="28" t="s">
        <v>29</v>
      </c>
      <c r="E77" s="28" t="s">
        <v>168</v>
      </c>
      <c r="F77" s="28" t="s">
        <v>42</v>
      </c>
      <c r="G77" s="28" t="s">
        <v>169</v>
      </c>
      <c r="H77" s="28">
        <v>12782</v>
      </c>
      <c r="I77" s="29">
        <f>IFERROR(_xlfn.XLOOKUP(E77,[1]EMPREENDIMENTO!C:C,[1]EMPREENDIMENTO!E:E),"0")</f>
        <v>120</v>
      </c>
      <c r="J77" s="30">
        <v>45562</v>
      </c>
      <c r="K77" s="28" t="s">
        <v>33</v>
      </c>
      <c r="L77" s="31">
        <v>44967</v>
      </c>
      <c r="M77" s="32">
        <v>23176900</v>
      </c>
      <c r="N77" s="32">
        <v>26225602</v>
      </c>
      <c r="O77" s="32">
        <v>25109400</v>
      </c>
      <c r="P77" s="28" t="s">
        <v>34</v>
      </c>
      <c r="Q77" s="28" t="s">
        <v>170</v>
      </c>
      <c r="R77" s="30">
        <v>44986</v>
      </c>
      <c r="S77" s="30">
        <v>44970</v>
      </c>
      <c r="T77" s="33"/>
      <c r="U77" s="34" t="str">
        <f>IFERROR(_xlfn.XLOOKUP(E77,[1]EMPREENDIMENTO!C:C,[1]EMPREENDIMENTO!D:D),"")</f>
        <v>0AD88DA5-2555-E811-8D3F-80C16E075108</v>
      </c>
    </row>
    <row r="78" spans="1:21" hidden="1" x14ac:dyDescent="0.35">
      <c r="A78" s="28" t="str">
        <f>IFERROR(_xlfn.XLOOKUP(C78,[1]DIRETORIA!C:C,[1]DIRETORIA!A:A),"-")</f>
        <v>DIR. COM E CRED NE</v>
      </c>
      <c r="B78" s="28" t="str">
        <f>IFERROR(_xlfn.XLOOKUP(C78,[1]DIRETORIA!C:C,[1]DIRETORIA!B:B),"-")</f>
        <v>GST. COM NE4 (CE)</v>
      </c>
      <c r="C78" s="28" t="str">
        <f>IFERROR(_xlfn.XLOOKUP(E78,[1]EMPREENDIMENTO!C:C,[1]EMPREENDIMENTO!A:A),"-")</f>
        <v>FORTALEZA</v>
      </c>
      <c r="D78" s="28" t="s">
        <v>29</v>
      </c>
      <c r="E78" s="28" t="s">
        <v>171</v>
      </c>
      <c r="F78" s="28" t="s">
        <v>31</v>
      </c>
      <c r="G78" s="28" t="s">
        <v>172</v>
      </c>
      <c r="H78" s="28">
        <v>29371</v>
      </c>
      <c r="I78" s="29">
        <f>IFERROR(_xlfn.XLOOKUP(E78,[1]EMPREENDIMENTO!C:C,[1]EMPREENDIMENTO!E:E),"0")</f>
        <v>576</v>
      </c>
      <c r="J78" s="30">
        <v>46689</v>
      </c>
      <c r="K78" s="28" t="s">
        <v>33</v>
      </c>
      <c r="L78" s="31">
        <v>46147</v>
      </c>
      <c r="M78" s="32">
        <v>173455020</v>
      </c>
      <c r="N78" s="32">
        <v>179954953</v>
      </c>
      <c r="O78" s="32">
        <v>179852427</v>
      </c>
      <c r="P78" s="28" t="s">
        <v>34</v>
      </c>
      <c r="Q78" s="28" t="s">
        <v>173</v>
      </c>
      <c r="R78" s="30">
        <v>46148</v>
      </c>
      <c r="S78" s="30">
        <v>46147</v>
      </c>
      <c r="T78" s="33"/>
      <c r="U78" s="34" t="str">
        <f>IFERROR(_xlfn.XLOOKUP(E78,[1]EMPREENDIMENTO!C:C,[1]EMPREENDIMENTO!D:D),"")</f>
        <v>969ff61f-1697-e811-b96e-009c02b0cb58</v>
      </c>
    </row>
    <row r="79" spans="1:21" hidden="1" x14ac:dyDescent="0.35">
      <c r="A79" s="28" t="str">
        <f>IFERROR(_xlfn.XLOOKUP(C79,[1]DIRETORIA!C:C,[1]DIRETORIA!A:A),"-")</f>
        <v>DIR. COM E CRED NE</v>
      </c>
      <c r="B79" s="28" t="str">
        <f>IFERROR(_xlfn.XLOOKUP(C79,[1]DIRETORIA!C:C,[1]DIRETORIA!B:B),"-")</f>
        <v>GST. COM NE4 (CE)</v>
      </c>
      <c r="C79" s="28" t="str">
        <f>IFERROR(_xlfn.XLOOKUP(E79,[1]EMPREENDIMENTO!C:C,[1]EMPREENDIMENTO!A:A),"-")</f>
        <v>FORTALEZA</v>
      </c>
      <c r="D79" s="28" t="s">
        <v>29</v>
      </c>
      <c r="E79" s="28" t="s">
        <v>171</v>
      </c>
      <c r="F79" s="28" t="s">
        <v>36</v>
      </c>
      <c r="G79" s="28" t="s">
        <v>174</v>
      </c>
      <c r="H79" s="28">
        <v>38948</v>
      </c>
      <c r="I79" s="29">
        <f>IFERROR(_xlfn.XLOOKUP(E79,[1]EMPREENDIMENTO!C:C,[1]EMPREENDIMENTO!E:E),"0")</f>
        <v>576</v>
      </c>
      <c r="J79" s="30">
        <v>46689</v>
      </c>
      <c r="K79" s="28" t="s">
        <v>33</v>
      </c>
      <c r="L79" s="31">
        <v>46147</v>
      </c>
      <c r="M79" s="32">
        <v>173455020</v>
      </c>
      <c r="N79" s="32">
        <v>179954953</v>
      </c>
      <c r="O79" s="32">
        <v>179852427</v>
      </c>
      <c r="P79" s="28" t="s">
        <v>34</v>
      </c>
      <c r="Q79" s="28" t="s">
        <v>173</v>
      </c>
      <c r="R79" s="30">
        <v>46148</v>
      </c>
      <c r="S79" s="30">
        <v>46147</v>
      </c>
      <c r="T79" s="33"/>
      <c r="U79" s="34" t="str">
        <f>IFERROR(_xlfn.XLOOKUP(E79,[1]EMPREENDIMENTO!C:C,[1]EMPREENDIMENTO!D:D),"")</f>
        <v>969ff61f-1697-e811-b96e-009c02b0cb58</v>
      </c>
    </row>
    <row r="80" spans="1:21" hidden="1" x14ac:dyDescent="0.35">
      <c r="A80" s="28" t="str">
        <f>IFERROR(_xlfn.XLOOKUP(C80,[1]DIRETORIA!C:C,[1]DIRETORIA!A:A),"-")</f>
        <v>DIR. COM E CRED NE</v>
      </c>
      <c r="B80" s="28" t="str">
        <f>IFERROR(_xlfn.XLOOKUP(C80,[1]DIRETORIA!C:C,[1]DIRETORIA!B:B),"-")</f>
        <v>GST. COM NE4 (CE)</v>
      </c>
      <c r="C80" s="28" t="str">
        <f>IFERROR(_xlfn.XLOOKUP(E80,[1]EMPREENDIMENTO!C:C,[1]EMPREENDIMENTO!A:A),"-")</f>
        <v>FORTALEZA</v>
      </c>
      <c r="D80" s="28" t="s">
        <v>29</v>
      </c>
      <c r="E80" s="28" t="s">
        <v>171</v>
      </c>
      <c r="F80" s="28" t="s">
        <v>39</v>
      </c>
      <c r="G80" s="28" t="s">
        <v>175</v>
      </c>
      <c r="H80" s="28">
        <v>50447</v>
      </c>
      <c r="I80" s="29">
        <f>IFERROR(_xlfn.XLOOKUP(E80,[1]EMPREENDIMENTO!C:C,[1]EMPREENDIMENTO!E:E),"0")</f>
        <v>576</v>
      </c>
      <c r="J80" s="30">
        <v>46689</v>
      </c>
      <c r="K80" s="28" t="s">
        <v>33</v>
      </c>
      <c r="L80" s="31">
        <v>46147</v>
      </c>
      <c r="M80" s="32">
        <v>173455020</v>
      </c>
      <c r="N80" s="32">
        <v>179954953</v>
      </c>
      <c r="O80" s="32">
        <v>179852427</v>
      </c>
      <c r="P80" s="28" t="s">
        <v>34</v>
      </c>
      <c r="Q80" s="28" t="s">
        <v>173</v>
      </c>
      <c r="R80" s="30">
        <v>46148</v>
      </c>
      <c r="S80" s="30">
        <v>46147</v>
      </c>
      <c r="T80" s="33"/>
      <c r="U80" s="34" t="str">
        <f>IFERROR(_xlfn.XLOOKUP(E80,[1]EMPREENDIMENTO!C:C,[1]EMPREENDIMENTO!D:D),"")</f>
        <v>969ff61f-1697-e811-b96e-009c02b0cb58</v>
      </c>
    </row>
    <row r="81" spans="1:21" hidden="1" x14ac:dyDescent="0.35">
      <c r="A81" s="28" t="str">
        <f>IFERROR(_xlfn.XLOOKUP(C81,[1]DIRETORIA!C:C,[1]DIRETORIA!A:A),"-")</f>
        <v>DIR. COM E CRED NE</v>
      </c>
      <c r="B81" s="28" t="str">
        <f>IFERROR(_xlfn.XLOOKUP(C81,[1]DIRETORIA!C:C,[1]DIRETORIA!B:B),"-")</f>
        <v>GST. COM NE 3 (SE+AL)</v>
      </c>
      <c r="C81" s="28" t="str">
        <f>IFERROR(_xlfn.XLOOKUP(E81,[1]EMPREENDIMENTO!C:C,[1]EMPREENDIMENTO!A:A),"-")</f>
        <v>MACEIÓ</v>
      </c>
      <c r="D81" s="28" t="s">
        <v>29</v>
      </c>
      <c r="E81" s="28" t="s">
        <v>176</v>
      </c>
      <c r="F81" s="28" t="s">
        <v>42</v>
      </c>
      <c r="G81" s="28" t="s">
        <v>177</v>
      </c>
      <c r="H81" s="28">
        <v>23762</v>
      </c>
      <c r="I81" s="29">
        <f>IFERROR(_xlfn.XLOOKUP(E81,[1]EMPREENDIMENTO!C:C,[1]EMPREENDIMENTO!E:E),"0")</f>
        <v>180</v>
      </c>
      <c r="J81" s="30">
        <v>46241</v>
      </c>
      <c r="K81" s="28" t="s">
        <v>33</v>
      </c>
      <c r="L81" s="31">
        <v>45247</v>
      </c>
      <c r="M81" s="32">
        <v>36375000</v>
      </c>
      <c r="N81" s="32">
        <v>44723063</v>
      </c>
      <c r="O81" s="32">
        <v>44125750</v>
      </c>
      <c r="P81" s="28" t="s">
        <v>34</v>
      </c>
      <c r="Q81" s="28" t="s">
        <v>178</v>
      </c>
      <c r="R81" s="30">
        <v>45257</v>
      </c>
      <c r="S81" s="30">
        <v>45247</v>
      </c>
      <c r="T81" s="33"/>
      <c r="U81" s="34" t="str">
        <f>IFERROR(_xlfn.XLOOKUP(E81,[1]EMPREENDIMENTO!C:C,[1]EMPREENDIMENTO!D:D),"")</f>
        <v>76ebe098-5913-e411-8efb-009c02b0cb58</v>
      </c>
    </row>
    <row r="82" spans="1:21" x14ac:dyDescent="0.35">
      <c r="A82" s="28" t="str">
        <f>IFERROR(_xlfn.XLOOKUP(C82,[1]DIRETORIA!C:C,[1]DIRETORIA!A:A),"-")</f>
        <v>DIR. COM E CRED SPI</v>
      </c>
      <c r="B82" s="28" t="str">
        <f>IFERROR(_xlfn.XLOOKUP(C82,[1]DIRETORIA!C:C,[1]DIRETORIA!B:B),"-")</f>
        <v>GST. COM RP 1</v>
      </c>
      <c r="C82" s="28" t="str">
        <f>IFERROR(_xlfn.XLOOKUP(E82,[1]EMPREENDIMENTO!C:C,[1]EMPREENDIMENTO!A:A),"-")</f>
        <v>RIBEIRÃO PRETO</v>
      </c>
      <c r="D82" s="28" t="s">
        <v>29</v>
      </c>
      <c r="E82" s="28" t="s">
        <v>179</v>
      </c>
      <c r="F82" s="28" t="s">
        <v>31</v>
      </c>
      <c r="G82" s="28" t="s">
        <v>180</v>
      </c>
      <c r="H82" s="28">
        <v>26330</v>
      </c>
      <c r="I82" s="29">
        <f>IFERROR(_xlfn.XLOOKUP(E82,[1]EMPREENDIMENTO!C:C,[1]EMPREENDIMENTO!E:E),"0")</f>
        <v>500</v>
      </c>
      <c r="J82" s="30">
        <v>45653</v>
      </c>
      <c r="K82" s="28" t="s">
        <v>33</v>
      </c>
      <c r="L82" s="31">
        <v>45440</v>
      </c>
      <c r="M82" s="32">
        <v>106130000</v>
      </c>
      <c r="N82" s="32">
        <v>116854500</v>
      </c>
      <c r="O82" s="32">
        <v>112147000</v>
      </c>
      <c r="P82" s="28" t="s">
        <v>34</v>
      </c>
      <c r="Q82" s="28" t="s">
        <v>181</v>
      </c>
      <c r="R82" s="30">
        <v>45456</v>
      </c>
      <c r="S82" s="30">
        <v>45440</v>
      </c>
      <c r="T82" s="33"/>
      <c r="U82" s="34" t="str">
        <f>IFERROR(_xlfn.XLOOKUP(E82,[1]EMPREENDIMENTO!C:C,[1]EMPREENDIMENTO!D:D),"")</f>
        <v>7A8FD7E4-6380-E811-8D3F-80C16E075108</v>
      </c>
    </row>
    <row r="83" spans="1:21" x14ac:dyDescent="0.35">
      <c r="A83" s="28" t="str">
        <f>IFERROR(_xlfn.XLOOKUP(C83,[1]DIRETORIA!C:C,[1]DIRETORIA!A:A),"-")</f>
        <v>DIR. COM E CRED SPI</v>
      </c>
      <c r="B83" s="28" t="str">
        <f>IFERROR(_xlfn.XLOOKUP(C83,[1]DIRETORIA!C:C,[1]DIRETORIA!B:B),"-")</f>
        <v>GST. COM RP 1</v>
      </c>
      <c r="C83" s="28" t="str">
        <f>IFERROR(_xlfn.XLOOKUP(E83,[1]EMPREENDIMENTO!C:C,[1]EMPREENDIMENTO!A:A),"-")</f>
        <v>RIBEIRÃO PRETO</v>
      </c>
      <c r="D83" s="28" t="s">
        <v>29</v>
      </c>
      <c r="E83" s="28" t="s">
        <v>179</v>
      </c>
      <c r="F83" s="28" t="s">
        <v>36</v>
      </c>
      <c r="G83" s="28" t="s">
        <v>182</v>
      </c>
      <c r="H83" s="28">
        <v>26395</v>
      </c>
      <c r="I83" s="29">
        <f>IFERROR(_xlfn.XLOOKUP(E83,[1]EMPREENDIMENTO!C:C,[1]EMPREENDIMENTO!E:E),"0")</f>
        <v>500</v>
      </c>
      <c r="J83" s="30">
        <v>45653</v>
      </c>
      <c r="K83" s="28" t="s">
        <v>33</v>
      </c>
      <c r="L83" s="31">
        <v>45440</v>
      </c>
      <c r="M83" s="32">
        <v>106130000</v>
      </c>
      <c r="N83" s="32">
        <v>116854500</v>
      </c>
      <c r="O83" s="32">
        <v>112147000</v>
      </c>
      <c r="P83" s="28" t="s">
        <v>34</v>
      </c>
      <c r="Q83" s="28" t="s">
        <v>181</v>
      </c>
      <c r="R83" s="30">
        <v>45456</v>
      </c>
      <c r="S83" s="30">
        <v>45440</v>
      </c>
      <c r="T83" s="33"/>
      <c r="U83" s="34" t="str">
        <f>IFERROR(_xlfn.XLOOKUP(E83,[1]EMPREENDIMENTO!C:C,[1]EMPREENDIMENTO!D:D),"")</f>
        <v>7A8FD7E4-6380-E811-8D3F-80C16E075108</v>
      </c>
    </row>
    <row r="84" spans="1:21" x14ac:dyDescent="0.35">
      <c r="A84" s="28" t="str">
        <f>IFERROR(_xlfn.XLOOKUP(C84,[1]DIRETORIA!C:C,[1]DIRETORIA!A:A),"-")</f>
        <v>DIR. COM E CRED SPI</v>
      </c>
      <c r="B84" s="28" t="str">
        <f>IFERROR(_xlfn.XLOOKUP(C84,[1]DIRETORIA!C:C,[1]DIRETORIA!B:B),"-")</f>
        <v>GST. COM RP 1</v>
      </c>
      <c r="C84" s="28" t="str">
        <f>IFERROR(_xlfn.XLOOKUP(E84,[1]EMPREENDIMENTO!C:C,[1]EMPREENDIMENTO!A:A),"-")</f>
        <v>RIBEIRÃO PRETO</v>
      </c>
      <c r="D84" s="28" t="s">
        <v>29</v>
      </c>
      <c r="E84" s="28" t="s">
        <v>179</v>
      </c>
      <c r="F84" s="28" t="s">
        <v>39</v>
      </c>
      <c r="G84" s="28" t="s">
        <v>183</v>
      </c>
      <c r="H84" s="28">
        <v>26396</v>
      </c>
      <c r="I84" s="29">
        <f>IFERROR(_xlfn.XLOOKUP(E84,[1]EMPREENDIMENTO!C:C,[1]EMPREENDIMENTO!E:E),"0")</f>
        <v>500</v>
      </c>
      <c r="J84" s="30">
        <v>45653</v>
      </c>
      <c r="K84" s="28" t="s">
        <v>33</v>
      </c>
      <c r="L84" s="31">
        <v>45440</v>
      </c>
      <c r="M84" s="32">
        <v>106130000</v>
      </c>
      <c r="N84" s="32">
        <v>116854500</v>
      </c>
      <c r="O84" s="32">
        <v>112147000</v>
      </c>
      <c r="P84" s="28" t="s">
        <v>34</v>
      </c>
      <c r="Q84" s="28" t="s">
        <v>181</v>
      </c>
      <c r="R84" s="30">
        <v>45456</v>
      </c>
      <c r="S84" s="30">
        <v>45440</v>
      </c>
      <c r="T84" s="33"/>
      <c r="U84" s="34" t="str">
        <f>IFERROR(_xlfn.XLOOKUP(E84,[1]EMPREENDIMENTO!C:C,[1]EMPREENDIMENTO!D:D),"")</f>
        <v>7A8FD7E4-6380-E811-8D3F-80C16E075108</v>
      </c>
    </row>
    <row r="85" spans="1:21" hidden="1" x14ac:dyDescent="0.35">
      <c r="A85" s="28" t="str">
        <f>IFERROR(_xlfn.XLOOKUP(C85,[1]DIRETORIA!C:C,[1]DIRETORIA!A:A),"-")</f>
        <v>DIR. COM E CRED SUL</v>
      </c>
      <c r="B85" s="28" t="str">
        <f>IFERROR(_xlfn.XLOOKUP(C85,[1]DIRETORIA!C:C,[1]DIRETORIA!B:B),"-")</f>
        <v>GST. COM RS NORTE</v>
      </c>
      <c r="C85" s="28" t="str">
        <f>IFERROR(_xlfn.XLOOKUP(E85,[1]EMPREENDIMENTO!C:C,[1]EMPREENDIMENTO!A:A),"-")</f>
        <v>NOVO HAMBURGO</v>
      </c>
      <c r="D85" s="28" t="s">
        <v>29</v>
      </c>
      <c r="E85" s="28" t="s">
        <v>184</v>
      </c>
      <c r="F85" s="28" t="s">
        <v>42</v>
      </c>
      <c r="G85" s="28" t="s">
        <v>185</v>
      </c>
      <c r="H85" s="28">
        <v>30336</v>
      </c>
      <c r="I85" s="29">
        <f>IFERROR(_xlfn.XLOOKUP(E85,[1]EMPREENDIMENTO!C:C,[1]EMPREENDIMENTO!E:E),"0")</f>
        <v>160</v>
      </c>
      <c r="J85" s="30">
        <v>46020</v>
      </c>
      <c r="K85" s="28" t="s">
        <v>33</v>
      </c>
      <c r="L85" s="31">
        <v>45492</v>
      </c>
      <c r="M85" s="32">
        <v>35315900</v>
      </c>
      <c r="N85" s="32">
        <v>39243800</v>
      </c>
      <c r="O85" s="32">
        <v>36179800</v>
      </c>
      <c r="P85" s="28" t="s">
        <v>34</v>
      </c>
      <c r="Q85" s="28" t="s">
        <v>186</v>
      </c>
      <c r="R85" s="30">
        <v>45492</v>
      </c>
      <c r="S85" s="30">
        <v>45506</v>
      </c>
      <c r="T85" s="33"/>
      <c r="U85" s="34" t="str">
        <f>IFERROR(_xlfn.XLOOKUP(E85,[1]EMPREENDIMENTO!C:C,[1]EMPREENDIMENTO!D:D),"")</f>
        <v>8c2968d0-4c24-eb11-9d23-005056856b6c</v>
      </c>
    </row>
    <row r="86" spans="1:21" hidden="1" x14ac:dyDescent="0.35">
      <c r="A86" s="28" t="str">
        <f>IFERROR(_xlfn.XLOOKUP(C86,[1]DIRETORIA!C:C,[1]DIRETORIA!A:A),"-")</f>
        <v>DIR. COM E CRED SUL</v>
      </c>
      <c r="B86" s="28" t="str">
        <f>IFERROR(_xlfn.XLOOKUP(C86,[1]DIRETORIA!C:C,[1]DIRETORIA!B:B),"-")</f>
        <v>GST. COM RS SUL</v>
      </c>
      <c r="C86" s="28" t="str">
        <f>IFERROR(_xlfn.XLOOKUP(E86,[1]EMPREENDIMENTO!C:C,[1]EMPREENDIMENTO!A:A),"-")</f>
        <v>PORTO ALEGRE</v>
      </c>
      <c r="D86" s="28" t="s">
        <v>29</v>
      </c>
      <c r="E86" s="28" t="s">
        <v>187</v>
      </c>
      <c r="F86" s="28" t="s">
        <v>42</v>
      </c>
      <c r="G86" s="28" t="s">
        <v>188</v>
      </c>
      <c r="H86" s="28">
        <v>23455</v>
      </c>
      <c r="I86" s="29">
        <f>IFERROR(_xlfn.XLOOKUP(E86,[1]EMPREENDIMENTO!C:C,[1]EMPREENDIMENTO!E:E),"0")</f>
        <v>240</v>
      </c>
      <c r="J86" s="30">
        <v>45628</v>
      </c>
      <c r="K86" s="28" t="s">
        <v>33</v>
      </c>
      <c r="L86" s="31">
        <v>45540</v>
      </c>
      <c r="M86" s="32">
        <v>86449992</v>
      </c>
      <c r="N86" s="32">
        <v>92816852</v>
      </c>
      <c r="O86" s="32">
        <v>92807452</v>
      </c>
      <c r="P86" s="28" t="s">
        <v>34</v>
      </c>
      <c r="Q86" s="28" t="s">
        <v>189</v>
      </c>
      <c r="R86" s="30">
        <v>45543</v>
      </c>
      <c r="S86" s="30">
        <v>45541</v>
      </c>
      <c r="T86" s="33"/>
      <c r="U86" s="34" t="str">
        <f>IFERROR(_xlfn.XLOOKUP(E86,[1]EMPREENDIMENTO!C:C,[1]EMPREENDIMENTO!D:D),"")</f>
        <v>756f19de-d983-e911-a3a8-0050568aa20f</v>
      </c>
    </row>
    <row r="87" spans="1:21" hidden="1" x14ac:dyDescent="0.35">
      <c r="A87" s="28" t="str">
        <f>IFERROR(_xlfn.XLOOKUP(C87,[1]DIRETORIA!C:C,[1]DIRETORIA!A:A),"-")</f>
        <v>DIR. COM E CRED NE</v>
      </c>
      <c r="B87" s="28" t="str">
        <f>IFERROR(_xlfn.XLOOKUP(C87,[1]DIRETORIA!C:C,[1]DIRETORIA!B:B),"-")</f>
        <v>GST. COM NE2 (PE)</v>
      </c>
      <c r="C87" s="28" t="str">
        <f>IFERROR(_xlfn.XLOOKUP(E87,[1]EMPREENDIMENTO!C:C,[1]EMPREENDIMENTO!A:A),"-")</f>
        <v>CARUARU</v>
      </c>
      <c r="D87" s="28" t="s">
        <v>29</v>
      </c>
      <c r="E87" s="28" t="s">
        <v>190</v>
      </c>
      <c r="F87" s="28" t="s">
        <v>31</v>
      </c>
      <c r="G87" s="28" t="s">
        <v>191</v>
      </c>
      <c r="H87" s="28">
        <v>31320</v>
      </c>
      <c r="I87" s="29">
        <f>IFERROR(_xlfn.XLOOKUP(E87,[1]EMPREENDIMENTO!C:C,[1]EMPREENDIMENTO!E:E),"0")</f>
        <v>240</v>
      </c>
      <c r="J87" s="30">
        <v>46248</v>
      </c>
      <c r="K87" s="28" t="s">
        <v>33</v>
      </c>
      <c r="L87" s="31">
        <v>45604</v>
      </c>
      <c r="M87" s="32">
        <v>50577000</v>
      </c>
      <c r="N87" s="32">
        <v>55393848</v>
      </c>
      <c r="O87" s="32">
        <v>53072000</v>
      </c>
      <c r="P87" s="28" t="s">
        <v>34</v>
      </c>
      <c r="Q87" s="28" t="s">
        <v>192</v>
      </c>
      <c r="R87" s="30">
        <v>45606</v>
      </c>
      <c r="S87" s="30">
        <v>45604</v>
      </c>
      <c r="T87" s="33"/>
      <c r="U87" s="34" t="str">
        <f>IFERROR(_xlfn.XLOOKUP(E87,[1]EMPREENDIMENTO!C:C,[1]EMPREENDIMENTO!D:D),"")</f>
        <v>ce4eb405-66d3-ea11-beeb-005056856875</v>
      </c>
    </row>
    <row r="88" spans="1:21" hidden="1" x14ac:dyDescent="0.35">
      <c r="A88" s="28" t="str">
        <f>IFERROR(_xlfn.XLOOKUP(C88,[1]DIRETORIA!C:C,[1]DIRETORIA!A:A),"-")</f>
        <v>DIR. COM E CRED NE</v>
      </c>
      <c r="B88" s="28" t="str">
        <f>IFERROR(_xlfn.XLOOKUP(C88,[1]DIRETORIA!C:C,[1]DIRETORIA!B:B),"-")</f>
        <v>GST. COM NE2 (PE)</v>
      </c>
      <c r="C88" s="28" t="str">
        <f>IFERROR(_xlfn.XLOOKUP(E88,[1]EMPREENDIMENTO!C:C,[1]EMPREENDIMENTO!A:A),"-")</f>
        <v>CARUARU</v>
      </c>
      <c r="D88" s="28" t="s">
        <v>29</v>
      </c>
      <c r="E88" s="28" t="s">
        <v>190</v>
      </c>
      <c r="F88" s="28" t="s">
        <v>36</v>
      </c>
      <c r="G88" s="28" t="s">
        <v>193</v>
      </c>
      <c r="H88" s="28">
        <v>36840</v>
      </c>
      <c r="I88" s="29">
        <f>IFERROR(_xlfn.XLOOKUP(E88,[1]EMPREENDIMENTO!C:C,[1]EMPREENDIMENTO!E:E),"0")</f>
        <v>240</v>
      </c>
      <c r="J88" s="30">
        <v>46248</v>
      </c>
      <c r="K88" s="28" t="s">
        <v>33</v>
      </c>
      <c r="L88" s="31">
        <v>45604</v>
      </c>
      <c r="M88" s="32">
        <v>50577000</v>
      </c>
      <c r="N88" s="32">
        <v>55393848</v>
      </c>
      <c r="O88" s="32">
        <v>53072000</v>
      </c>
      <c r="P88" s="28" t="s">
        <v>34</v>
      </c>
      <c r="Q88" s="28" t="s">
        <v>192</v>
      </c>
      <c r="R88" s="30">
        <v>45606</v>
      </c>
      <c r="S88" s="30">
        <v>45604</v>
      </c>
      <c r="T88" s="33"/>
      <c r="U88" s="34" t="str">
        <f>IFERROR(_xlfn.XLOOKUP(E88,[1]EMPREENDIMENTO!C:C,[1]EMPREENDIMENTO!D:D),"")</f>
        <v>ce4eb405-66d3-ea11-beeb-005056856875</v>
      </c>
    </row>
    <row r="89" spans="1:21" hidden="1" x14ac:dyDescent="0.35">
      <c r="A89" s="28" t="str">
        <f>IFERROR(_xlfn.XLOOKUP(C89,[1]DIRETORIA!C:C,[1]DIRETORIA!A:A),"-")</f>
        <v>DIR. COM E CRED SUL</v>
      </c>
      <c r="B89" s="28" t="str">
        <f>IFERROR(_xlfn.XLOOKUP(C89,[1]DIRETORIA!C:C,[1]DIRETORIA!B:B),"-")</f>
        <v>GST. COM LONDRINA</v>
      </c>
      <c r="C89" s="28" t="str">
        <f>IFERROR(_xlfn.XLOOKUP(E89,[1]EMPREENDIMENTO!C:C,[1]EMPREENDIMENTO!A:A),"-")</f>
        <v>LONDRINA</v>
      </c>
      <c r="D89" s="28" t="s">
        <v>29</v>
      </c>
      <c r="E89" s="28" t="s">
        <v>194</v>
      </c>
      <c r="F89" s="28" t="s">
        <v>42</v>
      </c>
      <c r="G89" s="28" t="s">
        <v>195</v>
      </c>
      <c r="H89" s="28">
        <v>28795</v>
      </c>
      <c r="I89" s="29">
        <f>IFERROR(_xlfn.XLOOKUP(E89,[1]EMPREENDIMENTO!C:C,[1]EMPREENDIMENTO!E:E),"0")</f>
        <v>128</v>
      </c>
      <c r="J89" s="30">
        <v>45540</v>
      </c>
      <c r="K89" s="28" t="s">
        <v>33</v>
      </c>
      <c r="L89" s="31">
        <v>45645</v>
      </c>
      <c r="M89" s="32">
        <v>48721751</v>
      </c>
      <c r="N89" s="32">
        <v>52074888</v>
      </c>
      <c r="O89" s="32">
        <v>50537138</v>
      </c>
      <c r="P89" s="28" t="s">
        <v>34</v>
      </c>
      <c r="Q89" s="28" t="s">
        <v>196</v>
      </c>
      <c r="R89" s="30">
        <v>45645</v>
      </c>
      <c r="S89" s="30">
        <v>45645</v>
      </c>
      <c r="T89" s="33"/>
      <c r="U89" s="34" t="str">
        <f>IFERROR(_xlfn.XLOOKUP(E89,[1]EMPREENDIMENTO!C:C,[1]EMPREENDIMENTO!D:D),"")</f>
        <v>d2d01bca-5284-e811-b96e-009c02b0cb58</v>
      </c>
    </row>
    <row r="90" spans="1:21" x14ac:dyDescent="0.35">
      <c r="A90" s="28" t="str">
        <f>IFERROR(_xlfn.XLOOKUP(C90,[1]DIRETORIA!C:C,[1]DIRETORIA!A:A),"-")</f>
        <v>DIR. COM E CRED SPI</v>
      </c>
      <c r="B90" s="28" t="str">
        <f>IFERROR(_xlfn.XLOOKUP(C90,[1]DIRETORIA!C:C,[1]DIRETORIA!B:B),"-")</f>
        <v>GST. COM OP 1</v>
      </c>
      <c r="C90" s="28" t="str">
        <f>IFERROR(_xlfn.XLOOKUP(E90,[1]EMPREENDIMENTO!C:C,[1]EMPREENDIMENTO!A:A),"-")</f>
        <v>ARAÇATUBA</v>
      </c>
      <c r="D90" s="28" t="s">
        <v>29</v>
      </c>
      <c r="E90" s="28" t="s">
        <v>197</v>
      </c>
      <c r="F90" s="28" t="s">
        <v>31</v>
      </c>
      <c r="G90" s="28" t="s">
        <v>198</v>
      </c>
      <c r="H90" s="28">
        <v>32891</v>
      </c>
      <c r="I90" s="29">
        <f>IFERROR(_xlfn.XLOOKUP(E90,[1]EMPREENDIMENTO!C:C,[1]EMPREENDIMENTO!E:E),"0")</f>
        <v>0</v>
      </c>
      <c r="J90" s="30"/>
      <c r="K90" s="28" t="s">
        <v>33</v>
      </c>
      <c r="L90" s="31">
        <v>45119</v>
      </c>
      <c r="M90" s="32">
        <v>33454700</v>
      </c>
      <c r="N90" s="32">
        <v>40030000</v>
      </c>
      <c r="O90" s="32">
        <v>37912300</v>
      </c>
      <c r="P90" s="28" t="s">
        <v>34</v>
      </c>
      <c r="Q90" s="28" t="s">
        <v>199</v>
      </c>
      <c r="R90" s="30">
        <v>44895</v>
      </c>
      <c r="S90" s="30">
        <v>45119</v>
      </c>
      <c r="T90" s="33"/>
      <c r="U90" s="34" t="str">
        <f>IFERROR(_xlfn.XLOOKUP(E90,[1]EMPREENDIMENTO!C:C,[1]EMPREENDIMENTO!D:D),"")</f>
        <v>803b6047-2b36-eb11-85d0-005056856875</v>
      </c>
    </row>
    <row r="91" spans="1:21" x14ac:dyDescent="0.35">
      <c r="A91" s="28" t="str">
        <f>IFERROR(_xlfn.XLOOKUP(C91,[1]DIRETORIA!C:C,[1]DIRETORIA!A:A),"-")</f>
        <v>DIR. COM E CRED SPI</v>
      </c>
      <c r="B91" s="28" t="str">
        <f>IFERROR(_xlfn.XLOOKUP(C91,[1]DIRETORIA!C:C,[1]DIRETORIA!B:B),"-")</f>
        <v>GST. COM OP 1</v>
      </c>
      <c r="C91" s="28" t="str">
        <f>IFERROR(_xlfn.XLOOKUP(E91,[1]EMPREENDIMENTO!C:C,[1]EMPREENDIMENTO!A:A),"-")</f>
        <v>ARAÇATUBA</v>
      </c>
      <c r="D91" s="28" t="s">
        <v>85</v>
      </c>
      <c r="E91" s="28" t="s">
        <v>197</v>
      </c>
      <c r="F91" s="28" t="s">
        <v>36</v>
      </c>
      <c r="G91" s="28" t="s">
        <v>200</v>
      </c>
      <c r="H91" s="28">
        <v>35596</v>
      </c>
      <c r="I91" s="29">
        <f>IFERROR(_xlfn.XLOOKUP(E91,[1]EMPREENDIMENTO!C:C,[1]EMPREENDIMENTO!E:E),"0")</f>
        <v>0</v>
      </c>
      <c r="J91" s="30"/>
      <c r="K91" s="28" t="s">
        <v>33</v>
      </c>
      <c r="L91" s="31">
        <v>45119</v>
      </c>
      <c r="M91" s="32">
        <v>33454700</v>
      </c>
      <c r="N91" s="32">
        <v>40030000</v>
      </c>
      <c r="O91" s="32">
        <v>37912300</v>
      </c>
      <c r="P91" s="28" t="s">
        <v>34</v>
      </c>
      <c r="Q91" s="28" t="s">
        <v>199</v>
      </c>
      <c r="R91" s="30">
        <v>44895</v>
      </c>
      <c r="S91" s="30">
        <v>45119</v>
      </c>
      <c r="T91" s="33"/>
      <c r="U91" s="34" t="str">
        <f>IFERROR(_xlfn.XLOOKUP(E91,[1]EMPREENDIMENTO!C:C,[1]EMPREENDIMENTO!D:D),"")</f>
        <v>803b6047-2b36-eb11-85d0-005056856875</v>
      </c>
    </row>
    <row r="92" spans="1:21" hidden="1" x14ac:dyDescent="0.35">
      <c r="A92" s="28" t="str">
        <f>IFERROR(_xlfn.XLOOKUP(C92,[1]DIRETORIA!C:C,[1]DIRETORIA!A:A),"-")</f>
        <v>DIR. COM E CRED SP E VL</v>
      </c>
      <c r="B92" s="28" t="str">
        <f>IFERROR(_xlfn.XLOOKUP(C92,[1]DIRETORIA!C:C,[1]DIRETORIA!B:B),"-")</f>
        <v>GST. COM VL2</v>
      </c>
      <c r="C92" s="28" t="str">
        <f>IFERROR(_xlfn.XLOOKUP(E92,[1]EMPREENDIMENTO!C:C,[1]EMPREENDIMENTO!A:A),"-")</f>
        <v>GUARULHOS</v>
      </c>
      <c r="D92" s="28" t="s">
        <v>29</v>
      </c>
      <c r="E92" s="28" t="s">
        <v>201</v>
      </c>
      <c r="F92" s="28" t="s">
        <v>31</v>
      </c>
      <c r="G92" s="28" t="s">
        <v>202</v>
      </c>
      <c r="H92" s="28">
        <v>36439</v>
      </c>
      <c r="I92" s="29">
        <f>IFERROR(_xlfn.XLOOKUP(E92,[1]EMPREENDIMENTO!C:C,[1]EMPREENDIMENTO!E:E),"0")</f>
        <v>336</v>
      </c>
      <c r="J92" s="30">
        <v>46598</v>
      </c>
      <c r="K92" s="28" t="s">
        <v>33</v>
      </c>
      <c r="L92" s="31">
        <v>46097</v>
      </c>
      <c r="M92" s="32">
        <v>181768917</v>
      </c>
      <c r="N92" s="32">
        <v>215587808</v>
      </c>
      <c r="O92" s="32">
        <v>206926839</v>
      </c>
      <c r="P92" s="28" t="s">
        <v>34</v>
      </c>
      <c r="Q92" s="28" t="s">
        <v>203</v>
      </c>
      <c r="R92" s="30">
        <v>46118</v>
      </c>
      <c r="S92" s="30">
        <v>46098</v>
      </c>
      <c r="T92" s="33"/>
      <c r="U92" s="34" t="str">
        <f>IFERROR(_xlfn.XLOOKUP(E92,[1]EMPREENDIMENTO!C:C,[1]EMPREENDIMENTO!D:D),"")</f>
        <v>1ebbcb67-2975-ea11-aed6-0050568aa20f</v>
      </c>
    </row>
    <row r="93" spans="1:21" hidden="1" x14ac:dyDescent="0.35">
      <c r="A93" s="28" t="str">
        <f>IFERROR(_xlfn.XLOOKUP(C93,[1]DIRETORIA!C:C,[1]DIRETORIA!A:A),"-")</f>
        <v>DIR. COM E CRED SP E VL</v>
      </c>
      <c r="B93" s="28" t="str">
        <f>IFERROR(_xlfn.XLOOKUP(C93,[1]DIRETORIA!C:C,[1]DIRETORIA!B:B),"-")</f>
        <v>GST. COM VL2</v>
      </c>
      <c r="C93" s="28" t="str">
        <f>IFERROR(_xlfn.XLOOKUP(E93,[1]EMPREENDIMENTO!C:C,[1]EMPREENDIMENTO!A:A),"-")</f>
        <v>GUARULHOS</v>
      </c>
      <c r="D93" s="28" t="s">
        <v>29</v>
      </c>
      <c r="E93" s="28" t="s">
        <v>201</v>
      </c>
      <c r="F93" s="28" t="s">
        <v>36</v>
      </c>
      <c r="G93" s="28" t="s">
        <v>204</v>
      </c>
      <c r="H93" s="28">
        <v>37411</v>
      </c>
      <c r="I93" s="29">
        <f>IFERROR(_xlfn.XLOOKUP(E93,[1]EMPREENDIMENTO!C:C,[1]EMPREENDIMENTO!E:E),"0")</f>
        <v>336</v>
      </c>
      <c r="J93" s="30">
        <v>46598</v>
      </c>
      <c r="K93" s="28" t="s">
        <v>33</v>
      </c>
      <c r="L93" s="31">
        <v>46097</v>
      </c>
      <c r="M93" s="32">
        <v>181768917</v>
      </c>
      <c r="N93" s="32">
        <v>215587808</v>
      </c>
      <c r="O93" s="32">
        <v>206926839</v>
      </c>
      <c r="P93" s="28" t="s">
        <v>34</v>
      </c>
      <c r="Q93" s="28" t="s">
        <v>203</v>
      </c>
      <c r="R93" s="30">
        <v>46118</v>
      </c>
      <c r="S93" s="30">
        <v>46098</v>
      </c>
      <c r="T93" s="33"/>
      <c r="U93" s="34" t="str">
        <f>IFERROR(_xlfn.XLOOKUP(E93,[1]EMPREENDIMENTO!C:C,[1]EMPREENDIMENTO!D:D),"")</f>
        <v>1ebbcb67-2975-ea11-aed6-0050568aa20f</v>
      </c>
    </row>
    <row r="94" spans="1:21" hidden="1" x14ac:dyDescent="0.35">
      <c r="A94" s="28" t="str">
        <f>IFERROR(_xlfn.XLOOKUP(C94,[1]DIRETORIA!C:C,[1]DIRETORIA!A:A),"-")</f>
        <v>DIR. COM E CRED SUL</v>
      </c>
      <c r="B94" s="28" t="str">
        <f>IFERROR(_xlfn.XLOOKUP(C94,[1]DIRETORIA!C:C,[1]DIRETORIA!B:B),"-")</f>
        <v>GST. COM LONDRINA</v>
      </c>
      <c r="C94" s="28" t="str">
        <f>IFERROR(_xlfn.XLOOKUP(E94,[1]EMPREENDIMENTO!C:C,[1]EMPREENDIMENTO!A:A),"-")</f>
        <v>LONDRINA</v>
      </c>
      <c r="D94" s="28" t="s">
        <v>29</v>
      </c>
      <c r="E94" s="28" t="s">
        <v>205</v>
      </c>
      <c r="F94" s="28" t="s">
        <v>31</v>
      </c>
      <c r="G94" s="28" t="s">
        <v>206</v>
      </c>
      <c r="H94" s="28">
        <v>29231</v>
      </c>
      <c r="I94" s="29">
        <f>IFERROR(_xlfn.XLOOKUP(E94,[1]EMPREENDIMENTO!C:C,[1]EMPREENDIMENTO!E:E),"0")</f>
        <v>448</v>
      </c>
      <c r="J94" s="30">
        <v>45653</v>
      </c>
      <c r="K94" s="28" t="s">
        <v>33</v>
      </c>
      <c r="L94" s="31">
        <v>45468</v>
      </c>
      <c r="M94" s="32">
        <v>102738880</v>
      </c>
      <c r="N94" s="32">
        <v>109800793</v>
      </c>
      <c r="O94" s="32">
        <v>109800393</v>
      </c>
      <c r="P94" s="28" t="s">
        <v>34</v>
      </c>
      <c r="Q94" s="28" t="s">
        <v>207</v>
      </c>
      <c r="R94" s="30">
        <v>45470</v>
      </c>
      <c r="S94" s="30">
        <v>45468</v>
      </c>
      <c r="T94" s="33"/>
      <c r="U94" s="34" t="str">
        <f>IFERROR(_xlfn.XLOOKUP(E94,[1]EMPREENDIMENTO!C:C,[1]EMPREENDIMENTO!D:D),"")</f>
        <v>627ea7ff-caba-e911-a2e9-0050568aa20f</v>
      </c>
    </row>
    <row r="95" spans="1:21" hidden="1" x14ac:dyDescent="0.35">
      <c r="A95" s="28" t="str">
        <f>IFERROR(_xlfn.XLOOKUP(C95,[1]DIRETORIA!C:C,[1]DIRETORIA!A:A),"-")</f>
        <v>DIR. COM E CRED SUL</v>
      </c>
      <c r="B95" s="28" t="str">
        <f>IFERROR(_xlfn.XLOOKUP(C95,[1]DIRETORIA!C:C,[1]DIRETORIA!B:B),"-")</f>
        <v>GST. COM LONDRINA</v>
      </c>
      <c r="C95" s="28" t="str">
        <f>IFERROR(_xlfn.XLOOKUP(E95,[1]EMPREENDIMENTO!C:C,[1]EMPREENDIMENTO!A:A),"-")</f>
        <v>LONDRINA</v>
      </c>
      <c r="D95" s="28" t="s">
        <v>29</v>
      </c>
      <c r="E95" s="28" t="s">
        <v>205</v>
      </c>
      <c r="F95" s="28" t="s">
        <v>36</v>
      </c>
      <c r="G95" s="28" t="s">
        <v>208</v>
      </c>
      <c r="H95" s="28">
        <v>29398</v>
      </c>
      <c r="I95" s="29">
        <f>IFERROR(_xlfn.XLOOKUP(E95,[1]EMPREENDIMENTO!C:C,[1]EMPREENDIMENTO!E:E),"0")</f>
        <v>448</v>
      </c>
      <c r="J95" s="30">
        <v>45653</v>
      </c>
      <c r="K95" s="28" t="s">
        <v>33</v>
      </c>
      <c r="L95" s="31">
        <v>45468</v>
      </c>
      <c r="M95" s="32">
        <v>102738880</v>
      </c>
      <c r="N95" s="32">
        <v>109800793</v>
      </c>
      <c r="O95" s="32">
        <v>109800393</v>
      </c>
      <c r="P95" s="28" t="s">
        <v>34</v>
      </c>
      <c r="Q95" s="28" t="s">
        <v>207</v>
      </c>
      <c r="R95" s="30">
        <v>45470</v>
      </c>
      <c r="S95" s="30">
        <v>45468</v>
      </c>
      <c r="T95" s="33"/>
      <c r="U95" s="34" t="str">
        <f>IFERROR(_xlfn.XLOOKUP(E95,[1]EMPREENDIMENTO!C:C,[1]EMPREENDIMENTO!D:D),"")</f>
        <v>627ea7ff-caba-e911-a2e9-0050568aa20f</v>
      </c>
    </row>
    <row r="96" spans="1:21" hidden="1" x14ac:dyDescent="0.35">
      <c r="A96" s="28" t="str">
        <f>IFERROR(_xlfn.XLOOKUP(C96,[1]DIRETORIA!C:C,[1]DIRETORIA!A:A),"-")</f>
        <v>DIR. COM E CRED SUL</v>
      </c>
      <c r="B96" s="28" t="str">
        <f>IFERROR(_xlfn.XLOOKUP(C96,[1]DIRETORIA!C:C,[1]DIRETORIA!B:B),"-")</f>
        <v>GST. COM LONDRINA</v>
      </c>
      <c r="C96" s="28" t="str">
        <f>IFERROR(_xlfn.XLOOKUP(E96,[1]EMPREENDIMENTO!C:C,[1]EMPREENDIMENTO!A:A),"-")</f>
        <v>LONDRINA</v>
      </c>
      <c r="D96" s="28" t="s">
        <v>29</v>
      </c>
      <c r="E96" s="28" t="s">
        <v>205</v>
      </c>
      <c r="F96" s="28" t="s">
        <v>39</v>
      </c>
      <c r="G96" s="28" t="s">
        <v>209</v>
      </c>
      <c r="H96" s="28">
        <v>29397</v>
      </c>
      <c r="I96" s="29">
        <f>IFERROR(_xlfn.XLOOKUP(E96,[1]EMPREENDIMENTO!C:C,[1]EMPREENDIMENTO!E:E),"0")</f>
        <v>448</v>
      </c>
      <c r="J96" s="30">
        <v>45653</v>
      </c>
      <c r="K96" s="28" t="s">
        <v>33</v>
      </c>
      <c r="L96" s="31">
        <v>45468</v>
      </c>
      <c r="M96" s="32">
        <v>102738880</v>
      </c>
      <c r="N96" s="32">
        <v>109800793</v>
      </c>
      <c r="O96" s="32">
        <v>109800393</v>
      </c>
      <c r="P96" s="28" t="s">
        <v>34</v>
      </c>
      <c r="Q96" s="28" t="s">
        <v>207</v>
      </c>
      <c r="R96" s="30">
        <v>45470</v>
      </c>
      <c r="S96" s="30">
        <v>45468</v>
      </c>
      <c r="T96" s="33"/>
      <c r="U96" s="34" t="str">
        <f>IFERROR(_xlfn.XLOOKUP(E96,[1]EMPREENDIMENTO!C:C,[1]EMPREENDIMENTO!D:D),"")</f>
        <v>627ea7ff-caba-e911-a2e9-0050568aa20f</v>
      </c>
    </row>
    <row r="97" spans="1:21" hidden="1" x14ac:dyDescent="0.35">
      <c r="A97" s="28" t="str">
        <f>IFERROR(_xlfn.XLOOKUP(C97,[1]DIRETORIA!C:C,[1]DIRETORIA!A:A),"-")</f>
        <v>DIR. COM E CRED CO E AM</v>
      </c>
      <c r="B97" s="28" t="str">
        <f>IFERROR(_xlfn.XLOOKUP(C97,[1]DIRETORIA!C:C,[1]DIRETORIA!B:B),"-")</f>
        <v>GST. COM MT</v>
      </c>
      <c r="C97" s="28" t="str">
        <f>IFERROR(_xlfn.XLOOKUP(E97,[1]EMPREENDIMENTO!C:C,[1]EMPREENDIMENTO!A:A),"-")</f>
        <v>CUIABÁ</v>
      </c>
      <c r="D97" s="28" t="s">
        <v>29</v>
      </c>
      <c r="E97" s="28" t="s">
        <v>210</v>
      </c>
      <c r="F97" s="28" t="s">
        <v>31</v>
      </c>
      <c r="G97" s="28" t="s">
        <v>211</v>
      </c>
      <c r="H97" s="28">
        <v>25241</v>
      </c>
      <c r="I97" s="29">
        <f>IFERROR(_xlfn.XLOOKUP(E97,[1]EMPREENDIMENTO!C:C,[1]EMPREENDIMENTO!E:E),"0")</f>
        <v>232</v>
      </c>
      <c r="J97" s="30">
        <v>46660</v>
      </c>
      <c r="K97" s="28" t="s">
        <v>33</v>
      </c>
      <c r="L97" s="31">
        <v>46239</v>
      </c>
      <c r="M97" s="32">
        <v>87648018</v>
      </c>
      <c r="N97" s="32">
        <v>92520018</v>
      </c>
      <c r="O97" s="32">
        <v>92520018</v>
      </c>
      <c r="P97" s="28" t="s">
        <v>34</v>
      </c>
      <c r="Q97" s="28" t="s">
        <v>212</v>
      </c>
      <c r="R97" s="30">
        <v>46240</v>
      </c>
      <c r="S97" s="30">
        <v>46239</v>
      </c>
      <c r="T97" s="33"/>
      <c r="U97" s="34" t="str">
        <f>IFERROR(_xlfn.XLOOKUP(E97,[1]EMPREENDIMENTO!C:C,[1]EMPREENDIMENTO!D:D),"")</f>
        <v>86fc9bd8-6917-ea11-ba0a-0050568aa20f</v>
      </c>
    </row>
    <row r="98" spans="1:21" hidden="1" x14ac:dyDescent="0.35">
      <c r="A98" s="28" t="str">
        <f>IFERROR(_xlfn.XLOOKUP(C98,[1]DIRETORIA!C:C,[1]DIRETORIA!A:A),"-")</f>
        <v>DIR. COM E CRED CO E AM</v>
      </c>
      <c r="B98" s="28" t="str">
        <f>IFERROR(_xlfn.XLOOKUP(C98,[1]DIRETORIA!C:C,[1]DIRETORIA!B:B),"-")</f>
        <v>GST. COM MT</v>
      </c>
      <c r="C98" s="28" t="str">
        <f>IFERROR(_xlfn.XLOOKUP(E98,[1]EMPREENDIMENTO!C:C,[1]EMPREENDIMENTO!A:A),"-")</f>
        <v>CUIABÁ</v>
      </c>
      <c r="D98" s="28" t="s">
        <v>29</v>
      </c>
      <c r="E98" s="28" t="s">
        <v>210</v>
      </c>
      <c r="F98" s="28" t="s">
        <v>36</v>
      </c>
      <c r="G98" s="28" t="s">
        <v>213</v>
      </c>
      <c r="H98" s="28">
        <v>33625</v>
      </c>
      <c r="I98" s="29">
        <f>IFERROR(_xlfn.XLOOKUP(E98,[1]EMPREENDIMENTO!C:C,[1]EMPREENDIMENTO!E:E),"0")</f>
        <v>232</v>
      </c>
      <c r="J98" s="30">
        <v>46660</v>
      </c>
      <c r="K98" s="28" t="s">
        <v>33</v>
      </c>
      <c r="L98" s="31">
        <v>46239</v>
      </c>
      <c r="M98" s="32">
        <v>87648018</v>
      </c>
      <c r="N98" s="32">
        <v>92520018</v>
      </c>
      <c r="O98" s="32">
        <v>92520018</v>
      </c>
      <c r="P98" s="28" t="s">
        <v>34</v>
      </c>
      <c r="Q98" s="28" t="s">
        <v>212</v>
      </c>
      <c r="R98" s="30">
        <v>46240</v>
      </c>
      <c r="S98" s="30">
        <v>46239</v>
      </c>
      <c r="T98" s="33"/>
      <c r="U98" s="34" t="str">
        <f>IFERROR(_xlfn.XLOOKUP(E98,[1]EMPREENDIMENTO!C:C,[1]EMPREENDIMENTO!D:D),"")</f>
        <v>86fc9bd8-6917-ea11-ba0a-0050568aa20f</v>
      </c>
    </row>
    <row r="99" spans="1:21" hidden="1" x14ac:dyDescent="0.35">
      <c r="A99" s="28" t="str">
        <f>IFERROR(_xlfn.XLOOKUP(C99,[1]DIRETORIA!C:C,[1]DIRETORIA!A:A),"-")</f>
        <v>DIR. COM E CRED CO E AM</v>
      </c>
      <c r="B99" s="28" t="str">
        <f>IFERROR(_xlfn.XLOOKUP(C99,[1]DIRETORIA!C:C,[1]DIRETORIA!B:B),"-")</f>
        <v>GST. COM MT</v>
      </c>
      <c r="C99" s="28" t="str">
        <f>IFERROR(_xlfn.XLOOKUP(E99,[1]EMPREENDIMENTO!C:C,[1]EMPREENDIMENTO!A:A),"-")</f>
        <v>CUIABÁ</v>
      </c>
      <c r="D99" s="28" t="s">
        <v>29</v>
      </c>
      <c r="E99" s="28" t="s">
        <v>210</v>
      </c>
      <c r="F99" s="28" t="s">
        <v>39</v>
      </c>
      <c r="G99" s="28" t="s">
        <v>214</v>
      </c>
      <c r="H99" s="28">
        <v>50659</v>
      </c>
      <c r="I99" s="29">
        <f>IFERROR(_xlfn.XLOOKUP(E99,[1]EMPREENDIMENTO!C:C,[1]EMPREENDIMENTO!E:E),"0")</f>
        <v>232</v>
      </c>
      <c r="J99" s="30">
        <v>46660</v>
      </c>
      <c r="K99" s="28" t="s">
        <v>33</v>
      </c>
      <c r="L99" s="31">
        <v>46239</v>
      </c>
      <c r="M99" s="32">
        <v>87648018</v>
      </c>
      <c r="N99" s="32">
        <v>92520018</v>
      </c>
      <c r="O99" s="32">
        <v>92520018</v>
      </c>
      <c r="P99" s="28" t="s">
        <v>34</v>
      </c>
      <c r="Q99" s="28" t="s">
        <v>212</v>
      </c>
      <c r="R99" s="30">
        <v>46240</v>
      </c>
      <c r="S99" s="30">
        <v>46239</v>
      </c>
      <c r="T99" s="33"/>
      <c r="U99" s="34" t="str">
        <f>IFERROR(_xlfn.XLOOKUP(E99,[1]EMPREENDIMENTO!C:C,[1]EMPREENDIMENTO!D:D),"")</f>
        <v>86fc9bd8-6917-ea11-ba0a-0050568aa20f</v>
      </c>
    </row>
    <row r="100" spans="1:21" hidden="1" x14ac:dyDescent="0.35">
      <c r="A100" s="28" t="str">
        <f>IFERROR(_xlfn.XLOOKUP(C100,[1]DIRETORIA!C:C,[1]DIRETORIA!A:A),"-")</f>
        <v>DIR. COM E CRED RJ</v>
      </c>
      <c r="B100" s="28" t="str">
        <f>IFERROR(_xlfn.XLOOKUP(C100,[1]DIRETORIA!C:C,[1]DIRETORIA!B:B),"-")</f>
        <v>GST. COM SF</v>
      </c>
      <c r="C100" s="28" t="str">
        <f>IFERROR(_xlfn.XLOOKUP(E100,[1]EMPREENDIMENTO!C:C,[1]EMPREENDIMENTO!A:A),"-")</f>
        <v>RESENDE</v>
      </c>
      <c r="D100" s="28" t="s">
        <v>29</v>
      </c>
      <c r="E100" s="28" t="s">
        <v>215</v>
      </c>
      <c r="F100" s="28" t="s">
        <v>31</v>
      </c>
      <c r="G100" s="28" t="s">
        <v>216</v>
      </c>
      <c r="H100" s="28">
        <v>31077</v>
      </c>
      <c r="I100" s="29">
        <f>IFERROR(_xlfn.XLOOKUP(E100,[1]EMPREENDIMENTO!C:C,[1]EMPREENDIMENTO!E:E),"0")</f>
        <v>460</v>
      </c>
      <c r="J100" s="30">
        <v>46664</v>
      </c>
      <c r="K100" s="28" t="s">
        <v>33</v>
      </c>
      <c r="L100" s="31">
        <v>45883</v>
      </c>
      <c r="M100" s="32">
        <v>113479436</v>
      </c>
      <c r="N100" s="32">
        <v>121387852</v>
      </c>
      <c r="O100" s="32">
        <v>121387852</v>
      </c>
      <c r="P100" s="28" t="s">
        <v>34</v>
      </c>
      <c r="Q100" s="28" t="s">
        <v>217</v>
      </c>
      <c r="R100" s="30">
        <v>45884</v>
      </c>
      <c r="S100" s="30">
        <v>45887</v>
      </c>
      <c r="T100" s="33"/>
      <c r="U100" s="34" t="str">
        <f>IFERROR(_xlfn.XLOOKUP(E100,[1]EMPREENDIMENTO!C:C,[1]EMPREENDIMENTO!D:D),"")</f>
        <v>cc5628aa-6772-e911-b1cd-009c02b0cb58</v>
      </c>
    </row>
    <row r="101" spans="1:21" hidden="1" x14ac:dyDescent="0.35">
      <c r="A101" s="28" t="str">
        <f>IFERROR(_xlfn.XLOOKUP(C101,[1]DIRETORIA!C:C,[1]DIRETORIA!A:A),"-")</f>
        <v>DIR. COM E CRED RJ</v>
      </c>
      <c r="B101" s="28" t="str">
        <f>IFERROR(_xlfn.XLOOKUP(C101,[1]DIRETORIA!C:C,[1]DIRETORIA!B:B),"-")</f>
        <v>GST. COM SF</v>
      </c>
      <c r="C101" s="28" t="str">
        <f>IFERROR(_xlfn.XLOOKUP(E101,[1]EMPREENDIMENTO!C:C,[1]EMPREENDIMENTO!A:A),"-")</f>
        <v>RESENDE</v>
      </c>
      <c r="D101" s="28" t="s">
        <v>29</v>
      </c>
      <c r="E101" s="28" t="s">
        <v>215</v>
      </c>
      <c r="F101" s="28" t="s">
        <v>36</v>
      </c>
      <c r="G101" s="28" t="s">
        <v>218</v>
      </c>
      <c r="H101" s="28">
        <v>35673</v>
      </c>
      <c r="I101" s="29">
        <f>IFERROR(_xlfn.XLOOKUP(E101,[1]EMPREENDIMENTO!C:C,[1]EMPREENDIMENTO!E:E),"0")</f>
        <v>460</v>
      </c>
      <c r="J101" s="30">
        <v>46664</v>
      </c>
      <c r="K101" s="28" t="s">
        <v>33</v>
      </c>
      <c r="L101" s="31">
        <v>45883</v>
      </c>
      <c r="M101" s="32">
        <v>113479436</v>
      </c>
      <c r="N101" s="32">
        <v>121387852</v>
      </c>
      <c r="O101" s="32">
        <v>121387852</v>
      </c>
      <c r="P101" s="28" t="s">
        <v>34</v>
      </c>
      <c r="Q101" s="28" t="s">
        <v>217</v>
      </c>
      <c r="R101" s="30">
        <v>45884</v>
      </c>
      <c r="S101" s="30">
        <v>45887</v>
      </c>
      <c r="T101" s="33"/>
      <c r="U101" s="34" t="str">
        <f>IFERROR(_xlfn.XLOOKUP(E101,[1]EMPREENDIMENTO!C:C,[1]EMPREENDIMENTO!D:D),"")</f>
        <v>cc5628aa-6772-e911-b1cd-009c02b0cb58</v>
      </c>
    </row>
    <row r="102" spans="1:21" hidden="1" x14ac:dyDescent="0.35">
      <c r="A102" s="28" t="str">
        <f>IFERROR(_xlfn.XLOOKUP(C102,[1]DIRETORIA!C:C,[1]DIRETORIA!A:A),"-")</f>
        <v>DIR. COM E CRED RJ</v>
      </c>
      <c r="B102" s="28" t="str">
        <f>IFERROR(_xlfn.XLOOKUP(C102,[1]DIRETORIA!C:C,[1]DIRETORIA!B:B),"-")</f>
        <v>GST. COM SF</v>
      </c>
      <c r="C102" s="28" t="str">
        <f>IFERROR(_xlfn.XLOOKUP(E102,[1]EMPREENDIMENTO!C:C,[1]EMPREENDIMENTO!A:A),"-")</f>
        <v>RESENDE</v>
      </c>
      <c r="D102" s="28" t="s">
        <v>29</v>
      </c>
      <c r="E102" s="28" t="s">
        <v>215</v>
      </c>
      <c r="F102" s="28" t="s">
        <v>39</v>
      </c>
      <c r="G102" s="28" t="s">
        <v>219</v>
      </c>
      <c r="H102" s="28">
        <v>35674</v>
      </c>
      <c r="I102" s="29">
        <f>IFERROR(_xlfn.XLOOKUP(E102,[1]EMPREENDIMENTO!C:C,[1]EMPREENDIMENTO!E:E),"0")</f>
        <v>460</v>
      </c>
      <c r="J102" s="30">
        <v>46664</v>
      </c>
      <c r="K102" s="28" t="s">
        <v>33</v>
      </c>
      <c r="L102" s="31">
        <v>45883</v>
      </c>
      <c r="M102" s="32">
        <v>113479436</v>
      </c>
      <c r="N102" s="32">
        <v>121387852</v>
      </c>
      <c r="O102" s="32">
        <v>121387852</v>
      </c>
      <c r="P102" s="28" t="s">
        <v>34</v>
      </c>
      <c r="Q102" s="28" t="s">
        <v>217</v>
      </c>
      <c r="R102" s="30">
        <v>45884</v>
      </c>
      <c r="S102" s="30">
        <v>45887</v>
      </c>
      <c r="T102" s="33"/>
      <c r="U102" s="34" t="str">
        <f>IFERROR(_xlfn.XLOOKUP(E102,[1]EMPREENDIMENTO!C:C,[1]EMPREENDIMENTO!D:D),"")</f>
        <v>cc5628aa-6772-e911-b1cd-009c02b0cb58</v>
      </c>
    </row>
    <row r="103" spans="1:21" x14ac:dyDescent="0.35">
      <c r="A103" s="28" t="str">
        <f>IFERROR(_xlfn.XLOOKUP(C103,[1]DIRETORIA!C:C,[1]DIRETORIA!A:A),"-")</f>
        <v>DIR. COM E CRED SPI CP</v>
      </c>
      <c r="B103" s="28" t="str">
        <f>IFERROR(_xlfn.XLOOKUP(C103,[1]DIRETORIA!C:C,[1]DIRETORIA!B:B),"-")</f>
        <v>GST. COM CP1</v>
      </c>
      <c r="C103" s="28" t="str">
        <f>IFERROR(_xlfn.XLOOKUP(E103,[1]EMPREENDIMENTO!C:C,[1]EMPREENDIMENTO!A:A),"-")</f>
        <v>CAMPINAS</v>
      </c>
      <c r="D103" s="28" t="s">
        <v>29</v>
      </c>
      <c r="E103" s="28" t="s">
        <v>220</v>
      </c>
      <c r="F103" s="28" t="s">
        <v>31</v>
      </c>
      <c r="G103" s="28" t="s">
        <v>221</v>
      </c>
      <c r="H103" s="28">
        <v>26064</v>
      </c>
      <c r="I103" s="29">
        <f>IFERROR(_xlfn.XLOOKUP(E103,[1]EMPREENDIMENTO!C:C,[1]EMPREENDIMENTO!E:E),"0")</f>
        <v>304</v>
      </c>
      <c r="J103" s="30">
        <v>45533</v>
      </c>
      <c r="K103" s="28" t="s">
        <v>33</v>
      </c>
      <c r="L103" s="31">
        <v>45015</v>
      </c>
      <c r="M103" s="32">
        <v>146100648</v>
      </c>
      <c r="N103" s="32">
        <v>149861797</v>
      </c>
      <c r="O103" s="32">
        <v>149861797</v>
      </c>
      <c r="P103" s="28" t="s">
        <v>34</v>
      </c>
      <c r="Q103" s="28" t="s">
        <v>222</v>
      </c>
      <c r="R103" s="30">
        <v>45029</v>
      </c>
      <c r="S103" s="30">
        <v>45015</v>
      </c>
      <c r="T103" s="33"/>
      <c r="U103" s="34" t="str">
        <f>IFERROR(_xlfn.XLOOKUP(E103,[1]EMPREENDIMENTO!C:C,[1]EMPREENDIMENTO!D:D),"")</f>
        <v>A9BDDBE9-394C-EA11-BA0A-0050568AA20F</v>
      </c>
    </row>
    <row r="104" spans="1:21" x14ac:dyDescent="0.35">
      <c r="A104" s="28" t="str">
        <f>IFERROR(_xlfn.XLOOKUP(C104,[1]DIRETORIA!C:C,[1]DIRETORIA!A:A),"-")</f>
        <v>DIR. COM E CRED SPI CP</v>
      </c>
      <c r="B104" s="28" t="str">
        <f>IFERROR(_xlfn.XLOOKUP(C104,[1]DIRETORIA!C:C,[1]DIRETORIA!B:B),"-")</f>
        <v>GST. COM CP1</v>
      </c>
      <c r="C104" s="28" t="str">
        <f>IFERROR(_xlfn.XLOOKUP(E104,[1]EMPREENDIMENTO!C:C,[1]EMPREENDIMENTO!A:A),"-")</f>
        <v>CAMPINAS</v>
      </c>
      <c r="D104" s="28" t="s">
        <v>29</v>
      </c>
      <c r="E104" s="28" t="s">
        <v>220</v>
      </c>
      <c r="F104" s="28" t="s">
        <v>36</v>
      </c>
      <c r="G104" s="28" t="s">
        <v>223</v>
      </c>
      <c r="H104" s="28">
        <v>26993</v>
      </c>
      <c r="I104" s="29">
        <f>IFERROR(_xlfn.XLOOKUP(E104,[1]EMPREENDIMENTO!C:C,[1]EMPREENDIMENTO!E:E),"0")</f>
        <v>304</v>
      </c>
      <c r="J104" s="30">
        <v>45533</v>
      </c>
      <c r="K104" s="28" t="s">
        <v>33</v>
      </c>
      <c r="L104" s="31">
        <v>45015</v>
      </c>
      <c r="M104" s="32">
        <v>146100648</v>
      </c>
      <c r="N104" s="32">
        <v>149861797</v>
      </c>
      <c r="O104" s="32">
        <v>149861797</v>
      </c>
      <c r="P104" s="28" t="s">
        <v>34</v>
      </c>
      <c r="Q104" s="28" t="s">
        <v>222</v>
      </c>
      <c r="R104" s="30">
        <v>45029</v>
      </c>
      <c r="S104" s="30">
        <v>45015</v>
      </c>
      <c r="T104" s="33"/>
      <c r="U104" s="34" t="str">
        <f>IFERROR(_xlfn.XLOOKUP(E104,[1]EMPREENDIMENTO!C:C,[1]EMPREENDIMENTO!D:D),"")</f>
        <v>A9BDDBE9-394C-EA11-BA0A-0050568AA20F</v>
      </c>
    </row>
    <row r="105" spans="1:21" hidden="1" x14ac:dyDescent="0.35">
      <c r="A105" s="28" t="str">
        <f>IFERROR(_xlfn.XLOOKUP(C105,[1]DIRETORIA!C:C,[1]DIRETORIA!A:A),"-")</f>
        <v>DIR. COM E CRED NE</v>
      </c>
      <c r="B105" s="28" t="str">
        <f>IFERROR(_xlfn.XLOOKUP(C105,[1]DIRETORIA!C:C,[1]DIRETORIA!B:B),"-")</f>
        <v>GST. COM NE 7 (PI+MA)</v>
      </c>
      <c r="C105" s="28" t="str">
        <f>IFERROR(_xlfn.XLOOKUP(E105,[1]EMPREENDIMENTO!C:C,[1]EMPREENDIMENTO!A:A),"-")</f>
        <v>TERESINA</v>
      </c>
      <c r="D105" s="28" t="s">
        <v>29</v>
      </c>
      <c r="E105" s="28" t="s">
        <v>224</v>
      </c>
      <c r="F105" s="28" t="s">
        <v>31</v>
      </c>
      <c r="G105" s="28" t="s">
        <v>225</v>
      </c>
      <c r="H105" s="28">
        <v>27754</v>
      </c>
      <c r="I105" s="29">
        <f>IFERROR(_xlfn.XLOOKUP(E105,[1]EMPREENDIMENTO!C:C,[1]EMPREENDIMENTO!E:E),"0")</f>
        <v>468</v>
      </c>
      <c r="J105" s="30">
        <v>46751</v>
      </c>
      <c r="K105" s="28" t="s">
        <v>164</v>
      </c>
      <c r="L105" s="31">
        <v>46220</v>
      </c>
      <c r="M105" s="32">
        <v>106925122</v>
      </c>
      <c r="N105" s="32">
        <v>119119104</v>
      </c>
      <c r="O105" s="32">
        <v>112459086</v>
      </c>
      <c r="P105" s="28" t="s">
        <v>34</v>
      </c>
      <c r="Q105" s="28" t="s">
        <v>226</v>
      </c>
      <c r="R105" s="30">
        <v>46222</v>
      </c>
      <c r="S105" s="30">
        <v>46220</v>
      </c>
      <c r="T105" s="33"/>
      <c r="U105" s="34" t="str">
        <f>IFERROR(_xlfn.XLOOKUP(E105,[1]EMPREENDIMENTO!C:C,[1]EMPREENDIMENTO!D:D),"")</f>
        <v>e21d0769-3898-e911-b807-005056856875</v>
      </c>
    </row>
    <row r="106" spans="1:21" hidden="1" x14ac:dyDescent="0.35">
      <c r="A106" s="28" t="str">
        <f>IFERROR(_xlfn.XLOOKUP(C106,[1]DIRETORIA!C:C,[1]DIRETORIA!A:A),"-")</f>
        <v>DIR. COM E CRED NE</v>
      </c>
      <c r="B106" s="28" t="str">
        <f>IFERROR(_xlfn.XLOOKUP(C106,[1]DIRETORIA!C:C,[1]DIRETORIA!B:B),"-")</f>
        <v>GST. COM NE 7 (PI+MA)</v>
      </c>
      <c r="C106" s="28" t="str">
        <f>IFERROR(_xlfn.XLOOKUP(E106,[1]EMPREENDIMENTO!C:C,[1]EMPREENDIMENTO!A:A),"-")</f>
        <v>TERESINA</v>
      </c>
      <c r="D106" s="28" t="s">
        <v>29</v>
      </c>
      <c r="E106" s="28" t="s">
        <v>224</v>
      </c>
      <c r="F106" s="28" t="s">
        <v>36</v>
      </c>
      <c r="G106" s="28" t="s">
        <v>227</v>
      </c>
      <c r="H106" s="28">
        <v>35842</v>
      </c>
      <c r="I106" s="29">
        <f>IFERROR(_xlfn.XLOOKUP(E106,[1]EMPREENDIMENTO!C:C,[1]EMPREENDIMENTO!E:E),"0")</f>
        <v>468</v>
      </c>
      <c r="J106" s="30">
        <v>46751</v>
      </c>
      <c r="K106" s="28" t="s">
        <v>164</v>
      </c>
      <c r="L106" s="31">
        <v>46220</v>
      </c>
      <c r="M106" s="32">
        <v>106925122</v>
      </c>
      <c r="N106" s="32">
        <v>119119104</v>
      </c>
      <c r="O106" s="32">
        <v>112459086</v>
      </c>
      <c r="P106" s="28" t="s">
        <v>34</v>
      </c>
      <c r="Q106" s="28" t="s">
        <v>226</v>
      </c>
      <c r="R106" s="30">
        <v>46222</v>
      </c>
      <c r="S106" s="30">
        <v>46220</v>
      </c>
      <c r="T106" s="33"/>
      <c r="U106" s="34" t="str">
        <f>IFERROR(_xlfn.XLOOKUP(E106,[1]EMPREENDIMENTO!C:C,[1]EMPREENDIMENTO!D:D),"")</f>
        <v>e21d0769-3898-e911-b807-005056856875</v>
      </c>
    </row>
    <row r="107" spans="1:21" hidden="1" x14ac:dyDescent="0.35">
      <c r="A107" s="28" t="str">
        <f>IFERROR(_xlfn.XLOOKUP(C107,[1]DIRETORIA!C:C,[1]DIRETORIA!A:A),"-")</f>
        <v>DIR. COM E CRED NE</v>
      </c>
      <c r="B107" s="28" t="str">
        <f>IFERROR(_xlfn.XLOOKUP(C107,[1]DIRETORIA!C:C,[1]DIRETORIA!B:B),"-")</f>
        <v>GST. COM NE 7 (PI+MA)</v>
      </c>
      <c r="C107" s="28" t="str">
        <f>IFERROR(_xlfn.XLOOKUP(E107,[1]EMPREENDIMENTO!C:C,[1]EMPREENDIMENTO!A:A),"-")</f>
        <v>TERESINA</v>
      </c>
      <c r="D107" s="28" t="s">
        <v>29</v>
      </c>
      <c r="E107" s="28" t="s">
        <v>224</v>
      </c>
      <c r="F107" s="28" t="s">
        <v>39</v>
      </c>
      <c r="G107" s="28" t="s">
        <v>228</v>
      </c>
      <c r="H107" s="28">
        <v>35844</v>
      </c>
      <c r="I107" s="29">
        <f>IFERROR(_xlfn.XLOOKUP(E107,[1]EMPREENDIMENTO!C:C,[1]EMPREENDIMENTO!E:E),"0")</f>
        <v>468</v>
      </c>
      <c r="J107" s="30">
        <v>46751</v>
      </c>
      <c r="K107" s="28" t="s">
        <v>164</v>
      </c>
      <c r="L107" s="31">
        <v>46220</v>
      </c>
      <c r="M107" s="32">
        <v>106925122</v>
      </c>
      <c r="N107" s="32">
        <v>119119104</v>
      </c>
      <c r="O107" s="32">
        <v>112459086</v>
      </c>
      <c r="P107" s="28" t="s">
        <v>34</v>
      </c>
      <c r="Q107" s="28" t="s">
        <v>226</v>
      </c>
      <c r="R107" s="30">
        <v>46222</v>
      </c>
      <c r="S107" s="30">
        <v>46220</v>
      </c>
      <c r="T107" s="33"/>
      <c r="U107" s="34" t="str">
        <f>IFERROR(_xlfn.XLOOKUP(E107,[1]EMPREENDIMENTO!C:C,[1]EMPREENDIMENTO!D:D),"")</f>
        <v>e21d0769-3898-e911-b807-005056856875</v>
      </c>
    </row>
    <row r="108" spans="1:21" x14ac:dyDescent="0.35">
      <c r="A108" s="28" t="str">
        <f>IFERROR(_xlfn.XLOOKUP(C108,[1]DIRETORIA!C:C,[1]DIRETORIA!A:A),"-")</f>
        <v>DIR. COM E CRED SPI CP</v>
      </c>
      <c r="B108" s="28" t="str">
        <f>IFERROR(_xlfn.XLOOKUP(C108,[1]DIRETORIA!C:C,[1]DIRETORIA!B:B),"-")</f>
        <v>GST. COM CP3</v>
      </c>
      <c r="C108" s="28" t="str">
        <f>IFERROR(_xlfn.XLOOKUP(E108,[1]EMPREENDIMENTO!C:C,[1]EMPREENDIMENTO!A:A),"-")</f>
        <v>PIRACICABA</v>
      </c>
      <c r="D108" s="28" t="s">
        <v>29</v>
      </c>
      <c r="E108" s="28" t="s">
        <v>229</v>
      </c>
      <c r="F108" s="28" t="s">
        <v>31</v>
      </c>
      <c r="G108" s="28" t="s">
        <v>230</v>
      </c>
      <c r="H108" s="28">
        <v>28177</v>
      </c>
      <c r="I108" s="29">
        <f>IFERROR(_xlfn.XLOOKUP(E108,[1]EMPREENDIMENTO!C:C,[1]EMPREENDIMENTO!E:E),"0")</f>
        <v>480</v>
      </c>
      <c r="J108" s="30">
        <v>46629</v>
      </c>
      <c r="K108" s="28" t="s">
        <v>33</v>
      </c>
      <c r="L108" s="31">
        <v>45707</v>
      </c>
      <c r="M108" s="32">
        <v>129581250</v>
      </c>
      <c r="N108" s="32">
        <v>161402100</v>
      </c>
      <c r="O108" s="32">
        <v>143886100</v>
      </c>
      <c r="P108" s="28" t="s">
        <v>34</v>
      </c>
      <c r="Q108" s="28" t="s">
        <v>231</v>
      </c>
      <c r="R108" s="30">
        <v>45728</v>
      </c>
      <c r="S108" s="30">
        <v>45713</v>
      </c>
      <c r="T108" s="33"/>
      <c r="U108" s="34" t="str">
        <f>IFERROR(_xlfn.XLOOKUP(E108,[1]EMPREENDIMENTO!C:C,[1]EMPREENDIMENTO!D:D),"")</f>
        <v>096a5b33-f7bd-e911-a2e9-0050568aa20f</v>
      </c>
    </row>
    <row r="109" spans="1:21" x14ac:dyDescent="0.35">
      <c r="A109" s="28" t="str">
        <f>IFERROR(_xlfn.XLOOKUP(C109,[1]DIRETORIA!C:C,[1]DIRETORIA!A:A),"-")</f>
        <v>DIR. COM E CRED SPI CP</v>
      </c>
      <c r="B109" s="28" t="str">
        <f>IFERROR(_xlfn.XLOOKUP(C109,[1]DIRETORIA!C:C,[1]DIRETORIA!B:B),"-")</f>
        <v>GST. COM CP3</v>
      </c>
      <c r="C109" s="28" t="str">
        <f>IFERROR(_xlfn.XLOOKUP(E109,[1]EMPREENDIMENTO!C:C,[1]EMPREENDIMENTO!A:A),"-")</f>
        <v>PIRACICABA</v>
      </c>
      <c r="D109" s="28" t="s">
        <v>29</v>
      </c>
      <c r="E109" s="28" t="s">
        <v>229</v>
      </c>
      <c r="F109" s="28" t="s">
        <v>36</v>
      </c>
      <c r="G109" s="28" t="s">
        <v>232</v>
      </c>
      <c r="H109" s="28">
        <v>29748</v>
      </c>
      <c r="I109" s="29">
        <f>IFERROR(_xlfn.XLOOKUP(E109,[1]EMPREENDIMENTO!C:C,[1]EMPREENDIMENTO!E:E),"0")</f>
        <v>480</v>
      </c>
      <c r="J109" s="30">
        <v>46629</v>
      </c>
      <c r="K109" s="28" t="s">
        <v>33</v>
      </c>
      <c r="L109" s="31">
        <v>45707</v>
      </c>
      <c r="M109" s="32">
        <v>129581250</v>
      </c>
      <c r="N109" s="32">
        <v>161402100</v>
      </c>
      <c r="O109" s="32">
        <v>143886100</v>
      </c>
      <c r="P109" s="28" t="s">
        <v>34</v>
      </c>
      <c r="Q109" s="28" t="s">
        <v>231</v>
      </c>
      <c r="R109" s="30">
        <v>45728</v>
      </c>
      <c r="S109" s="30">
        <v>45713</v>
      </c>
      <c r="T109" s="33"/>
      <c r="U109" s="34" t="str">
        <f>IFERROR(_xlfn.XLOOKUP(E109,[1]EMPREENDIMENTO!C:C,[1]EMPREENDIMENTO!D:D),"")</f>
        <v>096a5b33-f7bd-e911-a2e9-0050568aa20f</v>
      </c>
    </row>
    <row r="110" spans="1:21" x14ac:dyDescent="0.35">
      <c r="A110" s="28" t="str">
        <f>IFERROR(_xlfn.XLOOKUP(C110,[1]DIRETORIA!C:C,[1]DIRETORIA!A:A),"-")</f>
        <v>DIR. COM E CRED SPI CP</v>
      </c>
      <c r="B110" s="28" t="str">
        <f>IFERROR(_xlfn.XLOOKUP(C110,[1]DIRETORIA!C:C,[1]DIRETORIA!B:B),"-")</f>
        <v>GST. COM CP3</v>
      </c>
      <c r="C110" s="28" t="str">
        <f>IFERROR(_xlfn.XLOOKUP(E110,[1]EMPREENDIMENTO!C:C,[1]EMPREENDIMENTO!A:A),"-")</f>
        <v>PIRACICABA</v>
      </c>
      <c r="D110" s="28" t="s">
        <v>29</v>
      </c>
      <c r="E110" s="28" t="s">
        <v>229</v>
      </c>
      <c r="F110" s="28" t="s">
        <v>39</v>
      </c>
      <c r="G110" s="28" t="s">
        <v>233</v>
      </c>
      <c r="H110" s="28">
        <v>29749</v>
      </c>
      <c r="I110" s="29">
        <f>IFERROR(_xlfn.XLOOKUP(E110,[1]EMPREENDIMENTO!C:C,[1]EMPREENDIMENTO!E:E),"0")</f>
        <v>480</v>
      </c>
      <c r="J110" s="30">
        <v>46629</v>
      </c>
      <c r="K110" s="28" t="s">
        <v>33</v>
      </c>
      <c r="L110" s="31">
        <v>45707</v>
      </c>
      <c r="M110" s="32">
        <v>129581250</v>
      </c>
      <c r="N110" s="32">
        <v>161402100</v>
      </c>
      <c r="O110" s="32">
        <v>143886100</v>
      </c>
      <c r="P110" s="28" t="s">
        <v>34</v>
      </c>
      <c r="Q110" s="28" t="s">
        <v>231</v>
      </c>
      <c r="R110" s="30">
        <v>45728</v>
      </c>
      <c r="S110" s="30">
        <v>45713</v>
      </c>
      <c r="T110" s="33"/>
      <c r="U110" s="34" t="str">
        <f>IFERROR(_xlfn.XLOOKUP(E110,[1]EMPREENDIMENTO!C:C,[1]EMPREENDIMENTO!D:D),"")</f>
        <v>096a5b33-f7bd-e911-a2e9-0050568aa20f</v>
      </c>
    </row>
    <row r="111" spans="1:21" x14ac:dyDescent="0.35">
      <c r="A111" s="28" t="str">
        <f>IFERROR(_xlfn.XLOOKUP(C111,[1]DIRETORIA!C:C,[1]DIRETORIA!A:A),"-")</f>
        <v>DIR. COM E CRED SPI CP</v>
      </c>
      <c r="B111" s="28" t="str">
        <f>IFERROR(_xlfn.XLOOKUP(C111,[1]DIRETORIA!C:C,[1]DIRETORIA!B:B),"-")</f>
        <v>GST. COM CP3</v>
      </c>
      <c r="C111" s="28" t="str">
        <f>IFERROR(_xlfn.XLOOKUP(E111,[1]EMPREENDIMENTO!C:C,[1]EMPREENDIMENTO!A:A),"-")</f>
        <v>PIRACICABA</v>
      </c>
      <c r="D111" s="28" t="s">
        <v>29</v>
      </c>
      <c r="E111" s="28" t="s">
        <v>229</v>
      </c>
      <c r="F111" s="28" t="s">
        <v>50</v>
      </c>
      <c r="G111" s="28" t="s">
        <v>234</v>
      </c>
      <c r="H111" s="28">
        <v>29750</v>
      </c>
      <c r="I111" s="29">
        <f>IFERROR(_xlfn.XLOOKUP(E111,[1]EMPREENDIMENTO!C:C,[1]EMPREENDIMENTO!E:E),"0")</f>
        <v>480</v>
      </c>
      <c r="J111" s="30">
        <v>46629</v>
      </c>
      <c r="K111" s="28" t="s">
        <v>33</v>
      </c>
      <c r="L111" s="31">
        <v>45707</v>
      </c>
      <c r="M111" s="32">
        <v>129581250</v>
      </c>
      <c r="N111" s="32">
        <v>161402100</v>
      </c>
      <c r="O111" s="32">
        <v>143886100</v>
      </c>
      <c r="P111" s="28" t="s">
        <v>34</v>
      </c>
      <c r="Q111" s="28" t="s">
        <v>231</v>
      </c>
      <c r="R111" s="30">
        <v>45728</v>
      </c>
      <c r="S111" s="30">
        <v>45713</v>
      </c>
      <c r="T111" s="33"/>
      <c r="U111" s="34" t="str">
        <f>IFERROR(_xlfn.XLOOKUP(E111,[1]EMPREENDIMENTO!C:C,[1]EMPREENDIMENTO!D:D),"")</f>
        <v>096a5b33-f7bd-e911-a2e9-0050568aa20f</v>
      </c>
    </row>
    <row r="112" spans="1:21" hidden="1" x14ac:dyDescent="0.35">
      <c r="A112" s="28" t="str">
        <f>IFERROR(_xlfn.XLOOKUP(C112,[1]DIRETORIA!C:C,[1]DIRETORIA!A:A),"-")</f>
        <v>DIR. COM E CRED SUL</v>
      </c>
      <c r="B112" s="28" t="str">
        <f>IFERROR(_xlfn.XLOOKUP(C112,[1]DIRETORIA!C:C,[1]DIRETORIA!B:B),"-")</f>
        <v>GST. COM RS SUL</v>
      </c>
      <c r="C112" s="28" t="str">
        <f>IFERROR(_xlfn.XLOOKUP(E112,[1]EMPREENDIMENTO!C:C,[1]EMPREENDIMENTO!A:A),"-")</f>
        <v>PORTO ALEGRE</v>
      </c>
      <c r="D112" s="28" t="s">
        <v>29</v>
      </c>
      <c r="E112" s="28" t="s">
        <v>235</v>
      </c>
      <c r="F112" s="28" t="s">
        <v>42</v>
      </c>
      <c r="G112" s="28" t="s">
        <v>236</v>
      </c>
      <c r="H112" s="28">
        <v>23645</v>
      </c>
      <c r="I112" s="29">
        <f>IFERROR(_xlfn.XLOOKUP(E112,[1]EMPREENDIMENTO!C:C,[1]EMPREENDIMENTO!E:E),"0")</f>
        <v>120</v>
      </c>
      <c r="J112" s="30">
        <v>45929</v>
      </c>
      <c r="K112" s="28" t="s">
        <v>33</v>
      </c>
      <c r="L112" s="31">
        <v>45337</v>
      </c>
      <c r="M112" s="32">
        <v>26655700</v>
      </c>
      <c r="N112" s="32">
        <v>27534100</v>
      </c>
      <c r="O112" s="32">
        <v>27534100</v>
      </c>
      <c r="P112" s="28" t="s">
        <v>34</v>
      </c>
      <c r="Q112" s="28" t="s">
        <v>237</v>
      </c>
      <c r="R112" s="30">
        <v>45352</v>
      </c>
      <c r="S112" s="30">
        <v>45337</v>
      </c>
      <c r="T112" s="33"/>
      <c r="U112" s="34" t="str">
        <f>IFERROR(_xlfn.XLOOKUP(E112,[1]EMPREENDIMENTO!C:C,[1]EMPREENDIMENTO!D:D),"")</f>
        <v>a46eb192-0aff-e911-96a0-005056856875</v>
      </c>
    </row>
    <row r="113" spans="1:21" hidden="1" x14ac:dyDescent="0.35">
      <c r="A113" s="28" t="str">
        <f>IFERROR(_xlfn.XLOOKUP(C113,[1]DIRETORIA!C:C,[1]DIRETORIA!A:A),"-")</f>
        <v>DIR. COM E CRED RJ</v>
      </c>
      <c r="B113" s="28" t="str">
        <f>IFERROR(_xlfn.XLOOKUP(C113,[1]DIRETORIA!C:C,[1]DIRETORIA!B:B),"-")</f>
        <v>GST. COM RJ1</v>
      </c>
      <c r="C113" s="28" t="str">
        <f>IFERROR(_xlfn.XLOOKUP(E113,[1]EMPREENDIMENTO!C:C,[1]EMPREENDIMENTO!A:A),"-")</f>
        <v>RIO DE JANEIRO</v>
      </c>
      <c r="D113" s="28" t="s">
        <v>29</v>
      </c>
      <c r="E113" s="28" t="s">
        <v>238</v>
      </c>
      <c r="F113" s="28" t="s">
        <v>31</v>
      </c>
      <c r="G113" s="28" t="s">
        <v>239</v>
      </c>
      <c r="H113" s="28">
        <v>29925</v>
      </c>
      <c r="I113" s="29">
        <f>IFERROR(_xlfn.XLOOKUP(E113,[1]EMPREENDIMENTO!C:C,[1]EMPREENDIMENTO!E:E),"0")</f>
        <v>500</v>
      </c>
      <c r="J113" s="30">
        <v>46173</v>
      </c>
      <c r="K113" s="28" t="s">
        <v>33</v>
      </c>
      <c r="L113" s="31">
        <v>45261</v>
      </c>
      <c r="M113" s="32">
        <v>125390600</v>
      </c>
      <c r="N113" s="32">
        <v>126643600</v>
      </c>
      <c r="O113" s="32">
        <v>126069000</v>
      </c>
      <c r="P113" s="28" t="s">
        <v>34</v>
      </c>
      <c r="Q113" s="28" t="s">
        <v>240</v>
      </c>
      <c r="R113" s="30">
        <v>45288</v>
      </c>
      <c r="S113" s="30">
        <v>45261</v>
      </c>
      <c r="T113" s="33"/>
      <c r="U113" s="34" t="str">
        <f>IFERROR(_xlfn.XLOOKUP(E113,[1]EMPREENDIMENTO!C:C,[1]EMPREENDIMENTO!D:D),"")</f>
        <v>39A398DA-D580-EB11-8864-0050568AA20F</v>
      </c>
    </row>
    <row r="114" spans="1:21" hidden="1" x14ac:dyDescent="0.35">
      <c r="A114" s="28" t="str">
        <f>IFERROR(_xlfn.XLOOKUP(C114,[1]DIRETORIA!C:C,[1]DIRETORIA!A:A),"-")</f>
        <v>DIR. COM E CRED RJ</v>
      </c>
      <c r="B114" s="28" t="str">
        <f>IFERROR(_xlfn.XLOOKUP(C114,[1]DIRETORIA!C:C,[1]DIRETORIA!B:B),"-")</f>
        <v>GST. COM RJ1</v>
      </c>
      <c r="C114" s="28" t="str">
        <f>IFERROR(_xlfn.XLOOKUP(E114,[1]EMPREENDIMENTO!C:C,[1]EMPREENDIMENTO!A:A),"-")</f>
        <v>RIO DE JANEIRO</v>
      </c>
      <c r="D114" s="28" t="s">
        <v>29</v>
      </c>
      <c r="E114" s="28" t="s">
        <v>238</v>
      </c>
      <c r="F114" s="28" t="s">
        <v>36</v>
      </c>
      <c r="G114" s="28" t="s">
        <v>241</v>
      </c>
      <c r="H114" s="28">
        <v>31959</v>
      </c>
      <c r="I114" s="29">
        <f>IFERROR(_xlfn.XLOOKUP(E114,[1]EMPREENDIMENTO!C:C,[1]EMPREENDIMENTO!E:E),"0")</f>
        <v>500</v>
      </c>
      <c r="J114" s="30">
        <v>46173</v>
      </c>
      <c r="K114" s="28" t="s">
        <v>33</v>
      </c>
      <c r="L114" s="31">
        <v>45261</v>
      </c>
      <c r="M114" s="32">
        <v>125390600</v>
      </c>
      <c r="N114" s="32">
        <v>126643600</v>
      </c>
      <c r="O114" s="32">
        <v>126069000</v>
      </c>
      <c r="P114" s="28" t="s">
        <v>34</v>
      </c>
      <c r="Q114" s="28" t="s">
        <v>240</v>
      </c>
      <c r="R114" s="30">
        <v>45288</v>
      </c>
      <c r="S114" s="30">
        <v>45261</v>
      </c>
      <c r="T114" s="33"/>
      <c r="U114" s="34" t="str">
        <f>IFERROR(_xlfn.XLOOKUP(E114,[1]EMPREENDIMENTO!C:C,[1]EMPREENDIMENTO!D:D),"")</f>
        <v>39A398DA-D580-EB11-8864-0050568AA20F</v>
      </c>
    </row>
    <row r="115" spans="1:21" hidden="1" x14ac:dyDescent="0.35">
      <c r="A115" s="28" t="str">
        <f>IFERROR(_xlfn.XLOOKUP(C115,[1]DIRETORIA!C:C,[1]DIRETORIA!A:A),"-")</f>
        <v>DIR. COM E CRED RJ</v>
      </c>
      <c r="B115" s="28" t="str">
        <f>IFERROR(_xlfn.XLOOKUP(C115,[1]DIRETORIA!C:C,[1]DIRETORIA!B:B),"-")</f>
        <v>GST. COM RJ1</v>
      </c>
      <c r="C115" s="28" t="str">
        <f>IFERROR(_xlfn.XLOOKUP(E115,[1]EMPREENDIMENTO!C:C,[1]EMPREENDIMENTO!A:A),"-")</f>
        <v>RIO DE JANEIRO</v>
      </c>
      <c r="D115" s="28" t="s">
        <v>29</v>
      </c>
      <c r="E115" s="28" t="s">
        <v>238</v>
      </c>
      <c r="F115" s="28" t="s">
        <v>39</v>
      </c>
      <c r="G115" s="28" t="s">
        <v>242</v>
      </c>
      <c r="H115" s="28">
        <v>31956</v>
      </c>
      <c r="I115" s="29">
        <f>IFERROR(_xlfn.XLOOKUP(E115,[1]EMPREENDIMENTO!C:C,[1]EMPREENDIMENTO!E:E),"0")</f>
        <v>500</v>
      </c>
      <c r="J115" s="30">
        <v>46173</v>
      </c>
      <c r="K115" s="28" t="s">
        <v>33</v>
      </c>
      <c r="L115" s="31">
        <v>45261</v>
      </c>
      <c r="M115" s="32">
        <v>125390600</v>
      </c>
      <c r="N115" s="32">
        <v>126643600</v>
      </c>
      <c r="O115" s="32">
        <v>126069000</v>
      </c>
      <c r="P115" s="28" t="s">
        <v>34</v>
      </c>
      <c r="Q115" s="28" t="s">
        <v>240</v>
      </c>
      <c r="R115" s="30">
        <v>45288</v>
      </c>
      <c r="S115" s="30">
        <v>45261</v>
      </c>
      <c r="T115" s="33"/>
      <c r="U115" s="34" t="str">
        <f>IFERROR(_xlfn.XLOOKUP(E115,[1]EMPREENDIMENTO!C:C,[1]EMPREENDIMENTO!D:D),"")</f>
        <v>39A398DA-D580-EB11-8864-0050568AA20F</v>
      </c>
    </row>
    <row r="116" spans="1:21" x14ac:dyDescent="0.35">
      <c r="A116" s="28" t="str">
        <f>IFERROR(_xlfn.XLOOKUP(C116,[1]DIRETORIA!C:C,[1]DIRETORIA!A:A),"-")</f>
        <v>DIR. COM E CRED SPI CP</v>
      </c>
      <c r="B116" s="28" t="str">
        <f>IFERROR(_xlfn.XLOOKUP(C116,[1]DIRETORIA!C:C,[1]DIRETORIA!B:B),"-")</f>
        <v>GST. COM CP2</v>
      </c>
      <c r="C116" s="28" t="str">
        <f>IFERROR(_xlfn.XLOOKUP(E116,[1]EMPREENDIMENTO!C:C,[1]EMPREENDIMENTO!A:A),"-")</f>
        <v>SOROCABA</v>
      </c>
      <c r="D116" s="28" t="s">
        <v>29</v>
      </c>
      <c r="E116" s="28" t="s">
        <v>243</v>
      </c>
      <c r="F116" s="28" t="s">
        <v>42</v>
      </c>
      <c r="G116" s="28" t="s">
        <v>244</v>
      </c>
      <c r="H116" s="28">
        <v>32253</v>
      </c>
      <c r="I116" s="29">
        <f>IFERROR(_xlfn.XLOOKUP(E116,[1]EMPREENDIMENTO!C:C,[1]EMPREENDIMENTO!E:E),"0")</f>
        <v>120</v>
      </c>
      <c r="J116" s="30">
        <v>46713</v>
      </c>
      <c r="K116" s="28" t="s">
        <v>33</v>
      </c>
      <c r="L116" s="31">
        <v>46220</v>
      </c>
      <c r="M116" s="32">
        <v>60380300</v>
      </c>
      <c r="N116" s="32">
        <v>64271573</v>
      </c>
      <c r="O116" s="32">
        <v>63692800</v>
      </c>
      <c r="P116" s="28" t="s">
        <v>34</v>
      </c>
      <c r="Q116" s="28" t="s">
        <v>245</v>
      </c>
      <c r="R116" s="30">
        <v>46225</v>
      </c>
      <c r="S116" s="30">
        <v>46220</v>
      </c>
      <c r="T116" s="33"/>
      <c r="U116" s="34" t="str">
        <f>IFERROR(_xlfn.XLOOKUP(E116,[1]EMPREENDIMENTO!C:C,[1]EMPREENDIMENTO!D:D),"")</f>
        <v>17791ac3-b852-ec11-b2fe-005056895191</v>
      </c>
    </row>
    <row r="117" spans="1:21" x14ac:dyDescent="0.35">
      <c r="A117" s="28" t="str">
        <f>IFERROR(_xlfn.XLOOKUP(C117,[1]DIRETORIA!C:C,[1]DIRETORIA!A:A),"-")</f>
        <v>DIR. COM E CRED SPI</v>
      </c>
      <c r="B117" s="28" t="str">
        <f>IFERROR(_xlfn.XLOOKUP(C117,[1]DIRETORIA!C:C,[1]DIRETORIA!B:B),"-")</f>
        <v>GST. COM OP 1</v>
      </c>
      <c r="C117" s="28" t="str">
        <f>IFERROR(_xlfn.XLOOKUP(E117,[1]EMPREENDIMENTO!C:C,[1]EMPREENDIMENTO!A:A),"-")</f>
        <v>SÃO JOSÉ DO RIO PRETO</v>
      </c>
      <c r="D117" s="28" t="s">
        <v>29</v>
      </c>
      <c r="E117" s="28" t="s">
        <v>246</v>
      </c>
      <c r="F117" s="28" t="s">
        <v>31</v>
      </c>
      <c r="G117" s="28" t="s">
        <v>247</v>
      </c>
      <c r="H117" s="28">
        <v>29437</v>
      </c>
      <c r="I117" s="29">
        <f>IFERROR(_xlfn.XLOOKUP(E117,[1]EMPREENDIMENTO!C:C,[1]EMPREENDIMENTO!E:E),"0")</f>
        <v>336</v>
      </c>
      <c r="J117" s="30">
        <v>46642</v>
      </c>
      <c r="K117" s="28" t="s">
        <v>33</v>
      </c>
      <c r="L117" s="31">
        <v>45905</v>
      </c>
      <c r="M117" s="32">
        <v>90590800</v>
      </c>
      <c r="N117" s="32">
        <v>98604700</v>
      </c>
      <c r="O117" s="32">
        <v>93043800</v>
      </c>
      <c r="P117" s="28" t="s">
        <v>34</v>
      </c>
      <c r="Q117" s="28" t="s">
        <v>248</v>
      </c>
      <c r="R117" s="30">
        <v>45922</v>
      </c>
      <c r="S117" s="30">
        <v>45905</v>
      </c>
      <c r="T117" s="33"/>
      <c r="U117" s="34" t="str">
        <f>IFERROR(_xlfn.XLOOKUP(E117,[1]EMPREENDIMENTO!C:C,[1]EMPREENDIMENTO!D:D),"")</f>
        <v>3b200a12-013b-e711-8cd7-009c02b0cb58</v>
      </c>
    </row>
    <row r="118" spans="1:21" x14ac:dyDescent="0.35">
      <c r="A118" s="28" t="str">
        <f>IFERROR(_xlfn.XLOOKUP(C118,[1]DIRETORIA!C:C,[1]DIRETORIA!A:A),"-")</f>
        <v>DIR. COM E CRED SPI</v>
      </c>
      <c r="B118" s="28" t="str">
        <f>IFERROR(_xlfn.XLOOKUP(C118,[1]DIRETORIA!C:C,[1]DIRETORIA!B:B),"-")</f>
        <v>GST. COM OP 1</v>
      </c>
      <c r="C118" s="28" t="str">
        <f>IFERROR(_xlfn.XLOOKUP(E118,[1]EMPREENDIMENTO!C:C,[1]EMPREENDIMENTO!A:A),"-")</f>
        <v>SÃO JOSÉ DO RIO PRETO</v>
      </c>
      <c r="D118" s="28" t="s">
        <v>29</v>
      </c>
      <c r="E118" s="28" t="s">
        <v>246</v>
      </c>
      <c r="F118" s="28" t="s">
        <v>36</v>
      </c>
      <c r="G118" s="28" t="s">
        <v>249</v>
      </c>
      <c r="H118" s="28">
        <v>40214</v>
      </c>
      <c r="I118" s="29">
        <f>IFERROR(_xlfn.XLOOKUP(E118,[1]EMPREENDIMENTO!C:C,[1]EMPREENDIMENTO!E:E),"0")</f>
        <v>336</v>
      </c>
      <c r="J118" s="30">
        <v>46642</v>
      </c>
      <c r="K118" s="28" t="s">
        <v>33</v>
      </c>
      <c r="L118" s="31">
        <v>45905</v>
      </c>
      <c r="M118" s="32">
        <v>90590800</v>
      </c>
      <c r="N118" s="32">
        <v>98604700</v>
      </c>
      <c r="O118" s="32">
        <v>93043800</v>
      </c>
      <c r="P118" s="28" t="s">
        <v>34</v>
      </c>
      <c r="Q118" s="28" t="s">
        <v>248</v>
      </c>
      <c r="R118" s="30">
        <v>45922</v>
      </c>
      <c r="S118" s="30">
        <v>45905</v>
      </c>
      <c r="T118" s="33"/>
      <c r="U118" s="34" t="str">
        <f>IFERROR(_xlfn.XLOOKUP(E118,[1]EMPREENDIMENTO!C:C,[1]EMPREENDIMENTO!D:D),"")</f>
        <v>3b200a12-013b-e711-8cd7-009c02b0cb58</v>
      </c>
    </row>
    <row r="119" spans="1:21" x14ac:dyDescent="0.35">
      <c r="A119" s="28" t="str">
        <f>IFERROR(_xlfn.XLOOKUP(C119,[1]DIRETORIA!C:C,[1]DIRETORIA!A:A),"-")</f>
        <v>DIR. COM E CRED SPI</v>
      </c>
      <c r="B119" s="28" t="str">
        <f>IFERROR(_xlfn.XLOOKUP(C119,[1]DIRETORIA!C:C,[1]DIRETORIA!B:B),"-")</f>
        <v>GST. COM OP 1</v>
      </c>
      <c r="C119" s="28" t="str">
        <f>IFERROR(_xlfn.XLOOKUP(E119,[1]EMPREENDIMENTO!C:C,[1]EMPREENDIMENTO!A:A),"-")</f>
        <v>SÃO JOSÉ DO RIO PRETO</v>
      </c>
      <c r="D119" s="28" t="s">
        <v>29</v>
      </c>
      <c r="E119" s="28" t="s">
        <v>246</v>
      </c>
      <c r="F119" s="28" t="s">
        <v>39</v>
      </c>
      <c r="G119" s="28" t="s">
        <v>250</v>
      </c>
      <c r="H119" s="28">
        <v>45435</v>
      </c>
      <c r="I119" s="29">
        <f>IFERROR(_xlfn.XLOOKUP(E119,[1]EMPREENDIMENTO!C:C,[1]EMPREENDIMENTO!E:E),"0")</f>
        <v>336</v>
      </c>
      <c r="J119" s="30">
        <v>46642</v>
      </c>
      <c r="K119" s="28" t="s">
        <v>33</v>
      </c>
      <c r="L119" s="31">
        <v>45905</v>
      </c>
      <c r="M119" s="32">
        <v>90590800</v>
      </c>
      <c r="N119" s="32">
        <v>98604700</v>
      </c>
      <c r="O119" s="32">
        <v>93043800</v>
      </c>
      <c r="P119" s="28" t="s">
        <v>34</v>
      </c>
      <c r="Q119" s="28" t="s">
        <v>248</v>
      </c>
      <c r="R119" s="30">
        <v>45922</v>
      </c>
      <c r="S119" s="30">
        <v>45905</v>
      </c>
      <c r="T119" s="33"/>
      <c r="U119" s="34" t="str">
        <f>IFERROR(_xlfn.XLOOKUP(E119,[1]EMPREENDIMENTO!C:C,[1]EMPREENDIMENTO!D:D),"")</f>
        <v>3b200a12-013b-e711-8cd7-009c02b0cb58</v>
      </c>
    </row>
    <row r="120" spans="1:21" x14ac:dyDescent="0.35">
      <c r="A120" s="28" t="str">
        <f>IFERROR(_xlfn.XLOOKUP(C120,[1]DIRETORIA!C:C,[1]DIRETORIA!A:A),"-")</f>
        <v>DIR. COM E CRED SPI</v>
      </c>
      <c r="B120" s="28" t="str">
        <f>IFERROR(_xlfn.XLOOKUP(C120,[1]DIRETORIA!C:C,[1]DIRETORIA!B:B),"-")</f>
        <v>GST. COM OP 1</v>
      </c>
      <c r="C120" s="28" t="str">
        <f>IFERROR(_xlfn.XLOOKUP(E120,[1]EMPREENDIMENTO!C:C,[1]EMPREENDIMENTO!A:A),"-")</f>
        <v>SÃO JOSÉ DO RIO PRETO</v>
      </c>
      <c r="D120" s="28" t="s">
        <v>29</v>
      </c>
      <c r="E120" s="28" t="s">
        <v>251</v>
      </c>
      <c r="F120" s="28" t="s">
        <v>31</v>
      </c>
      <c r="G120" s="28" t="s">
        <v>252</v>
      </c>
      <c r="H120" s="28">
        <v>32741</v>
      </c>
      <c r="I120" s="29">
        <f>IFERROR(_xlfn.XLOOKUP(E120,[1]EMPREENDIMENTO!C:C,[1]EMPREENDIMENTO!E:E),"0")</f>
        <v>448</v>
      </c>
      <c r="J120" s="30">
        <v>46507</v>
      </c>
      <c r="K120" s="28" t="s">
        <v>33</v>
      </c>
      <c r="L120" s="31">
        <v>46086</v>
      </c>
      <c r="M120" s="32">
        <v>108616000</v>
      </c>
      <c r="N120" s="32">
        <v>113827200</v>
      </c>
      <c r="O120" s="32">
        <v>109132000</v>
      </c>
      <c r="P120" s="28" t="s">
        <v>34</v>
      </c>
      <c r="Q120" s="28" t="s">
        <v>253</v>
      </c>
      <c r="R120" s="30">
        <v>46104</v>
      </c>
      <c r="S120" s="30">
        <v>46086</v>
      </c>
      <c r="T120" s="33"/>
      <c r="U120" s="34" t="str">
        <f>IFERROR(_xlfn.XLOOKUP(E120,[1]EMPREENDIMENTO!C:C,[1]EMPREENDIMENTO!D:D),"")</f>
        <v>24cb5ec0-17fa-eb11-a30e-0050568a2e98</v>
      </c>
    </row>
    <row r="121" spans="1:21" x14ac:dyDescent="0.35">
      <c r="A121" s="28" t="str">
        <f>IFERROR(_xlfn.XLOOKUP(C121,[1]DIRETORIA!C:C,[1]DIRETORIA!A:A),"-")</f>
        <v>DIR. COM E CRED SPI</v>
      </c>
      <c r="B121" s="28" t="str">
        <f>IFERROR(_xlfn.XLOOKUP(C121,[1]DIRETORIA!C:C,[1]DIRETORIA!B:B),"-")</f>
        <v>GST. COM OP 1</v>
      </c>
      <c r="C121" s="28" t="str">
        <f>IFERROR(_xlfn.XLOOKUP(E121,[1]EMPREENDIMENTO!C:C,[1]EMPREENDIMENTO!A:A),"-")</f>
        <v>SÃO JOSÉ DO RIO PRETO</v>
      </c>
      <c r="D121" s="28" t="s">
        <v>29</v>
      </c>
      <c r="E121" s="28" t="s">
        <v>251</v>
      </c>
      <c r="F121" s="28" t="s">
        <v>36</v>
      </c>
      <c r="G121" s="28" t="s">
        <v>254</v>
      </c>
      <c r="H121" s="28">
        <v>45736</v>
      </c>
      <c r="I121" s="29">
        <f>IFERROR(_xlfn.XLOOKUP(E121,[1]EMPREENDIMENTO!C:C,[1]EMPREENDIMENTO!E:E),"0")</f>
        <v>448</v>
      </c>
      <c r="J121" s="30">
        <v>46507</v>
      </c>
      <c r="K121" s="28" t="s">
        <v>33</v>
      </c>
      <c r="L121" s="31">
        <v>46086</v>
      </c>
      <c r="M121" s="32">
        <v>108616000</v>
      </c>
      <c r="N121" s="32">
        <v>113827200</v>
      </c>
      <c r="O121" s="32">
        <v>109132000</v>
      </c>
      <c r="P121" s="28" t="s">
        <v>34</v>
      </c>
      <c r="Q121" s="28" t="s">
        <v>253</v>
      </c>
      <c r="R121" s="30">
        <v>46104</v>
      </c>
      <c r="S121" s="30">
        <v>46086</v>
      </c>
      <c r="T121" s="33"/>
      <c r="U121" s="34" t="str">
        <f>IFERROR(_xlfn.XLOOKUP(E121,[1]EMPREENDIMENTO!C:C,[1]EMPREENDIMENTO!D:D),"")</f>
        <v>24cb5ec0-17fa-eb11-a30e-0050568a2e98</v>
      </c>
    </row>
    <row r="122" spans="1:21" x14ac:dyDescent="0.35">
      <c r="A122" s="28" t="str">
        <f>IFERROR(_xlfn.XLOOKUP(C122,[1]DIRETORIA!C:C,[1]DIRETORIA!A:A),"-")</f>
        <v>DIR. COM E CRED SPI</v>
      </c>
      <c r="B122" s="28" t="str">
        <f>IFERROR(_xlfn.XLOOKUP(C122,[1]DIRETORIA!C:C,[1]DIRETORIA!B:B),"-")</f>
        <v>GST. COM OP 1</v>
      </c>
      <c r="C122" s="28" t="str">
        <f>IFERROR(_xlfn.XLOOKUP(E122,[1]EMPREENDIMENTO!C:C,[1]EMPREENDIMENTO!A:A),"-")</f>
        <v>SÃO JOSÉ DO RIO PRETO</v>
      </c>
      <c r="D122" s="28" t="s">
        <v>29</v>
      </c>
      <c r="E122" s="28" t="s">
        <v>251</v>
      </c>
      <c r="F122" s="28" t="s">
        <v>39</v>
      </c>
      <c r="G122" s="28" t="s">
        <v>255</v>
      </c>
      <c r="H122" s="28">
        <v>54443</v>
      </c>
      <c r="I122" s="29">
        <f>IFERROR(_xlfn.XLOOKUP(E122,[1]EMPREENDIMENTO!C:C,[1]EMPREENDIMENTO!E:E),"0")</f>
        <v>448</v>
      </c>
      <c r="J122" s="30">
        <v>46507</v>
      </c>
      <c r="K122" s="28" t="s">
        <v>33</v>
      </c>
      <c r="L122" s="31">
        <v>46086</v>
      </c>
      <c r="M122" s="32">
        <v>108616000</v>
      </c>
      <c r="N122" s="32">
        <v>113827200</v>
      </c>
      <c r="O122" s="32">
        <v>109132000</v>
      </c>
      <c r="P122" s="28" t="s">
        <v>34</v>
      </c>
      <c r="Q122" s="28" t="s">
        <v>253</v>
      </c>
      <c r="R122" s="30">
        <v>46104</v>
      </c>
      <c r="S122" s="30">
        <v>46086</v>
      </c>
      <c r="T122" s="33"/>
      <c r="U122" s="34" t="str">
        <f>IFERROR(_xlfn.XLOOKUP(E122,[1]EMPREENDIMENTO!C:C,[1]EMPREENDIMENTO!D:D),"")</f>
        <v>24cb5ec0-17fa-eb11-a30e-0050568a2e98</v>
      </c>
    </row>
    <row r="123" spans="1:21" x14ac:dyDescent="0.35">
      <c r="A123" s="28" t="str">
        <f>IFERROR(_xlfn.XLOOKUP(C123,[1]DIRETORIA!C:C,[1]DIRETORIA!A:A),"-")</f>
        <v>DIR. COM E CRED SPI</v>
      </c>
      <c r="B123" s="28" t="str">
        <f>IFERROR(_xlfn.XLOOKUP(C123,[1]DIRETORIA!C:C,[1]DIRETORIA!B:B),"-")</f>
        <v>GST. COM OP 1</v>
      </c>
      <c r="C123" s="28" t="str">
        <f>IFERROR(_xlfn.XLOOKUP(E123,[1]EMPREENDIMENTO!C:C,[1]EMPREENDIMENTO!A:A),"-")</f>
        <v>SÃO JOSÉ DO RIO PRETO</v>
      </c>
      <c r="D123" s="28" t="s">
        <v>29</v>
      </c>
      <c r="E123" s="28" t="s">
        <v>251</v>
      </c>
      <c r="F123" s="28" t="s">
        <v>50</v>
      </c>
      <c r="G123" s="28" t="s">
        <v>256</v>
      </c>
      <c r="H123" s="28">
        <v>54454</v>
      </c>
      <c r="I123" s="29">
        <f>IFERROR(_xlfn.XLOOKUP(E123,[1]EMPREENDIMENTO!C:C,[1]EMPREENDIMENTO!E:E),"0")</f>
        <v>448</v>
      </c>
      <c r="J123" s="30">
        <v>46507</v>
      </c>
      <c r="K123" s="28" t="s">
        <v>33</v>
      </c>
      <c r="L123" s="31">
        <v>46086</v>
      </c>
      <c r="M123" s="32">
        <v>108616000</v>
      </c>
      <c r="N123" s="32">
        <v>113827200</v>
      </c>
      <c r="O123" s="32">
        <v>109132000</v>
      </c>
      <c r="P123" s="28" t="s">
        <v>34</v>
      </c>
      <c r="Q123" s="28" t="s">
        <v>253</v>
      </c>
      <c r="R123" s="30">
        <v>46104</v>
      </c>
      <c r="S123" s="30">
        <v>46086</v>
      </c>
      <c r="T123" s="33"/>
      <c r="U123" s="34" t="str">
        <f>IFERROR(_xlfn.XLOOKUP(E123,[1]EMPREENDIMENTO!C:C,[1]EMPREENDIMENTO!D:D),"")</f>
        <v>24cb5ec0-17fa-eb11-a30e-0050568a2e98</v>
      </c>
    </row>
    <row r="124" spans="1:21" hidden="1" x14ac:dyDescent="0.35">
      <c r="A124" s="28" t="str">
        <f>IFERROR(_xlfn.XLOOKUP(C124,[1]DIRETORIA!C:C,[1]DIRETORIA!A:A),"-")</f>
        <v>DIR. COM E CRED NE</v>
      </c>
      <c r="B124" s="28" t="str">
        <f>IFERROR(_xlfn.XLOOKUP(C124,[1]DIRETORIA!C:C,[1]DIRETORIA!B:B),"-")</f>
        <v>GST. COM NE5 (RN+PB)</v>
      </c>
      <c r="C124" s="28" t="str">
        <f>IFERROR(_xlfn.XLOOKUP(E124,[1]EMPREENDIMENTO!C:C,[1]EMPREENDIMENTO!A:A),"-")</f>
        <v>PARNAMIRIM</v>
      </c>
      <c r="D124" s="28" t="s">
        <v>29</v>
      </c>
      <c r="E124" s="28" t="s">
        <v>257</v>
      </c>
      <c r="F124" s="28" t="s">
        <v>31</v>
      </c>
      <c r="G124" s="28" t="s">
        <v>258</v>
      </c>
      <c r="H124" s="28">
        <v>32481</v>
      </c>
      <c r="I124" s="29">
        <f>IFERROR(_xlfn.XLOOKUP(E124,[1]EMPREENDIMENTO!C:C,[1]EMPREENDIMENTO!E:E),"0")</f>
        <v>388</v>
      </c>
      <c r="J124" s="30">
        <v>46670</v>
      </c>
      <c r="K124" s="28" t="s">
        <v>33</v>
      </c>
      <c r="L124" s="31">
        <v>45756</v>
      </c>
      <c r="M124" s="32">
        <v>80709722</v>
      </c>
      <c r="N124" s="32">
        <v>85077873</v>
      </c>
      <c r="O124" s="32">
        <v>81180000</v>
      </c>
      <c r="P124" s="28" t="s">
        <v>34</v>
      </c>
      <c r="Q124" s="28" t="s">
        <v>259</v>
      </c>
      <c r="R124" s="30">
        <v>45757</v>
      </c>
      <c r="S124" s="30">
        <v>45756</v>
      </c>
      <c r="T124" s="33"/>
      <c r="U124" s="34" t="str">
        <f>IFERROR(_xlfn.XLOOKUP(E124,[1]EMPREENDIMENTO!C:C,[1]EMPREENDIMENTO!D:D),"")</f>
        <v>064bb8eb-0029-eb11-85d0-005056856875</v>
      </c>
    </row>
    <row r="125" spans="1:21" hidden="1" x14ac:dyDescent="0.35">
      <c r="A125" s="28" t="str">
        <f>IFERROR(_xlfn.XLOOKUP(C125,[1]DIRETORIA!C:C,[1]DIRETORIA!A:A),"-")</f>
        <v>DIR. COM E CRED NE</v>
      </c>
      <c r="B125" s="28" t="str">
        <f>IFERROR(_xlfn.XLOOKUP(C125,[1]DIRETORIA!C:C,[1]DIRETORIA!B:B),"-")</f>
        <v>GST. COM NE5 (RN+PB)</v>
      </c>
      <c r="C125" s="28" t="str">
        <f>IFERROR(_xlfn.XLOOKUP(E125,[1]EMPREENDIMENTO!C:C,[1]EMPREENDIMENTO!A:A),"-")</f>
        <v>PARNAMIRIM</v>
      </c>
      <c r="D125" s="28" t="s">
        <v>29</v>
      </c>
      <c r="E125" s="28" t="s">
        <v>257</v>
      </c>
      <c r="F125" s="28" t="s">
        <v>36</v>
      </c>
      <c r="G125" s="28" t="s">
        <v>260</v>
      </c>
      <c r="H125" s="28">
        <v>38928</v>
      </c>
      <c r="I125" s="29">
        <f>IFERROR(_xlfn.XLOOKUP(E125,[1]EMPREENDIMENTO!C:C,[1]EMPREENDIMENTO!E:E),"0")</f>
        <v>388</v>
      </c>
      <c r="J125" s="30">
        <v>46670</v>
      </c>
      <c r="K125" s="28" t="s">
        <v>33</v>
      </c>
      <c r="L125" s="31">
        <v>45756</v>
      </c>
      <c r="M125" s="32">
        <v>80709722</v>
      </c>
      <c r="N125" s="32">
        <v>85077873</v>
      </c>
      <c r="O125" s="32">
        <v>81180000</v>
      </c>
      <c r="P125" s="28" t="s">
        <v>34</v>
      </c>
      <c r="Q125" s="28" t="s">
        <v>259</v>
      </c>
      <c r="R125" s="30">
        <v>45757</v>
      </c>
      <c r="S125" s="30">
        <v>45756</v>
      </c>
      <c r="T125" s="33"/>
      <c r="U125" s="34" t="str">
        <f>IFERROR(_xlfn.XLOOKUP(E125,[1]EMPREENDIMENTO!C:C,[1]EMPREENDIMENTO!D:D),"")</f>
        <v>064bb8eb-0029-eb11-85d0-005056856875</v>
      </c>
    </row>
    <row r="126" spans="1:21" hidden="1" x14ac:dyDescent="0.35">
      <c r="A126" s="28" t="str">
        <f>IFERROR(_xlfn.XLOOKUP(C126,[1]DIRETORIA!C:C,[1]DIRETORIA!A:A),"-")</f>
        <v>DIR. COM E CRED NE</v>
      </c>
      <c r="B126" s="28" t="str">
        <f>IFERROR(_xlfn.XLOOKUP(C126,[1]DIRETORIA!C:C,[1]DIRETORIA!B:B),"-")</f>
        <v>GST. COM NE5 (RN+PB)</v>
      </c>
      <c r="C126" s="28" t="str">
        <f>IFERROR(_xlfn.XLOOKUP(E126,[1]EMPREENDIMENTO!C:C,[1]EMPREENDIMENTO!A:A),"-")</f>
        <v>PARNAMIRIM</v>
      </c>
      <c r="D126" s="28" t="s">
        <v>29</v>
      </c>
      <c r="E126" s="28" t="s">
        <v>257</v>
      </c>
      <c r="F126" s="28" t="s">
        <v>39</v>
      </c>
      <c r="G126" s="28" t="s">
        <v>261</v>
      </c>
      <c r="H126" s="28">
        <v>41302</v>
      </c>
      <c r="I126" s="29">
        <f>IFERROR(_xlfn.XLOOKUP(E126,[1]EMPREENDIMENTO!C:C,[1]EMPREENDIMENTO!E:E),"0")</f>
        <v>388</v>
      </c>
      <c r="J126" s="30">
        <v>46670</v>
      </c>
      <c r="K126" s="28" t="s">
        <v>33</v>
      </c>
      <c r="L126" s="31">
        <v>45756</v>
      </c>
      <c r="M126" s="32">
        <v>80709722</v>
      </c>
      <c r="N126" s="32">
        <v>85077873</v>
      </c>
      <c r="O126" s="32">
        <v>81180000</v>
      </c>
      <c r="P126" s="28" t="s">
        <v>34</v>
      </c>
      <c r="Q126" s="28" t="s">
        <v>259</v>
      </c>
      <c r="R126" s="30">
        <v>45757</v>
      </c>
      <c r="S126" s="30">
        <v>45756</v>
      </c>
      <c r="T126" s="33"/>
      <c r="U126" s="34" t="str">
        <f>IFERROR(_xlfn.XLOOKUP(E126,[1]EMPREENDIMENTO!C:C,[1]EMPREENDIMENTO!D:D),"")</f>
        <v>064bb8eb-0029-eb11-85d0-005056856875</v>
      </c>
    </row>
    <row r="127" spans="1:21" hidden="1" x14ac:dyDescent="0.35">
      <c r="A127" s="28" t="str">
        <f>IFERROR(_xlfn.XLOOKUP(C127,[1]DIRETORIA!C:C,[1]DIRETORIA!A:A),"-")</f>
        <v>DIR. COM E CRED NE</v>
      </c>
      <c r="B127" s="28" t="str">
        <f>IFERROR(_xlfn.XLOOKUP(C127,[1]DIRETORIA!C:C,[1]DIRETORIA!B:B),"-")</f>
        <v>GST. COM NE 3 (SE+AL)</v>
      </c>
      <c r="C127" s="28" t="str">
        <f>IFERROR(_xlfn.XLOOKUP(E127,[1]EMPREENDIMENTO!C:C,[1]EMPREENDIMENTO!A:A),"-")</f>
        <v>MACEIÓ</v>
      </c>
      <c r="D127" s="28" t="s">
        <v>29</v>
      </c>
      <c r="E127" s="28" t="s">
        <v>262</v>
      </c>
      <c r="F127" s="28" t="s">
        <v>42</v>
      </c>
      <c r="G127" s="28" t="s">
        <v>263</v>
      </c>
      <c r="H127" s="28">
        <v>34877</v>
      </c>
      <c r="I127" s="29">
        <f>IFERROR(_xlfn.XLOOKUP(E127,[1]EMPREENDIMENTO!C:C,[1]EMPREENDIMENTO!E:E),"0")</f>
        <v>324</v>
      </c>
      <c r="J127" s="30">
        <v>46241</v>
      </c>
      <c r="K127" s="28" t="s">
        <v>33</v>
      </c>
      <c r="L127" s="31">
        <v>46212</v>
      </c>
      <c r="M127" s="32">
        <v>91834915</v>
      </c>
      <c r="N127" s="32">
        <v>125759552</v>
      </c>
      <c r="O127" s="32">
        <v>117470000</v>
      </c>
      <c r="P127" s="28" t="s">
        <v>34</v>
      </c>
      <c r="Q127" s="28" t="s">
        <v>264</v>
      </c>
      <c r="R127" s="30">
        <v>46213</v>
      </c>
      <c r="S127" s="30">
        <v>46213</v>
      </c>
      <c r="T127" s="33"/>
      <c r="U127" s="34" t="str">
        <f>IFERROR(_xlfn.XLOOKUP(E127,[1]EMPREENDIMENTO!C:C,[1]EMPREENDIMENTO!D:D),"")</f>
        <v>d39942b6-3c13-e411-8efb-009c02b0cb58</v>
      </c>
    </row>
    <row r="128" spans="1:21" hidden="1" x14ac:dyDescent="0.35">
      <c r="A128" s="28" t="str">
        <f>IFERROR(_xlfn.XLOOKUP(C128,[1]DIRETORIA!C:C,[1]DIRETORIA!A:A),"-")</f>
        <v>DIR. COM E CRED SP E VL</v>
      </c>
      <c r="B128" s="28" t="str">
        <f>IFERROR(_xlfn.XLOOKUP(C128,[1]DIRETORIA!C:C,[1]DIRETORIA!B:B),"-")</f>
        <v>GST. COM SP2</v>
      </c>
      <c r="C128" s="28" t="str">
        <f>IFERROR(_xlfn.XLOOKUP(E128,[1]EMPREENDIMENTO!C:C,[1]EMPREENDIMENTO!A:A),"-")</f>
        <v>VARGEM GRANDE PAULISTA</v>
      </c>
      <c r="D128" s="28" t="s">
        <v>29</v>
      </c>
      <c r="E128" s="28" t="s">
        <v>265</v>
      </c>
      <c r="F128" s="28" t="s">
        <v>31</v>
      </c>
      <c r="G128" s="28" t="s">
        <v>266</v>
      </c>
      <c r="H128" s="28">
        <v>26203</v>
      </c>
      <c r="I128" s="29">
        <f>IFERROR(_xlfn.XLOOKUP(E128,[1]EMPREENDIMENTO!C:C,[1]EMPREENDIMENTO!E:E),"0")</f>
        <v>624</v>
      </c>
      <c r="J128" s="30"/>
      <c r="K128" s="28" t="s">
        <v>33</v>
      </c>
      <c r="L128" s="31">
        <v>45852</v>
      </c>
      <c r="M128" s="32">
        <v>162106000</v>
      </c>
      <c r="N128" s="32">
        <v>178789812</v>
      </c>
      <c r="O128" s="32">
        <v>174869700</v>
      </c>
      <c r="P128" s="28" t="s">
        <v>34</v>
      </c>
      <c r="Q128" s="28">
        <v>707273</v>
      </c>
      <c r="R128" s="30">
        <v>45905</v>
      </c>
      <c r="S128" s="30">
        <v>45887</v>
      </c>
      <c r="T128" s="33"/>
      <c r="U128" s="34" t="str">
        <f>IFERROR(_xlfn.XLOOKUP(E128,[1]EMPREENDIMENTO!C:C,[1]EMPREENDIMENTO!D:D),"")</f>
        <v>61d220e1-fdeb-e811-b503-009c02b0cb58</v>
      </c>
    </row>
    <row r="129" spans="1:21" hidden="1" x14ac:dyDescent="0.35">
      <c r="A129" s="28" t="str">
        <f>IFERROR(_xlfn.XLOOKUP(C129,[1]DIRETORIA!C:C,[1]DIRETORIA!A:A),"-")</f>
        <v>DIR. COM E CRED SP E VL</v>
      </c>
      <c r="B129" s="28" t="str">
        <f>IFERROR(_xlfn.XLOOKUP(C129,[1]DIRETORIA!C:C,[1]DIRETORIA!B:B),"-")</f>
        <v>GST. COM SP2</v>
      </c>
      <c r="C129" s="28" t="str">
        <f>IFERROR(_xlfn.XLOOKUP(E129,[1]EMPREENDIMENTO!C:C,[1]EMPREENDIMENTO!A:A),"-")</f>
        <v>VARGEM GRANDE PAULISTA</v>
      </c>
      <c r="D129" s="28" t="s">
        <v>85</v>
      </c>
      <c r="E129" s="28" t="s">
        <v>265</v>
      </c>
      <c r="F129" s="28" t="s">
        <v>36</v>
      </c>
      <c r="G129" s="28" t="s">
        <v>267</v>
      </c>
      <c r="H129" s="28">
        <v>62225</v>
      </c>
      <c r="I129" s="29">
        <f>IFERROR(_xlfn.XLOOKUP(E129,[1]EMPREENDIMENTO!C:C,[1]EMPREENDIMENTO!E:E),"0")</f>
        <v>624</v>
      </c>
      <c r="J129" s="30"/>
      <c r="K129" s="28" t="s">
        <v>33</v>
      </c>
      <c r="L129" s="31">
        <v>45852</v>
      </c>
      <c r="M129" s="32">
        <v>162106000</v>
      </c>
      <c r="N129" s="32">
        <v>178789812</v>
      </c>
      <c r="O129" s="32">
        <v>174869700</v>
      </c>
      <c r="P129" s="28" t="s">
        <v>34</v>
      </c>
      <c r="Q129" s="28">
        <v>707273</v>
      </c>
      <c r="R129" s="30">
        <v>45905</v>
      </c>
      <c r="S129" s="30">
        <v>45887</v>
      </c>
      <c r="T129" s="33"/>
      <c r="U129" s="34" t="str">
        <f>IFERROR(_xlfn.XLOOKUP(E129,[1]EMPREENDIMENTO!C:C,[1]EMPREENDIMENTO!D:D),"")</f>
        <v>61d220e1-fdeb-e811-b503-009c02b0cb58</v>
      </c>
    </row>
    <row r="130" spans="1:21" hidden="1" x14ac:dyDescent="0.35">
      <c r="A130" s="28" t="str">
        <f>IFERROR(_xlfn.XLOOKUP(C130,[1]DIRETORIA!C:C,[1]DIRETORIA!A:A),"-")</f>
        <v>DIR. COM E CRED SP E VL</v>
      </c>
      <c r="B130" s="28" t="str">
        <f>IFERROR(_xlfn.XLOOKUP(C130,[1]DIRETORIA!C:C,[1]DIRETORIA!B:B),"-")</f>
        <v>GST. COM SP2</v>
      </c>
      <c r="C130" s="28" t="str">
        <f>IFERROR(_xlfn.XLOOKUP(E130,[1]EMPREENDIMENTO!C:C,[1]EMPREENDIMENTO!A:A),"-")</f>
        <v>VARGEM GRANDE PAULISTA</v>
      </c>
      <c r="D130" s="28" t="s">
        <v>85</v>
      </c>
      <c r="E130" s="28" t="s">
        <v>265</v>
      </c>
      <c r="F130" s="28" t="s">
        <v>39</v>
      </c>
      <c r="G130" s="28" t="s">
        <v>268</v>
      </c>
      <c r="H130" s="28" t="s">
        <v>268</v>
      </c>
      <c r="I130" s="29">
        <f>IFERROR(_xlfn.XLOOKUP(E130,[1]EMPREENDIMENTO!C:C,[1]EMPREENDIMENTO!E:E),"0")</f>
        <v>624</v>
      </c>
      <c r="J130" s="30"/>
      <c r="K130" s="28" t="s">
        <v>33</v>
      </c>
      <c r="L130" s="31">
        <v>45852</v>
      </c>
      <c r="M130" s="32">
        <v>162106000</v>
      </c>
      <c r="N130" s="32">
        <v>178789812</v>
      </c>
      <c r="O130" s="32">
        <v>174869700</v>
      </c>
      <c r="P130" s="28" t="s">
        <v>34</v>
      </c>
      <c r="Q130" s="28">
        <v>707273</v>
      </c>
      <c r="R130" s="30">
        <v>45905</v>
      </c>
      <c r="S130" s="30">
        <v>45887</v>
      </c>
      <c r="T130" s="33"/>
      <c r="U130" s="34" t="str">
        <f>IFERROR(_xlfn.XLOOKUP(E130,[1]EMPREENDIMENTO!C:C,[1]EMPREENDIMENTO!D:D),"")</f>
        <v>61d220e1-fdeb-e811-b503-009c02b0cb58</v>
      </c>
    </row>
    <row r="131" spans="1:21" hidden="1" x14ac:dyDescent="0.35">
      <c r="A131" s="28" t="str">
        <f>IFERROR(_xlfn.XLOOKUP(C131,[1]DIRETORIA!C:C,[1]DIRETORIA!A:A),"-")</f>
        <v>DIR. COM E CRED SP E VL</v>
      </c>
      <c r="B131" s="28" t="str">
        <f>IFERROR(_xlfn.XLOOKUP(C131,[1]DIRETORIA!C:C,[1]DIRETORIA!B:B),"-")</f>
        <v>GST. COM SP2</v>
      </c>
      <c r="C131" s="28" t="str">
        <f>IFERROR(_xlfn.XLOOKUP(E131,[1]EMPREENDIMENTO!C:C,[1]EMPREENDIMENTO!A:A),"-")</f>
        <v>VARGEM GRANDE PAULISTA</v>
      </c>
      <c r="D131" s="28" t="s">
        <v>85</v>
      </c>
      <c r="E131" s="28" t="s">
        <v>265</v>
      </c>
      <c r="F131" s="28" t="s">
        <v>50</v>
      </c>
      <c r="G131" s="28" t="s">
        <v>268</v>
      </c>
      <c r="H131" s="28" t="s">
        <v>268</v>
      </c>
      <c r="I131" s="29">
        <f>IFERROR(_xlfn.XLOOKUP(E131,[1]EMPREENDIMENTO!C:C,[1]EMPREENDIMENTO!E:E),"0")</f>
        <v>624</v>
      </c>
      <c r="J131" s="30"/>
      <c r="K131" s="28" t="s">
        <v>33</v>
      </c>
      <c r="L131" s="31">
        <v>45852</v>
      </c>
      <c r="M131" s="32">
        <v>162106000</v>
      </c>
      <c r="N131" s="32">
        <v>178789812</v>
      </c>
      <c r="O131" s="32">
        <v>174869700</v>
      </c>
      <c r="P131" s="28" t="s">
        <v>34</v>
      </c>
      <c r="Q131" s="28">
        <v>707273</v>
      </c>
      <c r="R131" s="30">
        <v>45905</v>
      </c>
      <c r="S131" s="30">
        <v>45887</v>
      </c>
      <c r="T131" s="33"/>
      <c r="U131" s="34" t="str">
        <f>IFERROR(_xlfn.XLOOKUP(E131,[1]EMPREENDIMENTO!C:C,[1]EMPREENDIMENTO!D:D),"")</f>
        <v>61d220e1-fdeb-e811-b503-009c02b0cb58</v>
      </c>
    </row>
    <row r="132" spans="1:21" hidden="1" x14ac:dyDescent="0.35">
      <c r="A132" s="28" t="str">
        <f>IFERROR(_xlfn.XLOOKUP(C132,[1]DIRETORIA!C:C,[1]DIRETORIA!A:A),"-")</f>
        <v>DIR. COM E CRED CO E AM</v>
      </c>
      <c r="B132" s="28" t="str">
        <f>IFERROR(_xlfn.XLOOKUP(C132,[1]DIRETORIA!C:C,[1]DIRETORIA!B:B),"-")</f>
        <v>GST. COM DF</v>
      </c>
      <c r="C132" s="28" t="str">
        <f>IFERROR(_xlfn.XLOOKUP(E132,[1]EMPREENDIMENTO!C:C,[1]EMPREENDIMENTO!A:A),"-")</f>
        <v>GAMA</v>
      </c>
      <c r="D132" s="28" t="s">
        <v>29</v>
      </c>
      <c r="E132" s="28" t="s">
        <v>269</v>
      </c>
      <c r="F132" s="28" t="s">
        <v>31</v>
      </c>
      <c r="G132" s="28" t="s">
        <v>270</v>
      </c>
      <c r="H132" s="28">
        <v>44731</v>
      </c>
      <c r="I132" s="29">
        <f>IFERROR(_xlfn.XLOOKUP(E132,[1]EMPREENDIMENTO!C:C,[1]EMPREENDIMENTO!E:E),"0")</f>
        <v>144</v>
      </c>
      <c r="J132" s="30">
        <v>46685</v>
      </c>
      <c r="K132" s="28" t="s">
        <v>33</v>
      </c>
      <c r="L132" s="31">
        <v>46247</v>
      </c>
      <c r="M132" s="32">
        <v>57810400</v>
      </c>
      <c r="N132" s="32">
        <v>64704900</v>
      </c>
      <c r="O132" s="32">
        <v>63670972</v>
      </c>
      <c r="P132" s="28" t="s">
        <v>34</v>
      </c>
      <c r="Q132" s="28" t="s">
        <v>271</v>
      </c>
      <c r="R132" s="30">
        <v>46254</v>
      </c>
      <c r="S132" s="30">
        <v>46247</v>
      </c>
      <c r="T132" s="33"/>
      <c r="U132" s="34" t="str">
        <f>IFERROR(_xlfn.XLOOKUP(E132,[1]EMPREENDIMENTO!C:C,[1]EMPREENDIMENTO!D:D),"")</f>
        <v>2d7582b9-2012-eb11-9d23-005056856b6c</v>
      </c>
    </row>
    <row r="133" spans="1:21" hidden="1" x14ac:dyDescent="0.35">
      <c r="A133" s="28" t="str">
        <f>IFERROR(_xlfn.XLOOKUP(C133,[1]DIRETORIA!C:C,[1]DIRETORIA!A:A),"-")</f>
        <v>DIR. COM E CRED CO E AM</v>
      </c>
      <c r="B133" s="28" t="str">
        <f>IFERROR(_xlfn.XLOOKUP(C133,[1]DIRETORIA!C:C,[1]DIRETORIA!B:B),"-")</f>
        <v>GST. COM DF</v>
      </c>
      <c r="C133" s="28" t="str">
        <f>IFERROR(_xlfn.XLOOKUP(E133,[1]EMPREENDIMENTO!C:C,[1]EMPREENDIMENTO!A:A),"-")</f>
        <v>GAMA</v>
      </c>
      <c r="D133" s="28" t="s">
        <v>29</v>
      </c>
      <c r="E133" s="28" t="s">
        <v>269</v>
      </c>
      <c r="F133" s="28" t="s">
        <v>36</v>
      </c>
      <c r="G133" s="28" t="s">
        <v>272</v>
      </c>
      <c r="H133" s="28">
        <v>45868</v>
      </c>
      <c r="I133" s="29">
        <f>IFERROR(_xlfn.XLOOKUP(E133,[1]EMPREENDIMENTO!C:C,[1]EMPREENDIMENTO!E:E),"0")</f>
        <v>144</v>
      </c>
      <c r="J133" s="30">
        <v>46685</v>
      </c>
      <c r="K133" s="28" t="s">
        <v>33</v>
      </c>
      <c r="L133" s="31">
        <v>46247</v>
      </c>
      <c r="M133" s="32">
        <v>57810400</v>
      </c>
      <c r="N133" s="32">
        <v>64704900</v>
      </c>
      <c r="O133" s="32">
        <v>63670972</v>
      </c>
      <c r="P133" s="28" t="s">
        <v>34</v>
      </c>
      <c r="Q133" s="28" t="s">
        <v>271</v>
      </c>
      <c r="R133" s="30">
        <v>46254</v>
      </c>
      <c r="S133" s="30">
        <v>46247</v>
      </c>
      <c r="T133" s="33"/>
      <c r="U133" s="34" t="str">
        <f>IFERROR(_xlfn.XLOOKUP(E133,[1]EMPREENDIMENTO!C:C,[1]EMPREENDIMENTO!D:D),"")</f>
        <v>2d7582b9-2012-eb11-9d23-005056856b6c</v>
      </c>
    </row>
    <row r="134" spans="1:21" hidden="1" x14ac:dyDescent="0.35">
      <c r="A134" s="28" t="str">
        <f>IFERROR(_xlfn.XLOOKUP(C134,[1]DIRETORIA!C:C,[1]DIRETORIA!A:A),"-")</f>
        <v>DIR. COM E CRED NE</v>
      </c>
      <c r="B134" s="28" t="str">
        <f>IFERROR(_xlfn.XLOOKUP(C134,[1]DIRETORIA!C:C,[1]DIRETORIA!B:B),"-")</f>
        <v>GST. COM NE 3 (SE+AL)</v>
      </c>
      <c r="C134" s="28" t="str">
        <f>IFERROR(_xlfn.XLOOKUP(E134,[1]EMPREENDIMENTO!C:C,[1]EMPREENDIMENTO!A:A),"-")</f>
        <v>MACEIÓ</v>
      </c>
      <c r="D134" s="28" t="s">
        <v>29</v>
      </c>
      <c r="E134" s="28" t="s">
        <v>273</v>
      </c>
      <c r="F134" s="28" t="s">
        <v>31</v>
      </c>
      <c r="G134" s="28" t="s">
        <v>274</v>
      </c>
      <c r="H134" s="28">
        <v>25770</v>
      </c>
      <c r="I134" s="29">
        <f>IFERROR(_xlfn.XLOOKUP(E134,[1]EMPREENDIMENTO!C:C,[1]EMPREENDIMENTO!E:E),"0")</f>
        <v>400</v>
      </c>
      <c r="J134" s="30">
        <v>45560</v>
      </c>
      <c r="K134" s="28" t="s">
        <v>33</v>
      </c>
      <c r="L134" s="31">
        <v>44964</v>
      </c>
      <c r="M134" s="32">
        <v>64367403</v>
      </c>
      <c r="N134" s="32">
        <v>90245416</v>
      </c>
      <c r="O134" s="32">
        <v>75414000</v>
      </c>
      <c r="P134" s="28" t="s">
        <v>34</v>
      </c>
      <c r="Q134" s="28" t="s">
        <v>275</v>
      </c>
      <c r="R134" s="30">
        <v>44984</v>
      </c>
      <c r="S134" s="30">
        <v>44964</v>
      </c>
      <c r="T134" s="33"/>
      <c r="U134" s="34" t="str">
        <f>IFERROR(_xlfn.XLOOKUP(E134,[1]EMPREENDIMENTO!C:C,[1]EMPREENDIMENTO!D:D),"")</f>
        <v>9696e7dc-cc1d-ea11-ba0a-0050568aa20f</v>
      </c>
    </row>
    <row r="135" spans="1:21" hidden="1" x14ac:dyDescent="0.35">
      <c r="A135" s="28" t="str">
        <f>IFERROR(_xlfn.XLOOKUP(C135,[1]DIRETORIA!C:C,[1]DIRETORIA!A:A),"-")</f>
        <v>DIR. COM E CRED NE</v>
      </c>
      <c r="B135" s="28" t="str">
        <f>IFERROR(_xlfn.XLOOKUP(C135,[1]DIRETORIA!C:C,[1]DIRETORIA!B:B),"-")</f>
        <v>GST. COM NE 3 (SE+AL)</v>
      </c>
      <c r="C135" s="28" t="str">
        <f>IFERROR(_xlfn.XLOOKUP(E135,[1]EMPREENDIMENTO!C:C,[1]EMPREENDIMENTO!A:A),"-")</f>
        <v>MACEIÓ</v>
      </c>
      <c r="D135" s="28" t="s">
        <v>29</v>
      </c>
      <c r="E135" s="28" t="s">
        <v>273</v>
      </c>
      <c r="F135" s="28" t="s">
        <v>36</v>
      </c>
      <c r="G135" s="28" t="s">
        <v>276</v>
      </c>
      <c r="H135" s="28">
        <v>28001</v>
      </c>
      <c r="I135" s="29">
        <f>IFERROR(_xlfn.XLOOKUP(E135,[1]EMPREENDIMENTO!C:C,[1]EMPREENDIMENTO!E:E),"0")</f>
        <v>400</v>
      </c>
      <c r="J135" s="30">
        <v>45560</v>
      </c>
      <c r="K135" s="28" t="s">
        <v>33</v>
      </c>
      <c r="L135" s="31">
        <v>44964</v>
      </c>
      <c r="M135" s="32">
        <v>64367403</v>
      </c>
      <c r="N135" s="32">
        <v>90245416</v>
      </c>
      <c r="O135" s="32">
        <v>75414000</v>
      </c>
      <c r="P135" s="28" t="s">
        <v>34</v>
      </c>
      <c r="Q135" s="28" t="s">
        <v>275</v>
      </c>
      <c r="R135" s="30">
        <v>44984</v>
      </c>
      <c r="S135" s="30">
        <v>44964</v>
      </c>
      <c r="T135" s="33"/>
      <c r="U135" s="34" t="str">
        <f>IFERROR(_xlfn.XLOOKUP(E135,[1]EMPREENDIMENTO!C:C,[1]EMPREENDIMENTO!D:D),"")</f>
        <v>9696e7dc-cc1d-ea11-ba0a-0050568aa20f</v>
      </c>
    </row>
    <row r="136" spans="1:21" hidden="1" x14ac:dyDescent="0.35">
      <c r="A136" s="28" t="str">
        <f>IFERROR(_xlfn.XLOOKUP(C136,[1]DIRETORIA!C:C,[1]DIRETORIA!A:A),"-")</f>
        <v>DIR. COM E CRED NE</v>
      </c>
      <c r="B136" s="28" t="str">
        <f>IFERROR(_xlfn.XLOOKUP(C136,[1]DIRETORIA!C:C,[1]DIRETORIA!B:B),"-")</f>
        <v>GST. COM NE 3 (SE+AL)</v>
      </c>
      <c r="C136" s="28" t="str">
        <f>IFERROR(_xlfn.XLOOKUP(E136,[1]EMPREENDIMENTO!C:C,[1]EMPREENDIMENTO!A:A),"-")</f>
        <v>MACEIÓ</v>
      </c>
      <c r="D136" s="28" t="s">
        <v>29</v>
      </c>
      <c r="E136" s="28" t="s">
        <v>273</v>
      </c>
      <c r="F136" s="28" t="s">
        <v>39</v>
      </c>
      <c r="G136" s="28" t="s">
        <v>277</v>
      </c>
      <c r="H136" s="28">
        <v>28002</v>
      </c>
      <c r="I136" s="29">
        <f>IFERROR(_xlfn.XLOOKUP(E136,[1]EMPREENDIMENTO!C:C,[1]EMPREENDIMENTO!E:E),"0")</f>
        <v>400</v>
      </c>
      <c r="J136" s="30">
        <v>45560</v>
      </c>
      <c r="K136" s="28" t="s">
        <v>33</v>
      </c>
      <c r="L136" s="31">
        <v>44964</v>
      </c>
      <c r="M136" s="32">
        <v>64367403</v>
      </c>
      <c r="N136" s="32">
        <v>90245416</v>
      </c>
      <c r="O136" s="32">
        <v>75414000</v>
      </c>
      <c r="P136" s="28" t="s">
        <v>34</v>
      </c>
      <c r="Q136" s="28" t="s">
        <v>275</v>
      </c>
      <c r="R136" s="30">
        <v>44984</v>
      </c>
      <c r="S136" s="30">
        <v>44964</v>
      </c>
      <c r="T136" s="33"/>
      <c r="U136" s="34" t="str">
        <f>IFERROR(_xlfn.XLOOKUP(E136,[1]EMPREENDIMENTO!C:C,[1]EMPREENDIMENTO!D:D),"")</f>
        <v>9696e7dc-cc1d-ea11-ba0a-0050568aa20f</v>
      </c>
    </row>
    <row r="137" spans="1:21" hidden="1" x14ac:dyDescent="0.35">
      <c r="A137" s="28" t="str">
        <f>IFERROR(_xlfn.XLOOKUP(C137,[1]DIRETORIA!C:C,[1]DIRETORIA!A:A),"-")</f>
        <v>DIR. COM E CRED CO E AM</v>
      </c>
      <c r="B137" s="28" t="str">
        <f>IFERROR(_xlfn.XLOOKUP(C137,[1]DIRETORIA!C:C,[1]DIRETORIA!B:B),"-")</f>
        <v>GST. COM DF</v>
      </c>
      <c r="C137" s="28" t="str">
        <f>IFERROR(_xlfn.XLOOKUP(E137,[1]EMPREENDIMENTO!C:C,[1]EMPREENDIMENTO!A:A),"-")</f>
        <v>TAGUATINGA</v>
      </c>
      <c r="D137" s="28" t="s">
        <v>29</v>
      </c>
      <c r="E137" s="28" t="s">
        <v>278</v>
      </c>
      <c r="F137" s="28" t="s">
        <v>31</v>
      </c>
      <c r="G137" s="28" t="s">
        <v>279</v>
      </c>
      <c r="H137" s="28">
        <v>37941</v>
      </c>
      <c r="I137" s="29">
        <f>IFERROR(_xlfn.XLOOKUP(E137,[1]EMPREENDIMENTO!C:C,[1]EMPREENDIMENTO!E:E),"0")</f>
        <v>224</v>
      </c>
      <c r="J137" s="30">
        <v>46660</v>
      </c>
      <c r="K137" s="28" t="s">
        <v>33</v>
      </c>
      <c r="L137" s="31">
        <v>46091</v>
      </c>
      <c r="M137" s="32">
        <v>71791000</v>
      </c>
      <c r="N137" s="32">
        <v>80035000</v>
      </c>
      <c r="O137" s="32">
        <v>78898000</v>
      </c>
      <c r="P137" s="28" t="s">
        <v>34</v>
      </c>
      <c r="Q137" s="28" t="s">
        <v>280</v>
      </c>
      <c r="R137" s="30">
        <v>46092</v>
      </c>
      <c r="S137" s="30">
        <v>46092</v>
      </c>
      <c r="T137" s="33"/>
      <c r="U137" s="34" t="str">
        <f>IFERROR(_xlfn.XLOOKUP(E137,[1]EMPREENDIMENTO!C:C,[1]EMPREENDIMENTO!D:D),"")</f>
        <v>b446ce16-f0cb-e811-a4f5-80c16e075108</v>
      </c>
    </row>
    <row r="138" spans="1:21" hidden="1" x14ac:dyDescent="0.35">
      <c r="A138" s="28" t="str">
        <f>IFERROR(_xlfn.XLOOKUP(C138,[1]DIRETORIA!C:C,[1]DIRETORIA!A:A),"-")</f>
        <v>DIR. COM E CRED CO E AM</v>
      </c>
      <c r="B138" s="28" t="str">
        <f>IFERROR(_xlfn.XLOOKUP(C138,[1]DIRETORIA!C:C,[1]DIRETORIA!B:B),"-")</f>
        <v>GST. COM DF</v>
      </c>
      <c r="C138" s="28" t="str">
        <f>IFERROR(_xlfn.XLOOKUP(E138,[1]EMPREENDIMENTO!C:C,[1]EMPREENDIMENTO!A:A),"-")</f>
        <v>TAGUATINGA</v>
      </c>
      <c r="D138" s="28" t="s">
        <v>29</v>
      </c>
      <c r="E138" s="28" t="s">
        <v>278</v>
      </c>
      <c r="F138" s="28" t="s">
        <v>36</v>
      </c>
      <c r="G138" s="28" t="s">
        <v>281</v>
      </c>
      <c r="H138" s="28">
        <v>40047</v>
      </c>
      <c r="I138" s="29">
        <f>IFERROR(_xlfn.XLOOKUP(E138,[1]EMPREENDIMENTO!C:C,[1]EMPREENDIMENTO!E:E),"0")</f>
        <v>224</v>
      </c>
      <c r="J138" s="30">
        <v>46660</v>
      </c>
      <c r="K138" s="28" t="s">
        <v>33</v>
      </c>
      <c r="L138" s="31">
        <v>46091</v>
      </c>
      <c r="M138" s="32">
        <v>71791000</v>
      </c>
      <c r="N138" s="32">
        <v>80035000</v>
      </c>
      <c r="O138" s="32">
        <v>78898000</v>
      </c>
      <c r="P138" s="28" t="s">
        <v>34</v>
      </c>
      <c r="Q138" s="28" t="s">
        <v>280</v>
      </c>
      <c r="R138" s="30">
        <v>46092</v>
      </c>
      <c r="S138" s="30">
        <v>46092</v>
      </c>
      <c r="T138" s="33"/>
      <c r="U138" s="34" t="str">
        <f>IFERROR(_xlfn.XLOOKUP(E138,[1]EMPREENDIMENTO!C:C,[1]EMPREENDIMENTO!D:D),"")</f>
        <v>b446ce16-f0cb-e811-a4f5-80c16e075108</v>
      </c>
    </row>
    <row r="139" spans="1:21" hidden="1" x14ac:dyDescent="0.35">
      <c r="A139" s="28" t="str">
        <f>IFERROR(_xlfn.XLOOKUP(C139,[1]DIRETORIA!C:C,[1]DIRETORIA!A:A),"-")</f>
        <v>DIR. COM E CRED SP E VL</v>
      </c>
      <c r="B139" s="28" t="str">
        <f>IFERROR(_xlfn.XLOOKUP(C139,[1]DIRETORIA!C:C,[1]DIRETORIA!B:B),"-")</f>
        <v>GST. COM VL1</v>
      </c>
      <c r="C139" s="28" t="str">
        <f>IFERROR(_xlfn.XLOOKUP(E139,[1]EMPREENDIMENTO!C:C,[1]EMPREENDIMENTO!A:A),"-")</f>
        <v>SÃO JOSÉ DOS CAMPOS</v>
      </c>
      <c r="D139" s="28" t="s">
        <v>29</v>
      </c>
      <c r="E139" s="28" t="s">
        <v>282</v>
      </c>
      <c r="F139" s="28" t="s">
        <v>42</v>
      </c>
      <c r="G139" s="28" t="s">
        <v>283</v>
      </c>
      <c r="H139" s="28">
        <v>32489</v>
      </c>
      <c r="I139" s="29">
        <f>IFERROR(_xlfn.XLOOKUP(E139,[1]EMPREENDIMENTO!C:C,[1]EMPREENDIMENTO!E:E),"0")</f>
        <v>296</v>
      </c>
      <c r="J139" s="30">
        <v>46112</v>
      </c>
      <c r="K139" s="28" t="s">
        <v>33</v>
      </c>
      <c r="L139" s="31">
        <v>45958</v>
      </c>
      <c r="M139" s="32">
        <v>136610679</v>
      </c>
      <c r="N139" s="32">
        <v>148712853</v>
      </c>
      <c r="O139" s="32">
        <v>144448693</v>
      </c>
      <c r="P139" s="28" t="s">
        <v>34</v>
      </c>
      <c r="Q139" s="28" t="s">
        <v>284</v>
      </c>
      <c r="R139" s="30">
        <v>46148</v>
      </c>
      <c r="S139" s="30"/>
      <c r="T139" s="33"/>
      <c r="U139" s="34" t="str">
        <f>IFERROR(_xlfn.XLOOKUP(E139,[1]EMPREENDIMENTO!C:C,[1]EMPREENDIMENTO!D:D),"")</f>
        <v>b004fd1e-c3ad-eb11-94b3-005056856875</v>
      </c>
    </row>
    <row r="140" spans="1:21" hidden="1" x14ac:dyDescent="0.35">
      <c r="A140" s="28" t="str">
        <f>IFERROR(_xlfn.XLOOKUP(C140,[1]DIRETORIA!C:C,[1]DIRETORIA!A:A),"-")</f>
        <v>DIR. COM E CRED RJ</v>
      </c>
      <c r="B140" s="28" t="str">
        <f>IFERROR(_xlfn.XLOOKUP(C140,[1]DIRETORIA!C:C,[1]DIRETORIA!B:B),"-")</f>
        <v>GST. COM RJ2</v>
      </c>
      <c r="C140" s="28" t="str">
        <f>IFERROR(_xlfn.XLOOKUP(E140,[1]EMPREENDIMENTO!C:C,[1]EMPREENDIMENTO!A:A),"-")</f>
        <v>NOVA IGUAÇU</v>
      </c>
      <c r="D140" s="28" t="s">
        <v>29</v>
      </c>
      <c r="E140" s="28" t="s">
        <v>285</v>
      </c>
      <c r="F140" s="28" t="s">
        <v>31</v>
      </c>
      <c r="G140" s="28" t="s">
        <v>286</v>
      </c>
      <c r="H140" s="28">
        <v>30868</v>
      </c>
      <c r="I140" s="29">
        <f>IFERROR(_xlfn.XLOOKUP(E140,[1]EMPREENDIMENTO!C:C,[1]EMPREENDIMENTO!E:E),"0")</f>
        <v>480</v>
      </c>
      <c r="J140" s="30">
        <v>46446</v>
      </c>
      <c r="K140" s="28" t="s">
        <v>33</v>
      </c>
      <c r="L140" s="31">
        <v>45180</v>
      </c>
      <c r="M140" s="32">
        <v>102182000</v>
      </c>
      <c r="N140" s="32">
        <v>107021948</v>
      </c>
      <c r="O140" s="32">
        <v>105276880</v>
      </c>
      <c r="P140" s="28" t="s">
        <v>34</v>
      </c>
      <c r="Q140" s="28" t="s">
        <v>287</v>
      </c>
      <c r="R140" s="30">
        <v>45187</v>
      </c>
      <c r="S140" s="30">
        <v>45180</v>
      </c>
      <c r="T140" s="33"/>
      <c r="U140" s="34" t="str">
        <f>IFERROR(_xlfn.XLOOKUP(E140,[1]EMPREENDIMENTO!C:C,[1]EMPREENDIMENTO!D:D),"")</f>
        <v>4605c6aa-f74f-e911-810a-80c16e075108</v>
      </c>
    </row>
    <row r="141" spans="1:21" hidden="1" x14ac:dyDescent="0.35">
      <c r="A141" s="28" t="str">
        <f>IFERROR(_xlfn.XLOOKUP(C141,[1]DIRETORIA!C:C,[1]DIRETORIA!A:A),"-")</f>
        <v>DIR. COM E CRED RJ</v>
      </c>
      <c r="B141" s="28" t="str">
        <f>IFERROR(_xlfn.XLOOKUP(C141,[1]DIRETORIA!C:C,[1]DIRETORIA!B:B),"-")</f>
        <v>GST. COM RJ2</v>
      </c>
      <c r="C141" s="28" t="str">
        <f>IFERROR(_xlfn.XLOOKUP(E141,[1]EMPREENDIMENTO!C:C,[1]EMPREENDIMENTO!A:A),"-")</f>
        <v>NOVA IGUAÇU</v>
      </c>
      <c r="D141" s="28" t="s">
        <v>29</v>
      </c>
      <c r="E141" s="28" t="s">
        <v>285</v>
      </c>
      <c r="F141" s="28" t="s">
        <v>36</v>
      </c>
      <c r="G141" s="28" t="s">
        <v>288</v>
      </c>
      <c r="H141" s="28">
        <v>31955</v>
      </c>
      <c r="I141" s="29">
        <f>IFERROR(_xlfn.XLOOKUP(E141,[1]EMPREENDIMENTO!C:C,[1]EMPREENDIMENTO!E:E),"0")</f>
        <v>480</v>
      </c>
      <c r="J141" s="30">
        <v>46446</v>
      </c>
      <c r="K141" s="28" t="s">
        <v>33</v>
      </c>
      <c r="L141" s="31">
        <v>45180</v>
      </c>
      <c r="M141" s="32">
        <v>102182000</v>
      </c>
      <c r="N141" s="32">
        <v>107021948</v>
      </c>
      <c r="O141" s="32">
        <v>105276880</v>
      </c>
      <c r="P141" s="28" t="s">
        <v>34</v>
      </c>
      <c r="Q141" s="28" t="s">
        <v>287</v>
      </c>
      <c r="R141" s="30">
        <v>45187</v>
      </c>
      <c r="S141" s="30">
        <v>45180</v>
      </c>
      <c r="T141" s="33"/>
      <c r="U141" s="34" t="str">
        <f>IFERROR(_xlfn.XLOOKUP(E141,[1]EMPREENDIMENTO!C:C,[1]EMPREENDIMENTO!D:D),"")</f>
        <v>4605c6aa-f74f-e911-810a-80c16e075108</v>
      </c>
    </row>
    <row r="142" spans="1:21" hidden="1" x14ac:dyDescent="0.35">
      <c r="A142" s="28" t="str">
        <f>IFERROR(_xlfn.XLOOKUP(C142,[1]DIRETORIA!C:C,[1]DIRETORIA!A:A),"-")</f>
        <v>DIR. COM E CRED RJ</v>
      </c>
      <c r="B142" s="28" t="str">
        <f>IFERROR(_xlfn.XLOOKUP(C142,[1]DIRETORIA!C:C,[1]DIRETORIA!B:B),"-")</f>
        <v>GST. COM RJ2</v>
      </c>
      <c r="C142" s="28" t="str">
        <f>IFERROR(_xlfn.XLOOKUP(E142,[1]EMPREENDIMENTO!C:C,[1]EMPREENDIMENTO!A:A),"-")</f>
        <v>NOVA IGUAÇU</v>
      </c>
      <c r="D142" s="28" t="s">
        <v>29</v>
      </c>
      <c r="E142" s="28" t="s">
        <v>285</v>
      </c>
      <c r="F142" s="28" t="s">
        <v>39</v>
      </c>
      <c r="G142" s="28" t="s">
        <v>289</v>
      </c>
      <c r="H142" s="28">
        <v>31989</v>
      </c>
      <c r="I142" s="29">
        <f>IFERROR(_xlfn.XLOOKUP(E142,[1]EMPREENDIMENTO!C:C,[1]EMPREENDIMENTO!E:E),"0")</f>
        <v>480</v>
      </c>
      <c r="J142" s="30">
        <v>46446</v>
      </c>
      <c r="K142" s="28" t="s">
        <v>33</v>
      </c>
      <c r="L142" s="31">
        <v>45180</v>
      </c>
      <c r="M142" s="32">
        <v>102182000</v>
      </c>
      <c r="N142" s="32">
        <v>107021948</v>
      </c>
      <c r="O142" s="32">
        <v>105276880</v>
      </c>
      <c r="P142" s="28" t="s">
        <v>34</v>
      </c>
      <c r="Q142" s="28" t="s">
        <v>287</v>
      </c>
      <c r="R142" s="30">
        <v>45187</v>
      </c>
      <c r="S142" s="30">
        <v>45180</v>
      </c>
      <c r="T142" s="33"/>
      <c r="U142" s="34" t="str">
        <f>IFERROR(_xlfn.XLOOKUP(E142,[1]EMPREENDIMENTO!C:C,[1]EMPREENDIMENTO!D:D),"")</f>
        <v>4605c6aa-f74f-e911-810a-80c16e075108</v>
      </c>
    </row>
    <row r="143" spans="1:21" hidden="1" x14ac:dyDescent="0.35">
      <c r="A143" s="28" t="str">
        <f>IFERROR(_xlfn.XLOOKUP(C143,[1]DIRETORIA!C:C,[1]DIRETORIA!A:A),"-")</f>
        <v>DIR. COM E CRED CO E AM</v>
      </c>
      <c r="B143" s="28" t="str">
        <f>IFERROR(_xlfn.XLOOKUP(C143,[1]DIRETORIA!C:C,[1]DIRETORIA!B:B),"-")</f>
        <v>GST. COM AM</v>
      </c>
      <c r="C143" s="28" t="str">
        <f>IFERROR(_xlfn.XLOOKUP(E143,[1]EMPREENDIMENTO!C:C,[1]EMPREENDIMENTO!A:A),"-")</f>
        <v>MANAUS</v>
      </c>
      <c r="D143" s="28" t="s">
        <v>29</v>
      </c>
      <c r="E143" s="28" t="s">
        <v>290</v>
      </c>
      <c r="F143" s="28" t="s">
        <v>31</v>
      </c>
      <c r="G143" s="28" t="s">
        <v>291</v>
      </c>
      <c r="H143" s="28">
        <v>32238</v>
      </c>
      <c r="I143" s="29">
        <f>IFERROR(_xlfn.XLOOKUP(E143,[1]EMPREENDIMENTO!C:C,[1]EMPREENDIMENTO!E:E),"0")</f>
        <v>288</v>
      </c>
      <c r="J143" s="30"/>
      <c r="K143" s="28" t="s">
        <v>33</v>
      </c>
      <c r="L143" s="31">
        <v>46112</v>
      </c>
      <c r="M143" s="32">
        <v>93651386</v>
      </c>
      <c r="N143" s="32">
        <v>113019024</v>
      </c>
      <c r="O143" s="32">
        <v>106539310</v>
      </c>
      <c r="P143" s="28" t="s">
        <v>34</v>
      </c>
      <c r="Q143" s="28">
        <v>808014</v>
      </c>
      <c r="R143" s="30">
        <v>46130</v>
      </c>
      <c r="S143" s="30">
        <v>46113</v>
      </c>
      <c r="T143" s="33"/>
      <c r="U143" s="34" t="str">
        <f>IFERROR(_xlfn.XLOOKUP(E143,[1]EMPREENDIMENTO!C:C,[1]EMPREENDIMENTO!D:D),"")</f>
        <v>66CE0D41-5B47-EA11-801D-005056856875</v>
      </c>
    </row>
    <row r="144" spans="1:21" hidden="1" x14ac:dyDescent="0.35">
      <c r="A144" s="28" t="str">
        <f>IFERROR(_xlfn.XLOOKUP(C144,[1]DIRETORIA!C:C,[1]DIRETORIA!A:A),"-")</f>
        <v>DIR. COM E CRED CO E AM</v>
      </c>
      <c r="B144" s="28" t="str">
        <f>IFERROR(_xlfn.XLOOKUP(C144,[1]DIRETORIA!C:C,[1]DIRETORIA!B:B),"-")</f>
        <v>GST. COM AM</v>
      </c>
      <c r="C144" s="28" t="str">
        <f>IFERROR(_xlfn.XLOOKUP(E144,[1]EMPREENDIMENTO!C:C,[1]EMPREENDIMENTO!A:A),"-")</f>
        <v>MANAUS</v>
      </c>
      <c r="D144" s="28" t="s">
        <v>85</v>
      </c>
      <c r="E144" s="28" t="s">
        <v>290</v>
      </c>
      <c r="F144" s="28" t="s">
        <v>36</v>
      </c>
      <c r="G144" s="28" t="s">
        <v>268</v>
      </c>
      <c r="H144" s="28" t="s">
        <v>268</v>
      </c>
      <c r="I144" s="29">
        <f>IFERROR(_xlfn.XLOOKUP(E144,[1]EMPREENDIMENTO!C:C,[1]EMPREENDIMENTO!E:E),"0")</f>
        <v>288</v>
      </c>
      <c r="J144" s="30"/>
      <c r="K144" s="28" t="s">
        <v>33</v>
      </c>
      <c r="L144" s="31">
        <v>46112</v>
      </c>
      <c r="M144" s="32">
        <v>93651386</v>
      </c>
      <c r="N144" s="32">
        <v>113019024</v>
      </c>
      <c r="O144" s="32">
        <v>106539310</v>
      </c>
      <c r="P144" s="28" t="s">
        <v>34</v>
      </c>
      <c r="Q144" s="28">
        <v>808014</v>
      </c>
      <c r="R144" s="30">
        <v>46130</v>
      </c>
      <c r="S144" s="30">
        <v>46113</v>
      </c>
      <c r="T144" s="33"/>
      <c r="U144" s="34" t="str">
        <f>IFERROR(_xlfn.XLOOKUP(E144,[1]EMPREENDIMENTO!C:C,[1]EMPREENDIMENTO!D:D),"")</f>
        <v>66CE0D41-5B47-EA11-801D-005056856875</v>
      </c>
    </row>
    <row r="145" spans="1:21" hidden="1" x14ac:dyDescent="0.35">
      <c r="A145" s="28" t="str">
        <f>IFERROR(_xlfn.XLOOKUP(C145,[1]DIRETORIA!C:C,[1]DIRETORIA!A:A),"-")</f>
        <v>DIR. COM E CRED NE</v>
      </c>
      <c r="B145" s="28" t="str">
        <f>IFERROR(_xlfn.XLOOKUP(C145,[1]DIRETORIA!C:C,[1]DIRETORIA!B:B),"-")</f>
        <v>GST. COM NE1 (BA 1)</v>
      </c>
      <c r="C145" s="28" t="str">
        <f>IFERROR(_xlfn.XLOOKUP(E145,[1]EMPREENDIMENTO!C:C,[1]EMPREENDIMENTO!A:A),"-")</f>
        <v>SALVADOR</v>
      </c>
      <c r="D145" s="28" t="s">
        <v>29</v>
      </c>
      <c r="E145" s="28" t="s">
        <v>292</v>
      </c>
      <c r="F145" s="28" t="s">
        <v>31</v>
      </c>
      <c r="G145" s="28" t="s">
        <v>293</v>
      </c>
      <c r="H145" s="28">
        <v>35739</v>
      </c>
      <c r="I145" s="29">
        <f>IFERROR(_xlfn.XLOOKUP(E145,[1]EMPREENDIMENTO!C:C,[1]EMPREENDIMENTO!E:E),"0")</f>
        <v>720</v>
      </c>
      <c r="J145" s="30">
        <v>46538</v>
      </c>
      <c r="K145" s="28" t="s">
        <v>33</v>
      </c>
      <c r="L145" s="31">
        <v>46213</v>
      </c>
      <c r="M145" s="32">
        <v>443676850.44999999</v>
      </c>
      <c r="N145" s="32">
        <v>503092942</v>
      </c>
      <c r="O145" s="32">
        <v>482624578</v>
      </c>
      <c r="P145" s="28" t="s">
        <v>34</v>
      </c>
      <c r="Q145" s="28" t="s">
        <v>294</v>
      </c>
      <c r="R145" s="30">
        <v>46213</v>
      </c>
      <c r="S145" s="30">
        <v>46213</v>
      </c>
      <c r="T145" s="33"/>
      <c r="U145" s="34" t="str">
        <f>IFERROR(_xlfn.XLOOKUP(E145,[1]EMPREENDIMENTO!C:C,[1]EMPREENDIMENTO!D:D),"")</f>
        <v>d5e8f12f-5c71-eb11-aa45-005056856875</v>
      </c>
    </row>
    <row r="146" spans="1:21" hidden="1" x14ac:dyDescent="0.35">
      <c r="A146" s="28" t="str">
        <f>IFERROR(_xlfn.XLOOKUP(C146,[1]DIRETORIA!C:C,[1]DIRETORIA!A:A),"-")</f>
        <v>DIR. COM E CRED NE</v>
      </c>
      <c r="B146" s="28" t="str">
        <f>IFERROR(_xlfn.XLOOKUP(C146,[1]DIRETORIA!C:C,[1]DIRETORIA!B:B),"-")</f>
        <v>GST. COM NE1 (BA 1)</v>
      </c>
      <c r="C146" s="28" t="str">
        <f>IFERROR(_xlfn.XLOOKUP(E146,[1]EMPREENDIMENTO!C:C,[1]EMPREENDIMENTO!A:A),"-")</f>
        <v>SALVADOR</v>
      </c>
      <c r="D146" s="28" t="s">
        <v>29</v>
      </c>
      <c r="E146" s="28" t="s">
        <v>292</v>
      </c>
      <c r="F146" s="28" t="s">
        <v>36</v>
      </c>
      <c r="G146" s="28" t="s">
        <v>295</v>
      </c>
      <c r="H146" s="28">
        <v>39542</v>
      </c>
      <c r="I146" s="29">
        <f>IFERROR(_xlfn.XLOOKUP(E146,[1]EMPREENDIMENTO!C:C,[1]EMPREENDIMENTO!E:E),"0")</f>
        <v>720</v>
      </c>
      <c r="J146" s="30">
        <v>46538</v>
      </c>
      <c r="K146" s="28" t="s">
        <v>33</v>
      </c>
      <c r="L146" s="31">
        <v>46213</v>
      </c>
      <c r="M146" s="32">
        <v>443676850.44999999</v>
      </c>
      <c r="N146" s="32">
        <v>503092942</v>
      </c>
      <c r="O146" s="32">
        <v>482624578</v>
      </c>
      <c r="P146" s="28" t="s">
        <v>34</v>
      </c>
      <c r="Q146" s="28" t="s">
        <v>294</v>
      </c>
      <c r="R146" s="30">
        <v>46213</v>
      </c>
      <c r="S146" s="30">
        <v>46213</v>
      </c>
      <c r="T146" s="33"/>
      <c r="U146" s="34" t="str">
        <f>IFERROR(_xlfn.XLOOKUP(E146,[1]EMPREENDIMENTO!C:C,[1]EMPREENDIMENTO!D:D),"")</f>
        <v>d5e8f12f-5c71-eb11-aa45-005056856875</v>
      </c>
    </row>
    <row r="147" spans="1:21" hidden="1" x14ac:dyDescent="0.35">
      <c r="A147" s="28" t="str">
        <f>IFERROR(_xlfn.XLOOKUP(C147,[1]DIRETORIA!C:C,[1]DIRETORIA!A:A),"-")</f>
        <v>DIR. COM E CRED NE</v>
      </c>
      <c r="B147" s="28" t="str">
        <f>IFERROR(_xlfn.XLOOKUP(C147,[1]DIRETORIA!C:C,[1]DIRETORIA!B:B),"-")</f>
        <v>GST. COM NE1 (BA 1)</v>
      </c>
      <c r="C147" s="28" t="str">
        <f>IFERROR(_xlfn.XLOOKUP(E147,[1]EMPREENDIMENTO!C:C,[1]EMPREENDIMENTO!A:A),"-")</f>
        <v>SALVADOR</v>
      </c>
      <c r="D147" s="28" t="s">
        <v>29</v>
      </c>
      <c r="E147" s="28" t="s">
        <v>296</v>
      </c>
      <c r="F147" s="28" t="s">
        <v>39</v>
      </c>
      <c r="G147" s="28" t="s">
        <v>297</v>
      </c>
      <c r="H147" s="28">
        <v>41038</v>
      </c>
      <c r="I147" s="29">
        <f>IFERROR(_xlfn.XLOOKUP(E147,[1]EMPREENDIMENTO!C:C,[1]EMPREENDIMENTO!E:E),"0")</f>
        <v>720</v>
      </c>
      <c r="J147" s="30">
        <v>46538</v>
      </c>
      <c r="K147" s="28" t="s">
        <v>164</v>
      </c>
      <c r="L147" s="31">
        <v>46213</v>
      </c>
      <c r="M147" s="32">
        <v>443676850.44999999</v>
      </c>
      <c r="N147" s="32">
        <v>503092942</v>
      </c>
      <c r="O147" s="32">
        <v>482624578</v>
      </c>
      <c r="P147" s="28" t="s">
        <v>34</v>
      </c>
      <c r="Q147" s="28" t="s">
        <v>294</v>
      </c>
      <c r="R147" s="30">
        <v>46213</v>
      </c>
      <c r="S147" s="30">
        <v>46213</v>
      </c>
      <c r="T147" s="33"/>
      <c r="U147" s="34" t="str">
        <f>IFERROR(_xlfn.XLOOKUP(E147,[1]EMPREENDIMENTO!C:C,[1]EMPREENDIMENTO!D:D),"")</f>
        <v>8396f1af-5b71-eb11-aa45-005056856875</v>
      </c>
    </row>
    <row r="148" spans="1:21" hidden="1" x14ac:dyDescent="0.35">
      <c r="A148" s="28" t="str">
        <f>IFERROR(_xlfn.XLOOKUP(C148,[1]DIRETORIA!C:C,[1]DIRETORIA!A:A),"-")</f>
        <v>DIR. COM E CRED NE</v>
      </c>
      <c r="B148" s="28" t="str">
        <f>IFERROR(_xlfn.XLOOKUP(C148,[1]DIRETORIA!C:C,[1]DIRETORIA!B:B),"-")</f>
        <v>GST. COM NE1 (BA 1)</v>
      </c>
      <c r="C148" s="28" t="str">
        <f>IFERROR(_xlfn.XLOOKUP(E148,[1]EMPREENDIMENTO!C:C,[1]EMPREENDIMENTO!A:A),"-")</f>
        <v>SALVADOR</v>
      </c>
      <c r="D148" s="28" t="s">
        <v>29</v>
      </c>
      <c r="E148" s="28" t="s">
        <v>296</v>
      </c>
      <c r="F148" s="28" t="s">
        <v>50</v>
      </c>
      <c r="G148" s="28" t="s">
        <v>298</v>
      </c>
      <c r="H148" s="28">
        <v>44743</v>
      </c>
      <c r="I148" s="29">
        <f>IFERROR(_xlfn.XLOOKUP(E148,[1]EMPREENDIMENTO!C:C,[1]EMPREENDIMENTO!E:E),"0")</f>
        <v>720</v>
      </c>
      <c r="J148" s="30">
        <v>46538</v>
      </c>
      <c r="K148" s="28" t="s">
        <v>164</v>
      </c>
      <c r="L148" s="31">
        <v>46213</v>
      </c>
      <c r="M148" s="32">
        <v>443676850.44999999</v>
      </c>
      <c r="N148" s="32">
        <v>503092942</v>
      </c>
      <c r="O148" s="32">
        <v>482624578</v>
      </c>
      <c r="P148" s="28" t="s">
        <v>34</v>
      </c>
      <c r="Q148" s="28" t="s">
        <v>294</v>
      </c>
      <c r="R148" s="30">
        <v>46213</v>
      </c>
      <c r="S148" s="30">
        <v>46213</v>
      </c>
      <c r="T148" s="33"/>
      <c r="U148" s="34" t="str">
        <f>IFERROR(_xlfn.XLOOKUP(E148,[1]EMPREENDIMENTO!C:C,[1]EMPREENDIMENTO!D:D),"")</f>
        <v>8396f1af-5b71-eb11-aa45-005056856875</v>
      </c>
    </row>
    <row r="149" spans="1:21" hidden="1" x14ac:dyDescent="0.35">
      <c r="A149" s="28" t="str">
        <f>IFERROR(_xlfn.XLOOKUP(C149,[1]DIRETORIA!C:C,[1]DIRETORIA!A:A),"-")</f>
        <v>DIR. COM E CRED CO E AM</v>
      </c>
      <c r="B149" s="28" t="str">
        <f>IFERROR(_xlfn.XLOOKUP(C149,[1]DIRETORIA!C:C,[1]DIRETORIA!B:B),"-")</f>
        <v>GST. COM TO</v>
      </c>
      <c r="C149" s="28" t="str">
        <f>IFERROR(_xlfn.XLOOKUP(E149,[1]EMPREENDIMENTO!C:C,[1]EMPREENDIMENTO!A:A),"-")</f>
        <v>PALMAS</v>
      </c>
      <c r="D149" s="28" t="s">
        <v>29</v>
      </c>
      <c r="E149" s="28" t="s">
        <v>299</v>
      </c>
      <c r="F149" s="28" t="s">
        <v>31</v>
      </c>
      <c r="G149" s="28" t="s">
        <v>300</v>
      </c>
      <c r="H149" s="28">
        <v>44813</v>
      </c>
      <c r="I149" s="29">
        <f>IFERROR(_xlfn.XLOOKUP(E149,[1]EMPREENDIMENTO!C:C,[1]EMPREENDIMENTO!E:E),"0")</f>
        <v>560</v>
      </c>
      <c r="J149" s="30">
        <v>46751</v>
      </c>
      <c r="K149" s="28" t="s">
        <v>33</v>
      </c>
      <c r="L149" s="31">
        <v>46244</v>
      </c>
      <c r="M149" s="32">
        <v>143144830</v>
      </c>
      <c r="N149" s="32">
        <v>157144830</v>
      </c>
      <c r="O149" s="32">
        <v>149382130</v>
      </c>
      <c r="P149" s="28" t="s">
        <v>34</v>
      </c>
      <c r="Q149" s="28" t="s">
        <v>301</v>
      </c>
      <c r="R149" s="30">
        <v>46247</v>
      </c>
      <c r="S149" s="30">
        <v>46245</v>
      </c>
      <c r="T149" s="33"/>
      <c r="U149" s="34" t="str">
        <f>IFERROR(_xlfn.XLOOKUP(E149,[1]EMPREENDIMENTO!C:C,[1]EMPREENDIMENTO!D:D),"")</f>
        <v>8dbef4fb-e590-ed11-9e0c-00505685534b</v>
      </c>
    </row>
    <row r="150" spans="1:21" hidden="1" x14ac:dyDescent="0.35">
      <c r="A150" s="28" t="str">
        <f>IFERROR(_xlfn.XLOOKUP(C150,[1]DIRETORIA!C:C,[1]DIRETORIA!A:A),"-")</f>
        <v>DIR. COM E CRED CO E AM</v>
      </c>
      <c r="B150" s="28" t="str">
        <f>IFERROR(_xlfn.XLOOKUP(C150,[1]DIRETORIA!C:C,[1]DIRETORIA!B:B),"-")</f>
        <v>GST. COM TO</v>
      </c>
      <c r="C150" s="28" t="str">
        <f>IFERROR(_xlfn.XLOOKUP(E150,[1]EMPREENDIMENTO!C:C,[1]EMPREENDIMENTO!A:A),"-")</f>
        <v>PALMAS</v>
      </c>
      <c r="D150" s="28" t="s">
        <v>29</v>
      </c>
      <c r="E150" s="28" t="s">
        <v>299</v>
      </c>
      <c r="F150" s="28" t="s">
        <v>36</v>
      </c>
      <c r="G150" s="28" t="s">
        <v>302</v>
      </c>
      <c r="H150" s="28">
        <v>50422</v>
      </c>
      <c r="I150" s="29">
        <f>IFERROR(_xlfn.XLOOKUP(E150,[1]EMPREENDIMENTO!C:C,[1]EMPREENDIMENTO!E:E),"0")</f>
        <v>560</v>
      </c>
      <c r="J150" s="30">
        <v>46751</v>
      </c>
      <c r="K150" s="28" t="s">
        <v>33</v>
      </c>
      <c r="L150" s="31">
        <v>46244</v>
      </c>
      <c r="M150" s="32">
        <v>143144830</v>
      </c>
      <c r="N150" s="32">
        <v>157144830</v>
      </c>
      <c r="O150" s="32">
        <v>149382130</v>
      </c>
      <c r="P150" s="28" t="s">
        <v>34</v>
      </c>
      <c r="Q150" s="28" t="s">
        <v>301</v>
      </c>
      <c r="R150" s="30">
        <v>46247</v>
      </c>
      <c r="S150" s="30">
        <v>46245</v>
      </c>
      <c r="T150" s="33"/>
      <c r="U150" s="34" t="str">
        <f>IFERROR(_xlfn.XLOOKUP(E150,[1]EMPREENDIMENTO!C:C,[1]EMPREENDIMENTO!D:D),"")</f>
        <v>8dbef4fb-e590-ed11-9e0c-00505685534b</v>
      </c>
    </row>
    <row r="151" spans="1:21" hidden="1" x14ac:dyDescent="0.35">
      <c r="A151" s="28" t="str">
        <f>IFERROR(_xlfn.XLOOKUP(C151,[1]DIRETORIA!C:C,[1]DIRETORIA!A:A),"-")</f>
        <v>DIR. COM E CRED CO E AM</v>
      </c>
      <c r="B151" s="28" t="str">
        <f>IFERROR(_xlfn.XLOOKUP(C151,[1]DIRETORIA!C:C,[1]DIRETORIA!B:B),"-")</f>
        <v>GST. COM TO</v>
      </c>
      <c r="C151" s="28" t="str">
        <f>IFERROR(_xlfn.XLOOKUP(E151,[1]EMPREENDIMENTO!C:C,[1]EMPREENDIMENTO!A:A),"-")</f>
        <v>PALMAS</v>
      </c>
      <c r="D151" s="28" t="s">
        <v>29</v>
      </c>
      <c r="E151" s="28" t="s">
        <v>299</v>
      </c>
      <c r="F151" s="28" t="s">
        <v>39</v>
      </c>
      <c r="G151" s="28" t="s">
        <v>303</v>
      </c>
      <c r="H151" s="28">
        <v>54119</v>
      </c>
      <c r="I151" s="29">
        <f>IFERROR(_xlfn.XLOOKUP(E151,[1]EMPREENDIMENTO!C:C,[1]EMPREENDIMENTO!E:E),"0")</f>
        <v>560</v>
      </c>
      <c r="J151" s="30">
        <v>46751</v>
      </c>
      <c r="K151" s="28" t="s">
        <v>33</v>
      </c>
      <c r="L151" s="31">
        <v>46244</v>
      </c>
      <c r="M151" s="32">
        <v>143144830</v>
      </c>
      <c r="N151" s="32">
        <v>157144830</v>
      </c>
      <c r="O151" s="32">
        <v>149382130</v>
      </c>
      <c r="P151" s="28" t="s">
        <v>34</v>
      </c>
      <c r="Q151" s="28" t="s">
        <v>301</v>
      </c>
      <c r="R151" s="30">
        <v>46247</v>
      </c>
      <c r="S151" s="30">
        <v>46245</v>
      </c>
      <c r="T151" s="33"/>
      <c r="U151" s="34" t="str">
        <f>IFERROR(_xlfn.XLOOKUP(E151,[1]EMPREENDIMENTO!C:C,[1]EMPREENDIMENTO!D:D),"")</f>
        <v>8dbef4fb-e590-ed11-9e0c-00505685534b</v>
      </c>
    </row>
    <row r="152" spans="1:21" hidden="1" x14ac:dyDescent="0.35">
      <c r="A152" s="28" t="str">
        <f>IFERROR(_xlfn.XLOOKUP(C152,[1]DIRETORIA!C:C,[1]DIRETORIA!A:A),"-")</f>
        <v>DIR. COM E CRED CO E AM</v>
      </c>
      <c r="B152" s="28" t="str">
        <f>IFERROR(_xlfn.XLOOKUP(C152,[1]DIRETORIA!C:C,[1]DIRETORIA!B:B),"-")</f>
        <v>GST. COM TO</v>
      </c>
      <c r="C152" s="28" t="str">
        <f>IFERROR(_xlfn.XLOOKUP(E152,[1]EMPREENDIMENTO!C:C,[1]EMPREENDIMENTO!A:A),"-")</f>
        <v>PALMAS</v>
      </c>
      <c r="D152" s="28" t="s">
        <v>29</v>
      </c>
      <c r="E152" s="28" t="s">
        <v>299</v>
      </c>
      <c r="F152" s="28" t="s">
        <v>50</v>
      </c>
      <c r="G152" s="28" t="s">
        <v>304</v>
      </c>
      <c r="H152" s="28">
        <v>57171</v>
      </c>
      <c r="I152" s="29">
        <f>IFERROR(_xlfn.XLOOKUP(E152,[1]EMPREENDIMENTO!C:C,[1]EMPREENDIMENTO!E:E),"0")</f>
        <v>560</v>
      </c>
      <c r="J152" s="30">
        <v>46751</v>
      </c>
      <c r="K152" s="28" t="s">
        <v>33</v>
      </c>
      <c r="L152" s="31">
        <v>46244</v>
      </c>
      <c r="M152" s="32">
        <v>143144830</v>
      </c>
      <c r="N152" s="32">
        <v>157144830</v>
      </c>
      <c r="O152" s="32">
        <v>149382130</v>
      </c>
      <c r="P152" s="28" t="s">
        <v>34</v>
      </c>
      <c r="Q152" s="28" t="s">
        <v>301</v>
      </c>
      <c r="R152" s="30">
        <v>46247</v>
      </c>
      <c r="S152" s="30">
        <v>46245</v>
      </c>
      <c r="T152" s="33"/>
      <c r="U152" s="34" t="str">
        <f>IFERROR(_xlfn.XLOOKUP(E152,[1]EMPREENDIMENTO!C:C,[1]EMPREENDIMENTO!D:D),"")</f>
        <v>8dbef4fb-e590-ed11-9e0c-00505685534b</v>
      </c>
    </row>
    <row r="153" spans="1:21" x14ac:dyDescent="0.35">
      <c r="A153" s="28" t="str">
        <f>IFERROR(_xlfn.XLOOKUP(C153,[1]DIRETORIA!C:C,[1]DIRETORIA!A:A),"-")</f>
        <v>DIR. COM E CRED SPI CP</v>
      </c>
      <c r="B153" s="28" t="str">
        <f>IFERROR(_xlfn.XLOOKUP(C153,[1]DIRETORIA!C:C,[1]DIRETORIA!B:B),"-")</f>
        <v>GST. COM CP2</v>
      </c>
      <c r="C153" s="28" t="str">
        <f>IFERROR(_xlfn.XLOOKUP(E153,[1]EMPREENDIMENTO!C:C,[1]EMPREENDIMENTO!A:A),"-")</f>
        <v>JUNDIAÍ</v>
      </c>
      <c r="D153" s="28" t="s">
        <v>29</v>
      </c>
      <c r="E153" s="28" t="s">
        <v>305</v>
      </c>
      <c r="F153" s="28" t="s">
        <v>31</v>
      </c>
      <c r="G153" s="28" t="s">
        <v>306</v>
      </c>
      <c r="H153" s="28">
        <v>22892</v>
      </c>
      <c r="I153" s="29">
        <f>IFERROR(_xlfn.XLOOKUP(E153,[1]EMPREENDIMENTO!C:C,[1]EMPREENDIMENTO!E:E),"0")</f>
        <v>672</v>
      </c>
      <c r="J153" s="30">
        <v>46325</v>
      </c>
      <c r="K153" s="28" t="s">
        <v>33</v>
      </c>
      <c r="L153" s="31">
        <v>45391</v>
      </c>
      <c r="M153" s="32">
        <v>194118950</v>
      </c>
      <c r="N153" s="32">
        <v>201245830</v>
      </c>
      <c r="O153" s="32">
        <v>200123030</v>
      </c>
      <c r="P153" s="28" t="s">
        <v>34</v>
      </c>
      <c r="Q153" s="28"/>
      <c r="R153" s="30">
        <v>45401</v>
      </c>
      <c r="S153" s="30">
        <v>45391</v>
      </c>
      <c r="T153" s="33"/>
      <c r="U153" s="34" t="str">
        <f>IFERROR(_xlfn.XLOOKUP(E153,[1]EMPREENDIMENTO!C:C,[1]EMPREENDIMENTO!D:D),"")</f>
        <v>817c85d9-fc77-e911-b1cd-009c02b0cb58</v>
      </c>
    </row>
    <row r="154" spans="1:21" x14ac:dyDescent="0.35">
      <c r="A154" s="28" t="str">
        <f>IFERROR(_xlfn.XLOOKUP(C154,[1]DIRETORIA!C:C,[1]DIRETORIA!A:A),"-")</f>
        <v>DIR. COM E CRED SPI CP</v>
      </c>
      <c r="B154" s="28" t="str">
        <f>IFERROR(_xlfn.XLOOKUP(C154,[1]DIRETORIA!C:C,[1]DIRETORIA!B:B),"-")</f>
        <v>GST. COM CP2</v>
      </c>
      <c r="C154" s="28" t="str">
        <f>IFERROR(_xlfn.XLOOKUP(E154,[1]EMPREENDIMENTO!C:C,[1]EMPREENDIMENTO!A:A),"-")</f>
        <v>JUNDIAÍ</v>
      </c>
      <c r="D154" s="28" t="s">
        <v>29</v>
      </c>
      <c r="E154" s="28" t="s">
        <v>305</v>
      </c>
      <c r="F154" s="28" t="s">
        <v>36</v>
      </c>
      <c r="G154" s="28" t="s">
        <v>307</v>
      </c>
      <c r="H154" s="28">
        <v>28482</v>
      </c>
      <c r="I154" s="29">
        <f>IFERROR(_xlfn.XLOOKUP(E154,[1]EMPREENDIMENTO!C:C,[1]EMPREENDIMENTO!E:E),"0")</f>
        <v>672</v>
      </c>
      <c r="J154" s="30">
        <v>46325</v>
      </c>
      <c r="K154" s="28" t="s">
        <v>33</v>
      </c>
      <c r="L154" s="31">
        <v>45391</v>
      </c>
      <c r="M154" s="32">
        <v>194118950</v>
      </c>
      <c r="N154" s="32">
        <v>201245830</v>
      </c>
      <c r="O154" s="32">
        <v>200123030</v>
      </c>
      <c r="P154" s="28" t="s">
        <v>34</v>
      </c>
      <c r="Q154" s="28"/>
      <c r="R154" s="30">
        <v>45401</v>
      </c>
      <c r="S154" s="30">
        <v>45391</v>
      </c>
      <c r="T154" s="33"/>
      <c r="U154" s="34" t="str">
        <f>IFERROR(_xlfn.XLOOKUP(E154,[1]EMPREENDIMENTO!C:C,[1]EMPREENDIMENTO!D:D),"")</f>
        <v>817c85d9-fc77-e911-b1cd-009c02b0cb58</v>
      </c>
    </row>
    <row r="155" spans="1:21" x14ac:dyDescent="0.35">
      <c r="A155" s="28" t="str">
        <f>IFERROR(_xlfn.XLOOKUP(C155,[1]DIRETORIA!C:C,[1]DIRETORIA!A:A),"-")</f>
        <v>DIR. COM E CRED SPI CP</v>
      </c>
      <c r="B155" s="28" t="str">
        <f>IFERROR(_xlfn.XLOOKUP(C155,[1]DIRETORIA!C:C,[1]DIRETORIA!B:B),"-")</f>
        <v>GST. COM CP2</v>
      </c>
      <c r="C155" s="28" t="str">
        <f>IFERROR(_xlfn.XLOOKUP(E155,[1]EMPREENDIMENTO!C:C,[1]EMPREENDIMENTO!A:A),"-")</f>
        <v>JUNDIAÍ</v>
      </c>
      <c r="D155" s="28" t="s">
        <v>29</v>
      </c>
      <c r="E155" s="28" t="s">
        <v>305</v>
      </c>
      <c r="F155" s="28" t="s">
        <v>39</v>
      </c>
      <c r="G155" s="28" t="s">
        <v>308</v>
      </c>
      <c r="H155" s="28">
        <v>34917</v>
      </c>
      <c r="I155" s="29">
        <f>IFERROR(_xlfn.XLOOKUP(E155,[1]EMPREENDIMENTO!C:C,[1]EMPREENDIMENTO!E:E),"0")</f>
        <v>672</v>
      </c>
      <c r="J155" s="30">
        <v>46325</v>
      </c>
      <c r="K155" s="28" t="s">
        <v>33</v>
      </c>
      <c r="L155" s="31">
        <v>45391</v>
      </c>
      <c r="M155" s="32">
        <v>194118950</v>
      </c>
      <c r="N155" s="32">
        <v>201245830</v>
      </c>
      <c r="O155" s="32">
        <v>200123030</v>
      </c>
      <c r="P155" s="28" t="s">
        <v>34</v>
      </c>
      <c r="Q155" s="28"/>
      <c r="R155" s="30">
        <v>45401</v>
      </c>
      <c r="S155" s="30">
        <v>45391</v>
      </c>
      <c r="T155" s="33"/>
      <c r="U155" s="34" t="str">
        <f>IFERROR(_xlfn.XLOOKUP(E155,[1]EMPREENDIMENTO!C:C,[1]EMPREENDIMENTO!D:D),"")</f>
        <v>817c85d9-fc77-e911-b1cd-009c02b0cb58</v>
      </c>
    </row>
    <row r="156" spans="1:21" x14ac:dyDescent="0.35">
      <c r="A156" s="28" t="str">
        <f>IFERROR(_xlfn.XLOOKUP(C156,[1]DIRETORIA!C:C,[1]DIRETORIA!A:A),"-")</f>
        <v>DIR. COM E CRED SPI CP</v>
      </c>
      <c r="B156" s="28" t="str">
        <f>IFERROR(_xlfn.XLOOKUP(C156,[1]DIRETORIA!C:C,[1]DIRETORIA!B:B),"-")</f>
        <v>GST. COM CP2</v>
      </c>
      <c r="C156" s="28" t="str">
        <f>IFERROR(_xlfn.XLOOKUP(E156,[1]EMPREENDIMENTO!C:C,[1]EMPREENDIMENTO!A:A),"-")</f>
        <v>JUNDIAÍ</v>
      </c>
      <c r="D156" s="28" t="s">
        <v>29</v>
      </c>
      <c r="E156" s="28" t="s">
        <v>305</v>
      </c>
      <c r="F156" s="28" t="s">
        <v>50</v>
      </c>
      <c r="G156" s="28" t="s">
        <v>309</v>
      </c>
      <c r="H156" s="28">
        <v>40050</v>
      </c>
      <c r="I156" s="29">
        <f>IFERROR(_xlfn.XLOOKUP(E156,[1]EMPREENDIMENTO!C:C,[1]EMPREENDIMENTO!E:E),"0")</f>
        <v>672</v>
      </c>
      <c r="J156" s="30">
        <v>46325</v>
      </c>
      <c r="K156" s="28" t="s">
        <v>33</v>
      </c>
      <c r="L156" s="31">
        <v>45391</v>
      </c>
      <c r="M156" s="32">
        <v>194118950</v>
      </c>
      <c r="N156" s="32">
        <v>201245830</v>
      </c>
      <c r="O156" s="32">
        <v>200123030</v>
      </c>
      <c r="P156" s="28" t="s">
        <v>34</v>
      </c>
      <c r="Q156" s="28"/>
      <c r="R156" s="30">
        <v>45401</v>
      </c>
      <c r="S156" s="30">
        <v>45391</v>
      </c>
      <c r="T156" s="33"/>
      <c r="U156" s="34" t="str">
        <f>IFERROR(_xlfn.XLOOKUP(E156,[1]EMPREENDIMENTO!C:C,[1]EMPREENDIMENTO!D:D),"")</f>
        <v>817c85d9-fc77-e911-b1cd-009c02b0cb58</v>
      </c>
    </row>
    <row r="157" spans="1:21" hidden="1" x14ac:dyDescent="0.35">
      <c r="A157" s="28" t="str">
        <f>IFERROR(_xlfn.XLOOKUP(C157,[1]DIRETORIA!C:C,[1]DIRETORIA!A:A),"-")</f>
        <v>DIR. COM E CRED RJ</v>
      </c>
      <c r="B157" s="28" t="str">
        <f>IFERROR(_xlfn.XLOOKUP(C157,[1]DIRETORIA!C:C,[1]DIRETORIA!B:B),"-")</f>
        <v>GST. COM RJ2</v>
      </c>
      <c r="C157" s="28" t="str">
        <f>IFERROR(_xlfn.XLOOKUP(E157,[1]EMPREENDIMENTO!C:C,[1]EMPREENDIMENTO!A:A),"-")</f>
        <v>SÃO GONÇALO</v>
      </c>
      <c r="D157" s="28" t="s">
        <v>29</v>
      </c>
      <c r="E157" s="28" t="s">
        <v>310</v>
      </c>
      <c r="F157" s="28" t="s">
        <v>31</v>
      </c>
      <c r="G157" s="28" t="s">
        <v>311</v>
      </c>
      <c r="H157" s="28">
        <v>29852</v>
      </c>
      <c r="I157" s="29">
        <f>IFERROR(_xlfn.XLOOKUP(E157,[1]EMPREENDIMENTO!C:C,[1]EMPREENDIMENTO!E:E),"0")</f>
        <v>220</v>
      </c>
      <c r="J157" s="30">
        <v>46632</v>
      </c>
      <c r="K157" s="28" t="s">
        <v>33</v>
      </c>
      <c r="L157" s="31">
        <v>45695</v>
      </c>
      <c r="M157" s="32">
        <v>44138878</v>
      </c>
      <c r="N157" s="32">
        <v>47512000</v>
      </c>
      <c r="O157" s="32">
        <v>45984400</v>
      </c>
      <c r="P157" s="28" t="s">
        <v>34</v>
      </c>
      <c r="Q157" s="28" t="s">
        <v>312</v>
      </c>
      <c r="R157" s="30">
        <v>45887</v>
      </c>
      <c r="S157" s="30">
        <v>45740</v>
      </c>
      <c r="T157" s="33"/>
      <c r="U157" s="34" t="str">
        <f>IFERROR(_xlfn.XLOOKUP(E157,[1]EMPREENDIMENTO!C:C,[1]EMPREENDIMENTO!D:D),"")</f>
        <v>7863c0db-5523-eb11-9d23-005056856b6c</v>
      </c>
    </row>
    <row r="158" spans="1:21" hidden="1" x14ac:dyDescent="0.35">
      <c r="A158" s="28" t="str">
        <f>IFERROR(_xlfn.XLOOKUP(C158,[1]DIRETORIA!C:C,[1]DIRETORIA!A:A),"-")</f>
        <v>DIR. COM E CRED RJ</v>
      </c>
      <c r="B158" s="28" t="str">
        <f>IFERROR(_xlfn.XLOOKUP(C158,[1]DIRETORIA!C:C,[1]DIRETORIA!B:B),"-")</f>
        <v>GST. COM RJ2</v>
      </c>
      <c r="C158" s="28" t="str">
        <f>IFERROR(_xlfn.XLOOKUP(E158,[1]EMPREENDIMENTO!C:C,[1]EMPREENDIMENTO!A:A),"-")</f>
        <v>SÃO GONÇALO</v>
      </c>
      <c r="D158" s="28" t="s">
        <v>29</v>
      </c>
      <c r="E158" s="28" t="s">
        <v>310</v>
      </c>
      <c r="F158" s="28" t="s">
        <v>36</v>
      </c>
      <c r="G158" s="28" t="s">
        <v>313</v>
      </c>
      <c r="H158" s="28">
        <v>35661</v>
      </c>
      <c r="I158" s="29">
        <f>IFERROR(_xlfn.XLOOKUP(E158,[1]EMPREENDIMENTO!C:C,[1]EMPREENDIMENTO!E:E),"0")</f>
        <v>220</v>
      </c>
      <c r="J158" s="30">
        <v>46632</v>
      </c>
      <c r="K158" s="28" t="s">
        <v>33</v>
      </c>
      <c r="L158" s="31">
        <v>45695</v>
      </c>
      <c r="M158" s="32">
        <v>44138878</v>
      </c>
      <c r="N158" s="32">
        <v>47512000</v>
      </c>
      <c r="O158" s="32">
        <v>45984400</v>
      </c>
      <c r="P158" s="28" t="s">
        <v>34</v>
      </c>
      <c r="Q158" s="28" t="s">
        <v>312</v>
      </c>
      <c r="R158" s="30">
        <v>45887</v>
      </c>
      <c r="S158" s="30">
        <v>45740</v>
      </c>
      <c r="T158" s="33" t="s">
        <v>33</v>
      </c>
      <c r="U158" s="34" t="str">
        <f>IFERROR(_xlfn.XLOOKUP(E158,[1]EMPREENDIMENTO!C:C,[1]EMPREENDIMENTO!D:D),"")</f>
        <v>7863c0db-5523-eb11-9d23-005056856b6c</v>
      </c>
    </row>
    <row r="159" spans="1:21" x14ac:dyDescent="0.35">
      <c r="A159" s="28" t="str">
        <f>IFERROR(_xlfn.XLOOKUP(C159,[1]DIRETORIA!C:C,[1]DIRETORIA!A:A),"-")</f>
        <v>DIR. COM E CRED SPI CP</v>
      </c>
      <c r="B159" s="28" t="str">
        <f>IFERROR(_xlfn.XLOOKUP(C159,[1]DIRETORIA!C:C,[1]DIRETORIA!B:B),"-")</f>
        <v>GST. COM CP2</v>
      </c>
      <c r="C159" s="28" t="str">
        <f>IFERROR(_xlfn.XLOOKUP(E159,[1]EMPREENDIMENTO!C:C,[1]EMPREENDIMENTO!A:A),"-")</f>
        <v>SOROCABA</v>
      </c>
      <c r="D159" s="28" t="s">
        <v>29</v>
      </c>
      <c r="E159" s="28" t="s">
        <v>314</v>
      </c>
      <c r="F159" s="28" t="s">
        <v>31</v>
      </c>
      <c r="G159" s="28" t="s">
        <v>315</v>
      </c>
      <c r="H159" s="28">
        <v>33144</v>
      </c>
      <c r="I159" s="29">
        <f>IFERROR(_xlfn.XLOOKUP(E159,[1]EMPREENDIMENTO!C:C,[1]EMPREENDIMENTO!E:E),"0")</f>
        <v>368</v>
      </c>
      <c r="J159" s="30">
        <v>46618</v>
      </c>
      <c r="K159" s="28" t="s">
        <v>33</v>
      </c>
      <c r="L159" s="31">
        <v>46211</v>
      </c>
      <c r="M159" s="32">
        <v>114107150</v>
      </c>
      <c r="N159" s="32">
        <v>121397250</v>
      </c>
      <c r="O159" s="32">
        <v>119327050</v>
      </c>
      <c r="P159" s="28" t="s">
        <v>34</v>
      </c>
      <c r="Q159" s="28" t="s">
        <v>316</v>
      </c>
      <c r="R159" s="30">
        <v>46220</v>
      </c>
      <c r="S159" s="30">
        <v>46213</v>
      </c>
      <c r="T159" s="33"/>
      <c r="U159" s="34" t="str">
        <f>IFERROR(_xlfn.XLOOKUP(E159,[1]EMPREENDIMENTO!C:C,[1]EMPREENDIMENTO!D:D),"")</f>
        <v>087b242e-c3fa-e711-a541-009c02b0cb58</v>
      </c>
    </row>
    <row r="160" spans="1:21" x14ac:dyDescent="0.35">
      <c r="A160" s="28" t="str">
        <f>IFERROR(_xlfn.XLOOKUP(C160,[1]DIRETORIA!C:C,[1]DIRETORIA!A:A),"-")</f>
        <v>DIR. COM E CRED SPI CP</v>
      </c>
      <c r="B160" s="28" t="str">
        <f>IFERROR(_xlfn.XLOOKUP(C160,[1]DIRETORIA!C:C,[1]DIRETORIA!B:B),"-")</f>
        <v>GST. COM CP2</v>
      </c>
      <c r="C160" s="28" t="str">
        <f>IFERROR(_xlfn.XLOOKUP(E160,[1]EMPREENDIMENTO!C:C,[1]EMPREENDIMENTO!A:A),"-")</f>
        <v>SOROCABA</v>
      </c>
      <c r="D160" s="28" t="s">
        <v>29</v>
      </c>
      <c r="E160" s="28" t="s">
        <v>314</v>
      </c>
      <c r="F160" s="28" t="s">
        <v>36</v>
      </c>
      <c r="G160" s="28" t="s">
        <v>317</v>
      </c>
      <c r="H160" s="28">
        <v>45598</v>
      </c>
      <c r="I160" s="29">
        <f>IFERROR(_xlfn.XLOOKUP(E160,[1]EMPREENDIMENTO!C:C,[1]EMPREENDIMENTO!E:E),"0")</f>
        <v>368</v>
      </c>
      <c r="J160" s="30">
        <v>46618</v>
      </c>
      <c r="K160" s="28" t="s">
        <v>33</v>
      </c>
      <c r="L160" s="31">
        <v>46211</v>
      </c>
      <c r="M160" s="32">
        <v>114107150</v>
      </c>
      <c r="N160" s="32">
        <v>121397250</v>
      </c>
      <c r="O160" s="32">
        <v>119327050</v>
      </c>
      <c r="P160" s="28" t="s">
        <v>34</v>
      </c>
      <c r="Q160" s="28" t="s">
        <v>316</v>
      </c>
      <c r="R160" s="30">
        <v>46220</v>
      </c>
      <c r="S160" s="30">
        <v>46213</v>
      </c>
      <c r="T160" s="33"/>
      <c r="U160" s="34" t="str">
        <f>IFERROR(_xlfn.XLOOKUP(E160,[1]EMPREENDIMENTO!C:C,[1]EMPREENDIMENTO!D:D),"")</f>
        <v>087b242e-c3fa-e711-a541-009c02b0cb58</v>
      </c>
    </row>
    <row r="161" spans="1:21" x14ac:dyDescent="0.35">
      <c r="A161" s="28" t="str">
        <f>IFERROR(_xlfn.XLOOKUP(C161,[1]DIRETORIA!C:C,[1]DIRETORIA!A:A),"-")</f>
        <v>DIR. COM E CRED SPI CP</v>
      </c>
      <c r="B161" s="28" t="str">
        <f>IFERROR(_xlfn.XLOOKUP(C161,[1]DIRETORIA!C:C,[1]DIRETORIA!B:B),"-")</f>
        <v>GST. COM CP2</v>
      </c>
      <c r="C161" s="28" t="str">
        <f>IFERROR(_xlfn.XLOOKUP(E161,[1]EMPREENDIMENTO!C:C,[1]EMPREENDIMENTO!A:A),"-")</f>
        <v>SOROCABA</v>
      </c>
      <c r="D161" s="28" t="s">
        <v>29</v>
      </c>
      <c r="E161" s="28" t="s">
        <v>314</v>
      </c>
      <c r="F161" s="28" t="s">
        <v>39</v>
      </c>
      <c r="G161" s="28" t="s">
        <v>318</v>
      </c>
      <c r="H161" s="28">
        <v>50557</v>
      </c>
      <c r="I161" s="29">
        <f>IFERROR(_xlfn.XLOOKUP(E161,[1]EMPREENDIMENTO!C:C,[1]EMPREENDIMENTO!E:E),"0")</f>
        <v>368</v>
      </c>
      <c r="J161" s="30">
        <v>46618</v>
      </c>
      <c r="K161" s="28" t="s">
        <v>33</v>
      </c>
      <c r="L161" s="31">
        <v>46211</v>
      </c>
      <c r="M161" s="32">
        <v>114107150</v>
      </c>
      <c r="N161" s="32">
        <v>121397250</v>
      </c>
      <c r="O161" s="32">
        <v>119327050</v>
      </c>
      <c r="P161" s="28" t="s">
        <v>34</v>
      </c>
      <c r="Q161" s="28" t="s">
        <v>316</v>
      </c>
      <c r="R161" s="30">
        <v>46220</v>
      </c>
      <c r="S161" s="30">
        <v>46213</v>
      </c>
      <c r="T161" s="33"/>
      <c r="U161" s="34" t="str">
        <f>IFERROR(_xlfn.XLOOKUP(E161,[1]EMPREENDIMENTO!C:C,[1]EMPREENDIMENTO!D:D),"")</f>
        <v>087b242e-c3fa-e711-a541-009c02b0cb58</v>
      </c>
    </row>
    <row r="162" spans="1:21" x14ac:dyDescent="0.35">
      <c r="A162" s="28" t="str">
        <f>IFERROR(_xlfn.XLOOKUP(C162,[1]DIRETORIA!C:C,[1]DIRETORIA!A:A),"-")</f>
        <v>DIR. COM E CRED SPI</v>
      </c>
      <c r="B162" s="28" t="str">
        <f>IFERROR(_xlfn.XLOOKUP(C162,[1]DIRETORIA!C:C,[1]DIRETORIA!B:B),"-")</f>
        <v>GST. COM RP 2</v>
      </c>
      <c r="C162" s="28" t="str">
        <f>IFERROR(_xlfn.XLOOKUP(E162,[1]EMPREENDIMENTO!C:C,[1]EMPREENDIMENTO!A:A),"-")</f>
        <v>SÃO CARLOS</v>
      </c>
      <c r="D162" s="28" t="s">
        <v>29</v>
      </c>
      <c r="E162" s="28" t="s">
        <v>319</v>
      </c>
      <c r="F162" s="28" t="s">
        <v>31</v>
      </c>
      <c r="G162" s="28" t="s">
        <v>320</v>
      </c>
      <c r="H162" s="28">
        <v>32346</v>
      </c>
      <c r="I162" s="29">
        <f>IFERROR(_xlfn.XLOOKUP(E162,[1]EMPREENDIMENTO!C:C,[1]EMPREENDIMENTO!E:E),"0")</f>
        <v>224</v>
      </c>
      <c r="J162" s="30">
        <v>46231</v>
      </c>
      <c r="K162" s="28" t="s">
        <v>33</v>
      </c>
      <c r="L162" s="31">
        <v>45792</v>
      </c>
      <c r="M162" s="32">
        <v>71785600</v>
      </c>
      <c r="N162" s="32">
        <v>79857100</v>
      </c>
      <c r="O162" s="32">
        <v>79857100</v>
      </c>
      <c r="P162" s="28" t="s">
        <v>34</v>
      </c>
      <c r="Q162" s="28" t="s">
        <v>321</v>
      </c>
      <c r="R162" s="30">
        <v>45792</v>
      </c>
      <c r="S162" s="30">
        <v>45793</v>
      </c>
      <c r="T162" s="33"/>
      <c r="U162" s="34" t="str">
        <f>IFERROR(_xlfn.XLOOKUP(E162,[1]EMPREENDIMENTO!C:C,[1]EMPREENDIMENTO!D:D),"")</f>
        <v>a5ac2bd6-f6ea-dc11-a2f9-001b7845b4a6</v>
      </c>
    </row>
    <row r="163" spans="1:21" x14ac:dyDescent="0.35">
      <c r="A163" s="28" t="str">
        <f>IFERROR(_xlfn.XLOOKUP(C163,[1]DIRETORIA!C:C,[1]DIRETORIA!A:A),"-")</f>
        <v>DIR. COM E CRED SPI</v>
      </c>
      <c r="B163" s="28" t="str">
        <f>IFERROR(_xlfn.XLOOKUP(C163,[1]DIRETORIA!C:C,[1]DIRETORIA!B:B),"-")</f>
        <v>GST. COM RP 2</v>
      </c>
      <c r="C163" s="28" t="str">
        <f>IFERROR(_xlfn.XLOOKUP(E163,[1]EMPREENDIMENTO!C:C,[1]EMPREENDIMENTO!A:A),"-")</f>
        <v>SÃO CARLOS</v>
      </c>
      <c r="D163" s="28" t="s">
        <v>29</v>
      </c>
      <c r="E163" s="28" t="s">
        <v>319</v>
      </c>
      <c r="F163" s="28" t="s">
        <v>36</v>
      </c>
      <c r="G163" s="28" t="s">
        <v>322</v>
      </c>
      <c r="H163" s="28">
        <v>50801</v>
      </c>
      <c r="I163" s="29">
        <f>IFERROR(_xlfn.XLOOKUP(E163,[1]EMPREENDIMENTO!C:C,[1]EMPREENDIMENTO!E:E),"0")</f>
        <v>224</v>
      </c>
      <c r="J163" s="30">
        <v>46231</v>
      </c>
      <c r="K163" s="28" t="s">
        <v>33</v>
      </c>
      <c r="L163" s="31">
        <v>45792</v>
      </c>
      <c r="M163" s="32">
        <v>71785600</v>
      </c>
      <c r="N163" s="32">
        <v>79857100</v>
      </c>
      <c r="O163" s="32">
        <v>79857100</v>
      </c>
      <c r="P163" s="28" t="s">
        <v>34</v>
      </c>
      <c r="Q163" s="28" t="s">
        <v>321</v>
      </c>
      <c r="R163" s="30">
        <v>45792</v>
      </c>
      <c r="S163" s="30">
        <v>45793</v>
      </c>
      <c r="T163" s="33"/>
      <c r="U163" s="34" t="str">
        <f>IFERROR(_xlfn.XLOOKUP(E163,[1]EMPREENDIMENTO!C:C,[1]EMPREENDIMENTO!D:D),"")</f>
        <v>a5ac2bd6-f6ea-dc11-a2f9-001b7845b4a6</v>
      </c>
    </row>
    <row r="164" spans="1:21" x14ac:dyDescent="0.35">
      <c r="A164" s="28" t="str">
        <f>IFERROR(_xlfn.XLOOKUP(C164,[1]DIRETORIA!C:C,[1]DIRETORIA!A:A),"-")</f>
        <v>DIR. COM E CRED SPI CP</v>
      </c>
      <c r="B164" s="28" t="str">
        <f>IFERROR(_xlfn.XLOOKUP(C164,[1]DIRETORIA!C:C,[1]DIRETORIA!B:B),"-")</f>
        <v>GST. COM CP3</v>
      </c>
      <c r="C164" s="28" t="str">
        <f>IFERROR(_xlfn.XLOOKUP(E164,[1]EMPREENDIMENTO!C:C,[1]EMPREENDIMENTO!A:A),"-")</f>
        <v>SANTA BÁRBARA D'OESTE</v>
      </c>
      <c r="D164" s="28" t="s">
        <v>29</v>
      </c>
      <c r="E164" s="28" t="s">
        <v>323</v>
      </c>
      <c r="F164" s="28" t="s">
        <v>42</v>
      </c>
      <c r="G164" s="28" t="s">
        <v>324</v>
      </c>
      <c r="H164" s="28">
        <v>39240</v>
      </c>
      <c r="I164" s="29">
        <f>IFERROR(_xlfn.XLOOKUP(E164,[1]EMPREENDIMENTO!C:C,[1]EMPREENDIMENTO!E:E),"0")</f>
        <v>256</v>
      </c>
      <c r="J164" s="30">
        <v>46228</v>
      </c>
      <c r="K164" s="28" t="s">
        <v>33</v>
      </c>
      <c r="L164" s="31">
        <v>45679</v>
      </c>
      <c r="M164" s="32">
        <v>67485432</v>
      </c>
      <c r="N164" s="32">
        <v>81500200</v>
      </c>
      <c r="O164" s="32">
        <v>73948250</v>
      </c>
      <c r="P164" s="28" t="s">
        <v>34</v>
      </c>
      <c r="Q164" s="28" t="s">
        <v>325</v>
      </c>
      <c r="R164" s="30">
        <v>45684</v>
      </c>
      <c r="S164" s="30">
        <v>45680</v>
      </c>
      <c r="T164" s="33"/>
      <c r="U164" s="34" t="str">
        <f>IFERROR(_xlfn.XLOOKUP(E164,[1]EMPREENDIMENTO!C:C,[1]EMPREENDIMENTO!D:D),"")</f>
        <v>40c3d1ca-5d57-eb11-a635-005056856875</v>
      </c>
    </row>
    <row r="165" spans="1:21" hidden="1" x14ac:dyDescent="0.35">
      <c r="A165" s="28" t="str">
        <f>IFERROR(_xlfn.XLOOKUP(C165,[1]DIRETORIA!C:C,[1]DIRETORIA!A:A),"-")</f>
        <v>DIR. COM E CRED RJ</v>
      </c>
      <c r="B165" s="28" t="str">
        <f>IFERROR(_xlfn.XLOOKUP(C165,[1]DIRETORIA!C:C,[1]DIRETORIA!B:B),"-")</f>
        <v>GST. COM RJ1</v>
      </c>
      <c r="C165" s="28" t="str">
        <f>IFERROR(_xlfn.XLOOKUP(E165,[1]EMPREENDIMENTO!C:C,[1]EMPREENDIMENTO!A:A),"-")</f>
        <v>RIO DE JANEIRO</v>
      </c>
      <c r="D165" s="28" t="s">
        <v>29</v>
      </c>
      <c r="E165" s="28" t="s">
        <v>326</v>
      </c>
      <c r="F165" s="28" t="s">
        <v>42</v>
      </c>
      <c r="G165" s="28" t="s">
        <v>327</v>
      </c>
      <c r="H165" s="28">
        <v>35474</v>
      </c>
      <c r="I165" s="29">
        <f>IFERROR(_xlfn.XLOOKUP(E165,[1]EMPREENDIMENTO!C:C,[1]EMPREENDIMENTO!E:E),"0")</f>
        <v>168</v>
      </c>
      <c r="J165" s="30">
        <v>46660</v>
      </c>
      <c r="K165" s="28" t="s">
        <v>33</v>
      </c>
      <c r="L165" s="31">
        <v>45226</v>
      </c>
      <c r="M165" s="32">
        <v>36473600</v>
      </c>
      <c r="N165" s="32">
        <v>40648618</v>
      </c>
      <c r="O165" s="32">
        <v>39548122</v>
      </c>
      <c r="P165" s="28" t="s">
        <v>34</v>
      </c>
      <c r="Q165" s="28" t="s">
        <v>328</v>
      </c>
      <c r="R165" s="30">
        <v>45236</v>
      </c>
      <c r="S165" s="30">
        <v>45226</v>
      </c>
      <c r="T165" s="33"/>
      <c r="U165" s="34" t="str">
        <f>IFERROR(_xlfn.XLOOKUP(E165,[1]EMPREENDIMENTO!C:C,[1]EMPREENDIMENTO!D:D),"")</f>
        <v>4b226cc7-c410-ec11-b501-005056856b6c</v>
      </c>
    </row>
    <row r="166" spans="1:21" hidden="1" x14ac:dyDescent="0.35">
      <c r="A166" s="28" t="str">
        <f>IFERROR(_xlfn.XLOOKUP(C166,[1]DIRETORIA!C:C,[1]DIRETORIA!A:A),"-")</f>
        <v>DIR. COM E CRED MG E ES</v>
      </c>
      <c r="B166" s="28" t="str">
        <f>IFERROR(_xlfn.XLOOKUP(C166,[1]DIRETORIA!C:C,[1]DIRETORIA!B:B),"-")</f>
        <v>GST. COM BH E INT</v>
      </c>
      <c r="C166" s="28" t="str">
        <f>IFERROR(_xlfn.XLOOKUP(E166,[1]EMPREENDIMENTO!C:C,[1]EMPREENDIMENTO!A:A),"-")</f>
        <v>BELO HORIZONTE</v>
      </c>
      <c r="D166" s="28" t="s">
        <v>29</v>
      </c>
      <c r="E166" s="28" t="s">
        <v>329</v>
      </c>
      <c r="F166" s="28" t="s">
        <v>42</v>
      </c>
      <c r="G166" s="28" t="s">
        <v>330</v>
      </c>
      <c r="H166" s="28">
        <v>31614</v>
      </c>
      <c r="I166" s="29">
        <f>IFERROR(_xlfn.XLOOKUP(E166,[1]EMPREENDIMENTO!C:C,[1]EMPREENDIMENTO!E:E),"0")</f>
        <v>118</v>
      </c>
      <c r="J166" s="30">
        <v>46660</v>
      </c>
      <c r="K166" s="28" t="s">
        <v>33</v>
      </c>
      <c r="L166" s="31">
        <v>46183</v>
      </c>
      <c r="M166" s="32">
        <v>103864706</v>
      </c>
      <c r="N166" s="32">
        <v>114991760</v>
      </c>
      <c r="O166" s="32">
        <v>107396020</v>
      </c>
      <c r="P166" s="28" t="s">
        <v>34</v>
      </c>
      <c r="Q166" s="28" t="s">
        <v>331</v>
      </c>
      <c r="R166" s="30">
        <v>46188</v>
      </c>
      <c r="S166" s="30"/>
      <c r="T166" s="33"/>
      <c r="U166" s="34" t="str">
        <f>IFERROR(_xlfn.XLOOKUP(E166,[1]EMPREENDIMENTO!C:C,[1]EMPREENDIMENTO!D:D),"")</f>
        <v>84d8d86c-19dc-ea11-beeb-005056856875</v>
      </c>
    </row>
    <row r="167" spans="1:21" hidden="1" x14ac:dyDescent="0.35">
      <c r="A167" s="28" t="str">
        <f>IFERROR(_xlfn.XLOOKUP(C167,[1]DIRETORIA!C:C,[1]DIRETORIA!A:A),"-")</f>
        <v>DIR. COM E CRED SP E VL</v>
      </c>
      <c r="B167" s="28" t="str">
        <f>IFERROR(_xlfn.XLOOKUP(C167,[1]DIRETORIA!C:C,[1]DIRETORIA!B:B),"-")</f>
        <v>GST. COM VL2</v>
      </c>
      <c r="C167" s="28" t="str">
        <f>IFERROR(_xlfn.XLOOKUP(E167,[1]EMPREENDIMENTO!C:C,[1]EMPREENDIMENTO!A:A),"-")</f>
        <v>GUARULHOS</v>
      </c>
      <c r="D167" s="28" t="s">
        <v>29</v>
      </c>
      <c r="E167" s="28" t="s">
        <v>332</v>
      </c>
      <c r="F167" s="28" t="s">
        <v>31</v>
      </c>
      <c r="G167" s="28" t="s">
        <v>333</v>
      </c>
      <c r="H167" s="28">
        <v>30477</v>
      </c>
      <c r="I167" s="29">
        <f>IFERROR(_xlfn.XLOOKUP(E167,[1]EMPREENDIMENTO!C:C,[1]EMPREENDIMENTO!E:E),"0")</f>
        <v>504</v>
      </c>
      <c r="J167" s="30">
        <v>46229</v>
      </c>
      <c r="K167" s="28" t="s">
        <v>33</v>
      </c>
      <c r="L167" s="31">
        <v>45194</v>
      </c>
      <c r="M167" s="32">
        <v>122258000</v>
      </c>
      <c r="N167" s="32">
        <v>131427350</v>
      </c>
      <c r="O167" s="32">
        <v>128508900</v>
      </c>
      <c r="P167" s="28" t="s">
        <v>34</v>
      </c>
      <c r="Q167" s="28" t="s">
        <v>334</v>
      </c>
      <c r="R167" s="30">
        <v>45198</v>
      </c>
      <c r="S167" s="30">
        <v>45194</v>
      </c>
      <c r="T167" s="33"/>
      <c r="U167" s="34" t="str">
        <f>IFERROR(_xlfn.XLOOKUP(E167,[1]EMPREENDIMENTO!C:C,[1]EMPREENDIMENTO!D:D),"")</f>
        <v>fb9ead83-a165-eb11-aa45-005056856875</v>
      </c>
    </row>
    <row r="168" spans="1:21" hidden="1" x14ac:dyDescent="0.35">
      <c r="A168" s="28" t="str">
        <f>IFERROR(_xlfn.XLOOKUP(C168,[1]DIRETORIA!C:C,[1]DIRETORIA!A:A),"-")</f>
        <v>DIR. COM E CRED SP E VL</v>
      </c>
      <c r="B168" s="28" t="str">
        <f>IFERROR(_xlfn.XLOOKUP(C168,[1]DIRETORIA!C:C,[1]DIRETORIA!B:B),"-")</f>
        <v>GST. COM VL2</v>
      </c>
      <c r="C168" s="28" t="str">
        <f>IFERROR(_xlfn.XLOOKUP(E168,[1]EMPREENDIMENTO!C:C,[1]EMPREENDIMENTO!A:A),"-")</f>
        <v>GUARULHOS</v>
      </c>
      <c r="D168" s="28" t="s">
        <v>29</v>
      </c>
      <c r="E168" s="28" t="s">
        <v>332</v>
      </c>
      <c r="F168" s="28" t="s">
        <v>36</v>
      </c>
      <c r="G168" s="28" t="s">
        <v>335</v>
      </c>
      <c r="H168" s="28">
        <v>37008</v>
      </c>
      <c r="I168" s="29">
        <f>IFERROR(_xlfn.XLOOKUP(E168,[1]EMPREENDIMENTO!C:C,[1]EMPREENDIMENTO!E:E),"0")</f>
        <v>504</v>
      </c>
      <c r="J168" s="30">
        <v>46229</v>
      </c>
      <c r="K168" s="28" t="s">
        <v>33</v>
      </c>
      <c r="L168" s="31">
        <v>45194</v>
      </c>
      <c r="M168" s="32">
        <v>122258000</v>
      </c>
      <c r="N168" s="32">
        <v>131427350</v>
      </c>
      <c r="O168" s="32">
        <v>128508900</v>
      </c>
      <c r="P168" s="28" t="s">
        <v>34</v>
      </c>
      <c r="Q168" s="28" t="s">
        <v>334</v>
      </c>
      <c r="R168" s="30">
        <v>45198</v>
      </c>
      <c r="S168" s="30">
        <v>45194</v>
      </c>
      <c r="T168" s="33"/>
      <c r="U168" s="34" t="str">
        <f>IFERROR(_xlfn.XLOOKUP(E168,[1]EMPREENDIMENTO!C:C,[1]EMPREENDIMENTO!D:D),"")</f>
        <v>fb9ead83-a165-eb11-aa45-005056856875</v>
      </c>
    </row>
    <row r="169" spans="1:21" hidden="1" x14ac:dyDescent="0.35">
      <c r="A169" s="28" t="str">
        <f>IFERROR(_xlfn.XLOOKUP(C169,[1]DIRETORIA!C:C,[1]DIRETORIA!A:A),"-")</f>
        <v>DIR. COM E CRED NE</v>
      </c>
      <c r="B169" s="28" t="str">
        <f>IFERROR(_xlfn.XLOOKUP(C169,[1]DIRETORIA!C:C,[1]DIRETORIA!B:B),"-")</f>
        <v>GST. COM NE2 (PE)</v>
      </c>
      <c r="C169" s="28" t="str">
        <f>IFERROR(_xlfn.XLOOKUP(E169,[1]EMPREENDIMENTO!C:C,[1]EMPREENDIMENTO!A:A),"-")</f>
        <v>JABOATÃO DOS GUARARAPES</v>
      </c>
      <c r="D169" s="28" t="s">
        <v>29</v>
      </c>
      <c r="E169" s="28" t="s">
        <v>336</v>
      </c>
      <c r="F169" s="28" t="s">
        <v>42</v>
      </c>
      <c r="G169" s="28" t="s">
        <v>337</v>
      </c>
      <c r="H169" s="28">
        <v>25050</v>
      </c>
      <c r="I169" s="29">
        <f>IFERROR(_xlfn.XLOOKUP(E169,[1]EMPREENDIMENTO!C:C,[1]EMPREENDIMENTO!E:E),"0")</f>
        <v>240</v>
      </c>
      <c r="J169" s="30">
        <v>46136</v>
      </c>
      <c r="K169" s="28" t="s">
        <v>33</v>
      </c>
      <c r="L169" s="31">
        <v>45321</v>
      </c>
      <c r="M169" s="32">
        <v>49565200</v>
      </c>
      <c r="N169" s="32">
        <v>53873548</v>
      </c>
      <c r="O169" s="32">
        <v>53711151</v>
      </c>
      <c r="P169" s="28" t="s">
        <v>34</v>
      </c>
      <c r="Q169" s="28" t="s">
        <v>338</v>
      </c>
      <c r="R169" s="30">
        <v>45341</v>
      </c>
      <c r="S169" s="30">
        <v>45321</v>
      </c>
      <c r="T169" s="33"/>
      <c r="U169" s="34" t="str">
        <f>IFERROR(_xlfn.XLOOKUP(E169,[1]EMPREENDIMENTO!C:C,[1]EMPREENDIMENTO!D:D),"")</f>
        <v>2f794858-7b33-e911-b8f1-009c02b0cb58</v>
      </c>
    </row>
    <row r="170" spans="1:21" hidden="1" x14ac:dyDescent="0.35">
      <c r="A170" s="28" t="str">
        <f>IFERROR(_xlfn.XLOOKUP(C170,[1]DIRETORIA!C:C,[1]DIRETORIA!A:A),"-")</f>
        <v>DIR. COM E CRED RJ</v>
      </c>
      <c r="B170" s="28" t="str">
        <f>IFERROR(_xlfn.XLOOKUP(C170,[1]DIRETORIA!C:C,[1]DIRETORIA!B:B),"-")</f>
        <v>GST. COM RJ2</v>
      </c>
      <c r="C170" s="28" t="str">
        <f>IFERROR(_xlfn.XLOOKUP(E170,[1]EMPREENDIMENTO!C:C,[1]EMPREENDIMENTO!A:A),"-")</f>
        <v>NOVA IGUAÇU</v>
      </c>
      <c r="D170" s="28" t="s">
        <v>29</v>
      </c>
      <c r="E170" s="28" t="s">
        <v>339</v>
      </c>
      <c r="F170" s="28" t="s">
        <v>31</v>
      </c>
      <c r="G170" s="28" t="s">
        <v>340</v>
      </c>
      <c r="H170" s="28">
        <v>32784</v>
      </c>
      <c r="I170" s="29">
        <f>IFERROR(_xlfn.XLOOKUP(E170,[1]EMPREENDIMENTO!C:C,[1]EMPREENDIMENTO!E:E),"0")</f>
        <v>320</v>
      </c>
      <c r="J170" s="30">
        <v>46804</v>
      </c>
      <c r="K170" s="28" t="s">
        <v>33</v>
      </c>
      <c r="L170" s="31">
        <v>45917</v>
      </c>
      <c r="M170" s="32">
        <v>76854725</v>
      </c>
      <c r="N170" s="32">
        <v>82654266</v>
      </c>
      <c r="O170" s="32">
        <v>78929300</v>
      </c>
      <c r="P170" s="28" t="s">
        <v>34</v>
      </c>
      <c r="Q170" s="28" t="s">
        <v>341</v>
      </c>
      <c r="R170" s="30">
        <v>45925</v>
      </c>
      <c r="S170" s="30">
        <v>45917</v>
      </c>
      <c r="T170" s="33"/>
      <c r="U170" s="34" t="str">
        <f>IFERROR(_xlfn.XLOOKUP(E170,[1]EMPREENDIMENTO!C:C,[1]EMPREENDIMENTO!D:D),"")</f>
        <v>695c254c-f84f-e911-810a-80c16e075108</v>
      </c>
    </row>
    <row r="171" spans="1:21" hidden="1" x14ac:dyDescent="0.35">
      <c r="A171" s="28" t="str">
        <f>IFERROR(_xlfn.XLOOKUP(C171,[1]DIRETORIA!C:C,[1]DIRETORIA!A:A),"-")</f>
        <v>DIR. COM E CRED RJ</v>
      </c>
      <c r="B171" s="28" t="str">
        <f>IFERROR(_xlfn.XLOOKUP(C171,[1]DIRETORIA!C:C,[1]DIRETORIA!B:B),"-")</f>
        <v>GST. COM RJ2</v>
      </c>
      <c r="C171" s="28" t="str">
        <f>IFERROR(_xlfn.XLOOKUP(E171,[1]EMPREENDIMENTO!C:C,[1]EMPREENDIMENTO!A:A),"-")</f>
        <v>NOVA IGUAÇU</v>
      </c>
      <c r="D171" s="28" t="s">
        <v>29</v>
      </c>
      <c r="E171" s="28" t="s">
        <v>339</v>
      </c>
      <c r="F171" s="28" t="s">
        <v>36</v>
      </c>
      <c r="G171" s="28" t="s">
        <v>342</v>
      </c>
      <c r="H171" s="28">
        <v>35711</v>
      </c>
      <c r="I171" s="29">
        <f>IFERROR(_xlfn.XLOOKUP(E171,[1]EMPREENDIMENTO!C:C,[1]EMPREENDIMENTO!E:E),"0")</f>
        <v>320</v>
      </c>
      <c r="J171" s="30">
        <v>46804</v>
      </c>
      <c r="K171" s="28" t="s">
        <v>33</v>
      </c>
      <c r="L171" s="31">
        <v>45917</v>
      </c>
      <c r="M171" s="32">
        <v>76854725</v>
      </c>
      <c r="N171" s="32">
        <v>82654266</v>
      </c>
      <c r="O171" s="32">
        <v>78929300</v>
      </c>
      <c r="P171" s="28" t="s">
        <v>34</v>
      </c>
      <c r="Q171" s="28" t="s">
        <v>341</v>
      </c>
      <c r="R171" s="30">
        <v>45925</v>
      </c>
      <c r="S171" s="30">
        <v>45917</v>
      </c>
      <c r="T171" s="33"/>
      <c r="U171" s="34" t="str">
        <f>IFERROR(_xlfn.XLOOKUP(E171,[1]EMPREENDIMENTO!C:C,[1]EMPREENDIMENTO!D:D),"")</f>
        <v>695c254c-f84f-e911-810a-80c16e075108</v>
      </c>
    </row>
    <row r="172" spans="1:21" hidden="1" x14ac:dyDescent="0.35">
      <c r="A172" s="28" t="str">
        <f>IFERROR(_xlfn.XLOOKUP(C172,[1]DIRETORIA!C:C,[1]DIRETORIA!A:A),"-")</f>
        <v>DIR. COM E CRED RJ</v>
      </c>
      <c r="B172" s="28" t="str">
        <f>IFERROR(_xlfn.XLOOKUP(C172,[1]DIRETORIA!C:C,[1]DIRETORIA!B:B),"-")</f>
        <v>GST. COM RJ2</v>
      </c>
      <c r="C172" s="28" t="str">
        <f>IFERROR(_xlfn.XLOOKUP(E172,[1]EMPREENDIMENTO!C:C,[1]EMPREENDIMENTO!A:A),"-")</f>
        <v>NOVA IGUAÇU</v>
      </c>
      <c r="D172" s="28" t="s">
        <v>29</v>
      </c>
      <c r="E172" s="28" t="s">
        <v>339</v>
      </c>
      <c r="F172" s="28" t="s">
        <v>39</v>
      </c>
      <c r="G172" s="28" t="s">
        <v>343</v>
      </c>
      <c r="H172" s="28">
        <v>44811</v>
      </c>
      <c r="I172" s="29">
        <f>IFERROR(_xlfn.XLOOKUP(E172,[1]EMPREENDIMENTO!C:C,[1]EMPREENDIMENTO!E:E),"0")</f>
        <v>320</v>
      </c>
      <c r="J172" s="30">
        <v>46804</v>
      </c>
      <c r="K172" s="28" t="s">
        <v>33</v>
      </c>
      <c r="L172" s="31">
        <v>45917</v>
      </c>
      <c r="M172" s="32">
        <v>76854725</v>
      </c>
      <c r="N172" s="32">
        <v>82654266</v>
      </c>
      <c r="O172" s="32">
        <v>78929300</v>
      </c>
      <c r="P172" s="28" t="s">
        <v>34</v>
      </c>
      <c r="Q172" s="28" t="s">
        <v>341</v>
      </c>
      <c r="R172" s="30">
        <v>45925</v>
      </c>
      <c r="S172" s="30">
        <v>45917</v>
      </c>
      <c r="T172" s="33"/>
      <c r="U172" s="34" t="str">
        <f>IFERROR(_xlfn.XLOOKUP(E172,[1]EMPREENDIMENTO!C:C,[1]EMPREENDIMENTO!D:D),"")</f>
        <v>695c254c-f84f-e911-810a-80c16e075108</v>
      </c>
    </row>
    <row r="173" spans="1:21" x14ac:dyDescent="0.35">
      <c r="A173" s="28" t="str">
        <f>IFERROR(_xlfn.XLOOKUP(C173,[1]DIRETORIA!C:C,[1]DIRETORIA!A:A),"-")</f>
        <v>DIR. COM E CRED SPI</v>
      </c>
      <c r="B173" s="28" t="str">
        <f>IFERROR(_xlfn.XLOOKUP(C173,[1]DIRETORIA!C:C,[1]DIRETORIA!B:B),"-")</f>
        <v>GST. COM RP 2</v>
      </c>
      <c r="C173" s="28" t="str">
        <f>IFERROR(_xlfn.XLOOKUP(E173,[1]EMPREENDIMENTO!C:C,[1]EMPREENDIMENTO!A:A),"-")</f>
        <v>ARARAQUARA</v>
      </c>
      <c r="D173" s="28" t="s">
        <v>29</v>
      </c>
      <c r="E173" s="28" t="s">
        <v>344</v>
      </c>
      <c r="F173" s="28" t="s">
        <v>31</v>
      </c>
      <c r="G173" s="28" t="s">
        <v>345</v>
      </c>
      <c r="H173" s="28">
        <v>40295</v>
      </c>
      <c r="I173" s="29">
        <f>IFERROR(_xlfn.XLOOKUP(E173,[1]EMPREENDIMENTO!C:C,[1]EMPREENDIMENTO!E:E),"0")</f>
        <v>189</v>
      </c>
      <c r="J173" s="30">
        <v>46350</v>
      </c>
      <c r="K173" s="28" t="s">
        <v>33</v>
      </c>
      <c r="L173" s="31">
        <v>45698</v>
      </c>
      <c r="M173" s="32">
        <v>51030000</v>
      </c>
      <c r="N173" s="32">
        <v>59546800</v>
      </c>
      <c r="O173" s="32">
        <v>57055640</v>
      </c>
      <c r="P173" s="28" t="s">
        <v>34</v>
      </c>
      <c r="Q173" s="28" t="s">
        <v>346</v>
      </c>
      <c r="R173" s="30">
        <v>45705</v>
      </c>
      <c r="S173" s="30">
        <v>45699</v>
      </c>
      <c r="T173" s="33"/>
      <c r="U173" s="34" t="str">
        <f>IFERROR(_xlfn.XLOOKUP(E173,[1]EMPREENDIMENTO!C:C,[1]EMPREENDIMENTO!D:D),"")</f>
        <v>95e9fa24-6eaf-ec11-83b8-005056890018</v>
      </c>
    </row>
    <row r="174" spans="1:21" x14ac:dyDescent="0.35">
      <c r="A174" s="28" t="str">
        <f>IFERROR(_xlfn.XLOOKUP(C174,[1]DIRETORIA!C:C,[1]DIRETORIA!A:A),"-")</f>
        <v>DIR. COM E CRED SPI</v>
      </c>
      <c r="B174" s="28" t="str">
        <f>IFERROR(_xlfn.XLOOKUP(C174,[1]DIRETORIA!C:C,[1]DIRETORIA!B:B),"-")</f>
        <v>GST. COM RP 2</v>
      </c>
      <c r="C174" s="28" t="str">
        <f>IFERROR(_xlfn.XLOOKUP(E174,[1]EMPREENDIMENTO!C:C,[1]EMPREENDIMENTO!A:A),"-")</f>
        <v>ARARAQUARA</v>
      </c>
      <c r="D174" s="28" t="s">
        <v>29</v>
      </c>
      <c r="E174" s="28" t="s">
        <v>344</v>
      </c>
      <c r="F174" s="28" t="s">
        <v>36</v>
      </c>
      <c r="G174" s="28" t="s">
        <v>347</v>
      </c>
      <c r="H174" s="28">
        <v>53044</v>
      </c>
      <c r="I174" s="29">
        <f>IFERROR(_xlfn.XLOOKUP(E174,[1]EMPREENDIMENTO!C:C,[1]EMPREENDIMENTO!E:E),"0")</f>
        <v>189</v>
      </c>
      <c r="J174" s="30">
        <v>46350</v>
      </c>
      <c r="K174" s="28" t="s">
        <v>33</v>
      </c>
      <c r="L174" s="31">
        <v>45698</v>
      </c>
      <c r="M174" s="32">
        <v>51030000</v>
      </c>
      <c r="N174" s="32">
        <v>59546800</v>
      </c>
      <c r="O174" s="32">
        <v>57055640</v>
      </c>
      <c r="P174" s="28" t="s">
        <v>34</v>
      </c>
      <c r="Q174" s="28" t="s">
        <v>346</v>
      </c>
      <c r="R174" s="30">
        <v>45705</v>
      </c>
      <c r="S174" s="30">
        <v>45699</v>
      </c>
      <c r="T174" s="33"/>
      <c r="U174" s="34" t="str">
        <f>IFERROR(_xlfn.XLOOKUP(E174,[1]EMPREENDIMENTO!C:C,[1]EMPREENDIMENTO!D:D),"")</f>
        <v>95e9fa24-6eaf-ec11-83b8-005056890018</v>
      </c>
    </row>
    <row r="175" spans="1:21" hidden="1" x14ac:dyDescent="0.35">
      <c r="A175" s="28" t="str">
        <f>IFERROR(_xlfn.XLOOKUP(C175,[1]DIRETORIA!C:C,[1]DIRETORIA!A:A),"-")</f>
        <v>DIR. COM E CRED SUL</v>
      </c>
      <c r="B175" s="28" t="str">
        <f>IFERROR(_xlfn.XLOOKUP(C175,[1]DIRETORIA!C:C,[1]DIRETORIA!B:B),"-")</f>
        <v>GST. COM SC</v>
      </c>
      <c r="C175" s="28" t="str">
        <f>IFERROR(_xlfn.XLOOKUP(E175,[1]EMPREENDIMENTO!C:C,[1]EMPREENDIMENTO!A:A),"-")</f>
        <v>BLUMENAU</v>
      </c>
      <c r="D175" s="28" t="s">
        <v>29</v>
      </c>
      <c r="E175" s="28" t="s">
        <v>348</v>
      </c>
      <c r="F175" s="28" t="s">
        <v>42</v>
      </c>
      <c r="G175" s="28" t="s">
        <v>349</v>
      </c>
      <c r="H175" s="28">
        <v>26791</v>
      </c>
      <c r="I175" s="29">
        <f>IFERROR(_xlfn.XLOOKUP(E175,[1]EMPREENDIMENTO!C:C,[1]EMPREENDIMENTO!E:E),"0")</f>
        <v>192</v>
      </c>
      <c r="J175" s="30">
        <v>46010</v>
      </c>
      <c r="K175" s="28" t="s">
        <v>33</v>
      </c>
      <c r="L175" s="31">
        <v>45372</v>
      </c>
      <c r="M175" s="32">
        <v>45110670</v>
      </c>
      <c r="N175" s="32">
        <v>47810670</v>
      </c>
      <c r="O175" s="32">
        <v>47798170</v>
      </c>
      <c r="P175" s="28" t="s">
        <v>34</v>
      </c>
      <c r="Q175" s="28">
        <v>45349</v>
      </c>
      <c r="R175" s="30">
        <v>45378</v>
      </c>
      <c r="S175" s="30">
        <v>45372</v>
      </c>
      <c r="T175" s="33"/>
      <c r="U175" s="34" t="str">
        <f>IFERROR(_xlfn.XLOOKUP(E175,[1]EMPREENDIMENTO!C:C,[1]EMPREENDIMENTO!D:D),"")</f>
        <v>986da885-a742-ea11-801d-005056856875</v>
      </c>
    </row>
    <row r="176" spans="1:21" hidden="1" x14ac:dyDescent="0.35">
      <c r="A176" s="28" t="str">
        <f>IFERROR(_xlfn.XLOOKUP(C176,[1]DIRETORIA!C:C,[1]DIRETORIA!A:A),"-")</f>
        <v>DIR. COM E CRED NE</v>
      </c>
      <c r="B176" s="28" t="str">
        <f>IFERROR(_xlfn.XLOOKUP(C176,[1]DIRETORIA!C:C,[1]DIRETORIA!B:B),"-")</f>
        <v>GST. COM NE4 (CE)</v>
      </c>
      <c r="C176" s="28" t="str">
        <f>IFERROR(_xlfn.XLOOKUP(E176,[1]EMPREENDIMENTO!C:C,[1]EMPREENDIMENTO!A:A),"-")</f>
        <v>FORTALEZA</v>
      </c>
      <c r="D176" s="28" t="s">
        <v>85</v>
      </c>
      <c r="E176" s="28" t="s">
        <v>350</v>
      </c>
      <c r="F176" s="28" t="s">
        <v>42</v>
      </c>
      <c r="G176" s="28" t="s">
        <v>351</v>
      </c>
      <c r="H176" s="28">
        <v>33495</v>
      </c>
      <c r="I176" s="29">
        <f>IFERROR(_xlfn.XLOOKUP(E176,[1]EMPREENDIMENTO!C:C,[1]EMPREENDIMENTO!E:E),"0")</f>
        <v>160</v>
      </c>
      <c r="J176" s="30"/>
      <c r="K176" s="28" t="s">
        <v>33</v>
      </c>
      <c r="L176" s="31">
        <v>45251</v>
      </c>
      <c r="M176" s="32">
        <v>27949400</v>
      </c>
      <c r="N176" s="32">
        <v>32279500</v>
      </c>
      <c r="O176" s="32">
        <v>30622100</v>
      </c>
      <c r="P176" s="28" t="s">
        <v>34</v>
      </c>
      <c r="Q176" s="28"/>
      <c r="R176" s="30"/>
      <c r="S176" s="30">
        <v>45254</v>
      </c>
      <c r="T176" s="33" t="s">
        <v>352</v>
      </c>
      <c r="U176" s="34" t="str">
        <f>IFERROR(_xlfn.XLOOKUP(E176,[1]EMPREENDIMENTO!C:C,[1]EMPREENDIMENTO!D:D),"")</f>
        <v>BD65C604-2EE3-EB11-930A-0050568AA20F</v>
      </c>
    </row>
    <row r="177" spans="1:21" hidden="1" x14ac:dyDescent="0.35">
      <c r="A177" s="28" t="str">
        <f>IFERROR(_xlfn.XLOOKUP(C177,[1]DIRETORIA!C:C,[1]DIRETORIA!A:A),"-")</f>
        <v>DIR. COM E CRED SUL</v>
      </c>
      <c r="B177" s="28" t="str">
        <f>IFERROR(_xlfn.XLOOKUP(C177,[1]DIRETORIA!C:C,[1]DIRETORIA!B:B),"-")</f>
        <v>GST. COM RS SUL</v>
      </c>
      <c r="C177" s="28" t="str">
        <f>IFERROR(_xlfn.XLOOKUP(E177,[1]EMPREENDIMENTO!C:C,[1]EMPREENDIMENTO!A:A),"-")</f>
        <v>VIAMÃO</v>
      </c>
      <c r="D177" s="28" t="s">
        <v>29</v>
      </c>
      <c r="E177" s="28" t="s">
        <v>353</v>
      </c>
      <c r="F177" s="28" t="s">
        <v>31</v>
      </c>
      <c r="G177" s="28" t="s">
        <v>354</v>
      </c>
      <c r="H177" s="28">
        <v>27210</v>
      </c>
      <c r="I177" s="29">
        <f>IFERROR(_xlfn.XLOOKUP(E177,[1]EMPREENDIMENTO!C:C,[1]EMPREENDIMENTO!E:E),"0")</f>
        <v>656</v>
      </c>
      <c r="J177" s="30">
        <v>46720</v>
      </c>
      <c r="K177" s="28" t="s">
        <v>33</v>
      </c>
      <c r="L177" s="31">
        <v>45840</v>
      </c>
      <c r="M177" s="32">
        <v>146168000</v>
      </c>
      <c r="N177" s="32">
        <v>162156000</v>
      </c>
      <c r="O177" s="32">
        <v>161346000</v>
      </c>
      <c r="P177" s="28" t="s">
        <v>34</v>
      </c>
      <c r="Q177" s="28" t="s">
        <v>355</v>
      </c>
      <c r="R177" s="30">
        <v>45840</v>
      </c>
      <c r="S177" s="30">
        <v>45841</v>
      </c>
      <c r="T177" s="33"/>
      <c r="U177" s="34" t="str">
        <f>IFERROR(_xlfn.XLOOKUP(E177,[1]EMPREENDIMENTO!C:C,[1]EMPREENDIMENTO!D:D),"")</f>
        <v>744ea9b6-4524-eb11-9d23-005056856b6c</v>
      </c>
    </row>
    <row r="178" spans="1:21" hidden="1" x14ac:dyDescent="0.35">
      <c r="A178" s="28" t="str">
        <f>IFERROR(_xlfn.XLOOKUP(C178,[1]DIRETORIA!C:C,[1]DIRETORIA!A:A),"-")</f>
        <v>DIR. COM E CRED SUL</v>
      </c>
      <c r="B178" s="28" t="str">
        <f>IFERROR(_xlfn.XLOOKUP(C178,[1]DIRETORIA!C:C,[1]DIRETORIA!B:B),"-")</f>
        <v>GST. COM RS SUL</v>
      </c>
      <c r="C178" s="28" t="str">
        <f>IFERROR(_xlfn.XLOOKUP(E178,[1]EMPREENDIMENTO!C:C,[1]EMPREENDIMENTO!A:A),"-")</f>
        <v>VIAMÃO</v>
      </c>
      <c r="D178" s="28" t="s">
        <v>29</v>
      </c>
      <c r="E178" s="28" t="s">
        <v>353</v>
      </c>
      <c r="F178" s="28" t="s">
        <v>36</v>
      </c>
      <c r="G178" s="28" t="s">
        <v>356</v>
      </c>
      <c r="H178" s="28">
        <v>30397</v>
      </c>
      <c r="I178" s="29">
        <f>IFERROR(_xlfn.XLOOKUP(E178,[1]EMPREENDIMENTO!C:C,[1]EMPREENDIMENTO!E:E),"0")</f>
        <v>656</v>
      </c>
      <c r="J178" s="30">
        <v>46720</v>
      </c>
      <c r="K178" s="28" t="s">
        <v>33</v>
      </c>
      <c r="L178" s="31">
        <v>45840</v>
      </c>
      <c r="M178" s="32">
        <v>146168000</v>
      </c>
      <c r="N178" s="32">
        <v>162156000</v>
      </c>
      <c r="O178" s="32">
        <v>161346000</v>
      </c>
      <c r="P178" s="28" t="s">
        <v>34</v>
      </c>
      <c r="Q178" s="28" t="s">
        <v>355</v>
      </c>
      <c r="R178" s="30">
        <v>45840</v>
      </c>
      <c r="S178" s="30">
        <v>45841</v>
      </c>
      <c r="T178" s="33"/>
      <c r="U178" s="34" t="str">
        <f>IFERROR(_xlfn.XLOOKUP(E178,[1]EMPREENDIMENTO!C:C,[1]EMPREENDIMENTO!D:D),"")</f>
        <v>744ea9b6-4524-eb11-9d23-005056856b6c</v>
      </c>
    </row>
    <row r="179" spans="1:21" hidden="1" x14ac:dyDescent="0.35">
      <c r="A179" s="28" t="str">
        <f>IFERROR(_xlfn.XLOOKUP(C179,[1]DIRETORIA!C:C,[1]DIRETORIA!A:A),"-")</f>
        <v>DIR. COM E CRED SUL</v>
      </c>
      <c r="B179" s="28" t="str">
        <f>IFERROR(_xlfn.XLOOKUP(C179,[1]DIRETORIA!C:C,[1]DIRETORIA!B:B),"-")</f>
        <v>GST. COM RS SUL</v>
      </c>
      <c r="C179" s="28" t="str">
        <f>IFERROR(_xlfn.XLOOKUP(E179,[1]EMPREENDIMENTO!C:C,[1]EMPREENDIMENTO!A:A),"-")</f>
        <v>VIAMÃO</v>
      </c>
      <c r="D179" s="28" t="s">
        <v>29</v>
      </c>
      <c r="E179" s="28" t="s">
        <v>353</v>
      </c>
      <c r="F179" s="28" t="s">
        <v>39</v>
      </c>
      <c r="G179" s="28" t="s">
        <v>357</v>
      </c>
      <c r="H179" s="28">
        <v>30393</v>
      </c>
      <c r="I179" s="29">
        <f>IFERROR(_xlfn.XLOOKUP(E179,[1]EMPREENDIMENTO!C:C,[1]EMPREENDIMENTO!E:E),"0")</f>
        <v>656</v>
      </c>
      <c r="J179" s="30">
        <v>46720</v>
      </c>
      <c r="K179" s="28" t="s">
        <v>33</v>
      </c>
      <c r="L179" s="31">
        <v>45840</v>
      </c>
      <c r="M179" s="32">
        <v>146168000</v>
      </c>
      <c r="N179" s="32">
        <v>162156000</v>
      </c>
      <c r="O179" s="32">
        <v>161346000</v>
      </c>
      <c r="P179" s="28" t="s">
        <v>34</v>
      </c>
      <c r="Q179" s="28" t="s">
        <v>355</v>
      </c>
      <c r="R179" s="30">
        <v>45840</v>
      </c>
      <c r="S179" s="30">
        <v>45841</v>
      </c>
      <c r="T179" s="33"/>
      <c r="U179" s="34" t="str">
        <f>IFERROR(_xlfn.XLOOKUP(E179,[1]EMPREENDIMENTO!C:C,[1]EMPREENDIMENTO!D:D),"")</f>
        <v>744ea9b6-4524-eb11-9d23-005056856b6c</v>
      </c>
    </row>
    <row r="180" spans="1:21" hidden="1" x14ac:dyDescent="0.35">
      <c r="A180" s="28" t="str">
        <f>IFERROR(_xlfn.XLOOKUP(C180,[1]DIRETORIA!C:C,[1]DIRETORIA!A:A),"-")</f>
        <v>DIR. COM E CRED SUL</v>
      </c>
      <c r="B180" s="28" t="str">
        <f>IFERROR(_xlfn.XLOOKUP(C180,[1]DIRETORIA!C:C,[1]DIRETORIA!B:B),"-")</f>
        <v>GST. COM RS SUL</v>
      </c>
      <c r="C180" s="28" t="str">
        <f>IFERROR(_xlfn.XLOOKUP(E180,[1]EMPREENDIMENTO!C:C,[1]EMPREENDIMENTO!A:A),"-")</f>
        <v>VIAMÃO</v>
      </c>
      <c r="D180" s="28" t="s">
        <v>29</v>
      </c>
      <c r="E180" s="28" t="s">
        <v>353</v>
      </c>
      <c r="F180" s="28" t="s">
        <v>50</v>
      </c>
      <c r="G180" s="28" t="s">
        <v>358</v>
      </c>
      <c r="H180" s="28">
        <v>30388</v>
      </c>
      <c r="I180" s="29">
        <f>IFERROR(_xlfn.XLOOKUP(E180,[1]EMPREENDIMENTO!C:C,[1]EMPREENDIMENTO!E:E),"0")</f>
        <v>656</v>
      </c>
      <c r="J180" s="30">
        <v>46720</v>
      </c>
      <c r="K180" s="28" t="s">
        <v>33</v>
      </c>
      <c r="L180" s="31">
        <v>45840</v>
      </c>
      <c r="M180" s="32">
        <v>146168000</v>
      </c>
      <c r="N180" s="32">
        <v>162156000</v>
      </c>
      <c r="O180" s="32">
        <v>161346000</v>
      </c>
      <c r="P180" s="28" t="s">
        <v>34</v>
      </c>
      <c r="Q180" s="28" t="s">
        <v>355</v>
      </c>
      <c r="R180" s="30">
        <v>45840</v>
      </c>
      <c r="S180" s="30">
        <v>45841</v>
      </c>
      <c r="T180" s="33"/>
      <c r="U180" s="34" t="str">
        <f>IFERROR(_xlfn.XLOOKUP(E180,[1]EMPREENDIMENTO!C:C,[1]EMPREENDIMENTO!D:D),"")</f>
        <v>744ea9b6-4524-eb11-9d23-005056856b6c</v>
      </c>
    </row>
    <row r="181" spans="1:21" hidden="1" x14ac:dyDescent="0.35">
      <c r="A181" s="28" t="str">
        <f>IFERROR(_xlfn.XLOOKUP(C181,[1]DIRETORIA!C:C,[1]DIRETORIA!A:A),"-")</f>
        <v>DIR. COM E CRED SUL</v>
      </c>
      <c r="B181" s="28" t="str">
        <f>IFERROR(_xlfn.XLOOKUP(C181,[1]DIRETORIA!C:C,[1]DIRETORIA!B:B),"-")</f>
        <v>GST. COM RS SUL</v>
      </c>
      <c r="C181" s="28" t="str">
        <f>IFERROR(_xlfn.XLOOKUP(E181,[1]EMPREENDIMENTO!C:C,[1]EMPREENDIMENTO!A:A),"-")</f>
        <v>VIAMÃO</v>
      </c>
      <c r="D181" s="28" t="s">
        <v>29</v>
      </c>
      <c r="E181" s="28" t="s">
        <v>353</v>
      </c>
      <c r="F181" s="28" t="s">
        <v>57</v>
      </c>
      <c r="G181" s="28" t="s">
        <v>359</v>
      </c>
      <c r="H181" s="28">
        <v>30383</v>
      </c>
      <c r="I181" s="29">
        <f>IFERROR(_xlfn.XLOOKUP(E181,[1]EMPREENDIMENTO!C:C,[1]EMPREENDIMENTO!E:E),"0")</f>
        <v>656</v>
      </c>
      <c r="J181" s="30">
        <v>46720</v>
      </c>
      <c r="K181" s="28" t="s">
        <v>33</v>
      </c>
      <c r="L181" s="31">
        <v>45840</v>
      </c>
      <c r="M181" s="32">
        <v>146168000</v>
      </c>
      <c r="N181" s="32">
        <v>162156000</v>
      </c>
      <c r="O181" s="32">
        <v>161346000</v>
      </c>
      <c r="P181" s="28" t="s">
        <v>34</v>
      </c>
      <c r="Q181" s="28" t="s">
        <v>355</v>
      </c>
      <c r="R181" s="30">
        <v>45840</v>
      </c>
      <c r="S181" s="30">
        <v>45841</v>
      </c>
      <c r="T181" s="33"/>
      <c r="U181" s="34" t="str">
        <f>IFERROR(_xlfn.XLOOKUP(E181,[1]EMPREENDIMENTO!C:C,[1]EMPREENDIMENTO!D:D),"")</f>
        <v>744ea9b6-4524-eb11-9d23-005056856b6c</v>
      </c>
    </row>
    <row r="182" spans="1:21" hidden="1" x14ac:dyDescent="0.35">
      <c r="A182" s="28" t="str">
        <f>IFERROR(_xlfn.XLOOKUP(C182,[1]DIRETORIA!C:C,[1]DIRETORIA!A:A),"-")</f>
        <v>DIR. COM E CRED SUL</v>
      </c>
      <c r="B182" s="28" t="str">
        <f>IFERROR(_xlfn.XLOOKUP(C182,[1]DIRETORIA!C:C,[1]DIRETORIA!B:B),"-")</f>
        <v>GST. COM RS SUL</v>
      </c>
      <c r="C182" s="28" t="str">
        <f>IFERROR(_xlfn.XLOOKUP(E182,[1]EMPREENDIMENTO!C:C,[1]EMPREENDIMENTO!A:A),"-")</f>
        <v>VIAMÃO</v>
      </c>
      <c r="D182" s="28" t="s">
        <v>29</v>
      </c>
      <c r="E182" s="28" t="s">
        <v>353</v>
      </c>
      <c r="F182" s="28" t="s">
        <v>360</v>
      </c>
      <c r="G182" s="28" t="s">
        <v>361</v>
      </c>
      <c r="H182" s="28">
        <v>30381</v>
      </c>
      <c r="I182" s="29">
        <f>IFERROR(_xlfn.XLOOKUP(E182,[1]EMPREENDIMENTO!C:C,[1]EMPREENDIMENTO!E:E),"0")</f>
        <v>656</v>
      </c>
      <c r="J182" s="30">
        <v>46720</v>
      </c>
      <c r="K182" s="28" t="s">
        <v>33</v>
      </c>
      <c r="L182" s="31">
        <v>45840</v>
      </c>
      <c r="M182" s="32">
        <v>146168000</v>
      </c>
      <c r="N182" s="32">
        <v>162156000</v>
      </c>
      <c r="O182" s="32">
        <v>161346000</v>
      </c>
      <c r="P182" s="28" t="s">
        <v>34</v>
      </c>
      <c r="Q182" s="28" t="s">
        <v>355</v>
      </c>
      <c r="R182" s="30">
        <v>45840</v>
      </c>
      <c r="S182" s="30">
        <v>45841</v>
      </c>
      <c r="T182" s="33"/>
      <c r="U182" s="34" t="str">
        <f>IFERROR(_xlfn.XLOOKUP(E182,[1]EMPREENDIMENTO!C:C,[1]EMPREENDIMENTO!D:D),"")</f>
        <v>744ea9b6-4524-eb11-9d23-005056856b6c</v>
      </c>
    </row>
    <row r="183" spans="1:21" hidden="1" x14ac:dyDescent="0.35">
      <c r="A183" s="28" t="str">
        <f>IFERROR(_xlfn.XLOOKUP(C183,[1]DIRETORIA!C:C,[1]DIRETORIA!A:A),"-")</f>
        <v>DIR. COM E CRED NE</v>
      </c>
      <c r="B183" s="28" t="str">
        <f>IFERROR(_xlfn.XLOOKUP(C183,[1]DIRETORIA!C:C,[1]DIRETORIA!B:B),"-")</f>
        <v>GST. COM NE4 (CE)</v>
      </c>
      <c r="C183" s="28" t="str">
        <f>IFERROR(_xlfn.XLOOKUP(E183,[1]EMPREENDIMENTO!C:C,[1]EMPREENDIMENTO!A:A),"-")</f>
        <v>FORTALEZA</v>
      </c>
      <c r="D183" s="28" t="s">
        <v>85</v>
      </c>
      <c r="E183" s="28" t="s">
        <v>362</v>
      </c>
      <c r="F183" s="28" t="s">
        <v>42</v>
      </c>
      <c r="G183" s="28" t="s">
        <v>363</v>
      </c>
      <c r="H183" s="28">
        <v>35318</v>
      </c>
      <c r="I183" s="29">
        <f>IFERROR(_xlfn.XLOOKUP(E183,[1]EMPREENDIMENTO!C:C,[1]EMPREENDIMENTO!E:E),"0")</f>
        <v>0</v>
      </c>
      <c r="J183" s="30">
        <v>46402</v>
      </c>
      <c r="K183" s="28" t="s">
        <v>33</v>
      </c>
      <c r="L183" s="31">
        <v>44929</v>
      </c>
      <c r="M183" s="32">
        <v>25709125</v>
      </c>
      <c r="N183" s="32">
        <v>25709125</v>
      </c>
      <c r="O183" s="32">
        <v>24276800</v>
      </c>
      <c r="P183" s="28" t="s">
        <v>34</v>
      </c>
      <c r="Q183" s="28"/>
      <c r="R183" s="30"/>
      <c r="S183" s="30">
        <v>44930</v>
      </c>
      <c r="T183" s="33"/>
      <c r="U183" s="34" t="str">
        <f>IFERROR(_xlfn.XLOOKUP(E183,[1]EMPREENDIMENTO!C:C,[1]EMPREENDIMENTO!D:D),"")</f>
        <v>14A8CFBD-2AE3-EB11-930A-0050568AA20F</v>
      </c>
    </row>
    <row r="184" spans="1:21" x14ac:dyDescent="0.35">
      <c r="A184" s="28" t="str">
        <f>IFERROR(_xlfn.XLOOKUP(C184,[1]DIRETORIA!C:C,[1]DIRETORIA!A:A),"-")</f>
        <v>DIR. COM E CRED SPI CP</v>
      </c>
      <c r="B184" s="28" t="str">
        <f>IFERROR(_xlfn.XLOOKUP(C184,[1]DIRETORIA!C:C,[1]DIRETORIA!B:B),"-")</f>
        <v>GST. COM CP1</v>
      </c>
      <c r="C184" s="28" t="str">
        <f>IFERROR(_xlfn.XLOOKUP(E184,[1]EMPREENDIMENTO!C:C,[1]EMPREENDIMENTO!A:A),"-")</f>
        <v>CAMPINAS</v>
      </c>
      <c r="D184" s="28" t="s">
        <v>29</v>
      </c>
      <c r="E184" s="28" t="s">
        <v>364</v>
      </c>
      <c r="F184" s="28" t="s">
        <v>42</v>
      </c>
      <c r="G184" s="28" t="s">
        <v>365</v>
      </c>
      <c r="H184" s="28">
        <v>33489</v>
      </c>
      <c r="I184" s="29">
        <f>IFERROR(_xlfn.XLOOKUP(E184,[1]EMPREENDIMENTO!C:C,[1]EMPREENDIMENTO!E:E),"0")</f>
        <v>192</v>
      </c>
      <c r="J184" s="30">
        <v>46140</v>
      </c>
      <c r="K184" s="28" t="s">
        <v>33</v>
      </c>
      <c r="L184" s="31">
        <v>45643</v>
      </c>
      <c r="M184" s="32">
        <v>52217600</v>
      </c>
      <c r="N184" s="32">
        <v>61225800</v>
      </c>
      <c r="O184" s="32">
        <v>56761600</v>
      </c>
      <c r="P184" s="28" t="s">
        <v>34</v>
      </c>
      <c r="Q184" s="28" t="s">
        <v>366</v>
      </c>
      <c r="R184" s="30">
        <v>45661</v>
      </c>
      <c r="S184" s="30">
        <v>45643</v>
      </c>
      <c r="T184" s="33"/>
      <c r="U184" s="34" t="str">
        <f>IFERROR(_xlfn.XLOOKUP(E184,[1]EMPREENDIMENTO!C:C,[1]EMPREENDIMENTO!D:D),"")</f>
        <v>ae4d3843-bc40-ec11-b501-005056856b6c</v>
      </c>
    </row>
    <row r="185" spans="1:21" x14ac:dyDescent="0.35">
      <c r="A185" s="28" t="str">
        <f>IFERROR(_xlfn.XLOOKUP(C185,[1]DIRETORIA!C:C,[1]DIRETORIA!A:A),"-")</f>
        <v>DIR. COM E CRED SPI</v>
      </c>
      <c r="B185" s="28" t="str">
        <f>IFERROR(_xlfn.XLOOKUP(C185,[1]DIRETORIA!C:C,[1]DIRETORIA!B:B),"-")</f>
        <v>GST. COM OP 2</v>
      </c>
      <c r="C185" s="28" t="str">
        <f>IFERROR(_xlfn.XLOOKUP(E185,[1]EMPREENDIMENTO!C:C,[1]EMPREENDIMENTO!A:A),"-")</f>
        <v>PRESIDENTE PRUDENTE</v>
      </c>
      <c r="D185" s="28" t="s">
        <v>29</v>
      </c>
      <c r="E185" s="28" t="s">
        <v>367</v>
      </c>
      <c r="F185" s="28" t="s">
        <v>31</v>
      </c>
      <c r="G185" s="28" t="s">
        <v>368</v>
      </c>
      <c r="H185" s="28">
        <v>33383</v>
      </c>
      <c r="I185" s="29">
        <f>IFERROR(_xlfn.XLOOKUP(E185,[1]EMPREENDIMENTO!C:C,[1]EMPREENDIMENTO!E:E),"0")</f>
        <v>500</v>
      </c>
      <c r="J185" s="30">
        <v>46691</v>
      </c>
      <c r="K185" s="28" t="s">
        <v>33</v>
      </c>
      <c r="L185" s="31">
        <v>45670</v>
      </c>
      <c r="M185" s="32">
        <v>107076200</v>
      </c>
      <c r="N185" s="32">
        <v>131136600</v>
      </c>
      <c r="O185" s="32">
        <v>115428600</v>
      </c>
      <c r="P185" s="28" t="s">
        <v>34</v>
      </c>
      <c r="Q185" s="28" t="s">
        <v>369</v>
      </c>
      <c r="R185" s="30">
        <v>45694</v>
      </c>
      <c r="S185" s="30">
        <v>45671</v>
      </c>
      <c r="T185" s="33"/>
      <c r="U185" s="34" t="str">
        <f>IFERROR(_xlfn.XLOOKUP(E185,[1]EMPREENDIMENTO!C:C,[1]EMPREENDIMENTO!D:D),"")</f>
        <v>a68541db-ac27-ec11-b2fe-005056895191</v>
      </c>
    </row>
    <row r="186" spans="1:21" x14ac:dyDescent="0.35">
      <c r="A186" s="28" t="str">
        <f>IFERROR(_xlfn.XLOOKUP(C186,[1]DIRETORIA!C:C,[1]DIRETORIA!A:A),"-")</f>
        <v>DIR. COM E CRED SPI</v>
      </c>
      <c r="B186" s="28" t="str">
        <f>IFERROR(_xlfn.XLOOKUP(C186,[1]DIRETORIA!C:C,[1]DIRETORIA!B:B),"-")</f>
        <v>GST. COM OP 2</v>
      </c>
      <c r="C186" s="28" t="str">
        <f>IFERROR(_xlfn.XLOOKUP(E186,[1]EMPREENDIMENTO!C:C,[1]EMPREENDIMENTO!A:A),"-")</f>
        <v>PRESIDENTE PRUDENTE</v>
      </c>
      <c r="D186" s="28" t="s">
        <v>29</v>
      </c>
      <c r="E186" s="28" t="s">
        <v>367</v>
      </c>
      <c r="F186" s="28" t="s">
        <v>36</v>
      </c>
      <c r="G186" s="28" t="s">
        <v>370</v>
      </c>
      <c r="H186" s="28">
        <v>42672</v>
      </c>
      <c r="I186" s="29">
        <f>IFERROR(_xlfn.XLOOKUP(E186,[1]EMPREENDIMENTO!C:C,[1]EMPREENDIMENTO!E:E),"0")</f>
        <v>500</v>
      </c>
      <c r="J186" s="30">
        <v>46691</v>
      </c>
      <c r="K186" s="28" t="s">
        <v>33</v>
      </c>
      <c r="L186" s="31">
        <v>45670</v>
      </c>
      <c r="M186" s="32">
        <v>107076200</v>
      </c>
      <c r="N186" s="32">
        <v>131136600</v>
      </c>
      <c r="O186" s="32">
        <v>115428600</v>
      </c>
      <c r="P186" s="28" t="s">
        <v>34</v>
      </c>
      <c r="Q186" s="28" t="s">
        <v>369</v>
      </c>
      <c r="R186" s="30">
        <v>45694</v>
      </c>
      <c r="S186" s="30">
        <v>45671</v>
      </c>
      <c r="T186" s="33"/>
      <c r="U186" s="34" t="str">
        <f>IFERROR(_xlfn.XLOOKUP(E186,[1]EMPREENDIMENTO!C:C,[1]EMPREENDIMENTO!D:D),"")</f>
        <v>a68541db-ac27-ec11-b2fe-005056895191</v>
      </c>
    </row>
    <row r="187" spans="1:21" x14ac:dyDescent="0.35">
      <c r="A187" s="28" t="str">
        <f>IFERROR(_xlfn.XLOOKUP(C187,[1]DIRETORIA!C:C,[1]DIRETORIA!A:A),"-")</f>
        <v>DIR. COM E CRED SPI</v>
      </c>
      <c r="B187" s="28" t="str">
        <f>IFERROR(_xlfn.XLOOKUP(C187,[1]DIRETORIA!C:C,[1]DIRETORIA!B:B),"-")</f>
        <v>GST. COM OP 2</v>
      </c>
      <c r="C187" s="28" t="str">
        <f>IFERROR(_xlfn.XLOOKUP(E187,[1]EMPREENDIMENTO!C:C,[1]EMPREENDIMENTO!A:A),"-")</f>
        <v>PRESIDENTE PRUDENTE</v>
      </c>
      <c r="D187" s="28" t="s">
        <v>29</v>
      </c>
      <c r="E187" s="28" t="s">
        <v>367</v>
      </c>
      <c r="F187" s="28" t="s">
        <v>39</v>
      </c>
      <c r="G187" s="28" t="s">
        <v>371</v>
      </c>
      <c r="H187" s="28">
        <v>35185</v>
      </c>
      <c r="I187" s="29">
        <f>IFERROR(_xlfn.XLOOKUP(E187,[1]EMPREENDIMENTO!C:C,[1]EMPREENDIMENTO!E:E),"0")</f>
        <v>500</v>
      </c>
      <c r="J187" s="30">
        <v>46691</v>
      </c>
      <c r="K187" s="28" t="s">
        <v>33</v>
      </c>
      <c r="L187" s="31">
        <v>45670</v>
      </c>
      <c r="M187" s="32">
        <v>107076200</v>
      </c>
      <c r="N187" s="32">
        <v>131136600</v>
      </c>
      <c r="O187" s="32">
        <v>115428600</v>
      </c>
      <c r="P187" s="28" t="s">
        <v>34</v>
      </c>
      <c r="Q187" s="28" t="s">
        <v>369</v>
      </c>
      <c r="R187" s="30">
        <v>45694</v>
      </c>
      <c r="S187" s="30">
        <v>45671</v>
      </c>
      <c r="T187" s="33"/>
      <c r="U187" s="34" t="str">
        <f>IFERROR(_xlfn.XLOOKUP(E187,[1]EMPREENDIMENTO!C:C,[1]EMPREENDIMENTO!D:D),"")</f>
        <v>a68541db-ac27-ec11-b2fe-005056895191</v>
      </c>
    </row>
    <row r="188" spans="1:21" x14ac:dyDescent="0.35">
      <c r="A188" s="28" t="str">
        <f>IFERROR(_xlfn.XLOOKUP(C188,[1]DIRETORIA!C:C,[1]DIRETORIA!A:A),"-")</f>
        <v>DIR. COM E CRED SPI</v>
      </c>
      <c r="B188" s="28" t="str">
        <f>IFERROR(_xlfn.XLOOKUP(C188,[1]DIRETORIA!C:C,[1]DIRETORIA!B:B),"-")</f>
        <v>GST. COM OP 2</v>
      </c>
      <c r="C188" s="28" t="str">
        <f>IFERROR(_xlfn.XLOOKUP(E188,[1]EMPREENDIMENTO!C:C,[1]EMPREENDIMENTO!A:A),"-")</f>
        <v>PRESIDENTE PRUDENTE</v>
      </c>
      <c r="D188" s="28" t="s">
        <v>29</v>
      </c>
      <c r="E188" s="28" t="s">
        <v>367</v>
      </c>
      <c r="F188" s="28" t="s">
        <v>50</v>
      </c>
      <c r="G188" s="28" t="s">
        <v>372</v>
      </c>
      <c r="H188" s="28">
        <v>50505</v>
      </c>
      <c r="I188" s="29">
        <f>IFERROR(_xlfn.XLOOKUP(E188,[1]EMPREENDIMENTO!C:C,[1]EMPREENDIMENTO!E:E),"0")</f>
        <v>500</v>
      </c>
      <c r="J188" s="30">
        <v>46691</v>
      </c>
      <c r="K188" s="28" t="s">
        <v>33</v>
      </c>
      <c r="L188" s="31">
        <v>45670</v>
      </c>
      <c r="M188" s="32">
        <v>107076200</v>
      </c>
      <c r="N188" s="32">
        <v>131136600</v>
      </c>
      <c r="O188" s="32">
        <v>115428600</v>
      </c>
      <c r="P188" s="28" t="s">
        <v>34</v>
      </c>
      <c r="Q188" s="28" t="s">
        <v>369</v>
      </c>
      <c r="R188" s="30">
        <v>45694</v>
      </c>
      <c r="S188" s="30">
        <v>45671</v>
      </c>
      <c r="T188" s="33"/>
      <c r="U188" s="34" t="str">
        <f>IFERROR(_xlfn.XLOOKUP(E188,[1]EMPREENDIMENTO!C:C,[1]EMPREENDIMENTO!D:D),"")</f>
        <v>a68541db-ac27-ec11-b2fe-005056895191</v>
      </c>
    </row>
    <row r="189" spans="1:21" x14ac:dyDescent="0.35">
      <c r="A189" s="28" t="str">
        <f>IFERROR(_xlfn.XLOOKUP(C189,[1]DIRETORIA!C:C,[1]DIRETORIA!A:A),"-")</f>
        <v>DIR. COM E CRED SPI</v>
      </c>
      <c r="B189" s="28" t="str">
        <f>IFERROR(_xlfn.XLOOKUP(C189,[1]DIRETORIA!C:C,[1]DIRETORIA!B:B),"-")</f>
        <v>GST. COM OP 1</v>
      </c>
      <c r="C189" s="28" t="str">
        <f>IFERROR(_xlfn.XLOOKUP(E189,[1]EMPREENDIMENTO!C:C,[1]EMPREENDIMENTO!A:A),"-")</f>
        <v>SÃO JOSÉ DO RIO PRETO</v>
      </c>
      <c r="D189" s="28" t="s">
        <v>29</v>
      </c>
      <c r="E189" s="28" t="s">
        <v>373</v>
      </c>
      <c r="F189" s="28" t="s">
        <v>31</v>
      </c>
      <c r="G189" s="28" t="s">
        <v>374</v>
      </c>
      <c r="H189" s="28">
        <v>35529</v>
      </c>
      <c r="I189" s="29">
        <f>IFERROR(_xlfn.XLOOKUP(E189,[1]EMPREENDIMENTO!C:C,[1]EMPREENDIMENTO!E:E),"0")</f>
        <v>460</v>
      </c>
      <c r="J189" s="30">
        <v>46629</v>
      </c>
      <c r="K189" s="28" t="s">
        <v>33</v>
      </c>
      <c r="L189" s="31">
        <v>46085</v>
      </c>
      <c r="M189" s="32">
        <v>141219600</v>
      </c>
      <c r="N189" s="32">
        <v>150580352</v>
      </c>
      <c r="O189" s="32">
        <v>144507792</v>
      </c>
      <c r="P189" s="28" t="s">
        <v>34</v>
      </c>
      <c r="Q189" s="28" t="s">
        <v>375</v>
      </c>
      <c r="R189" s="30">
        <v>46101</v>
      </c>
      <c r="S189" s="30">
        <v>46086</v>
      </c>
      <c r="T189" s="33"/>
      <c r="U189" s="34" t="str">
        <f>IFERROR(_xlfn.XLOOKUP(E189,[1]EMPREENDIMENTO!C:C,[1]EMPREENDIMENTO!D:D),"")</f>
        <v>4c974fec-62b1-e011-a2d4-001b78b9d994</v>
      </c>
    </row>
    <row r="190" spans="1:21" x14ac:dyDescent="0.35">
      <c r="A190" s="28" t="str">
        <f>IFERROR(_xlfn.XLOOKUP(C190,[1]DIRETORIA!C:C,[1]DIRETORIA!A:A),"-")</f>
        <v>DIR. COM E CRED SPI</v>
      </c>
      <c r="B190" s="28" t="str">
        <f>IFERROR(_xlfn.XLOOKUP(C190,[1]DIRETORIA!C:C,[1]DIRETORIA!B:B),"-")</f>
        <v>GST. COM OP 1</v>
      </c>
      <c r="C190" s="28" t="str">
        <f>IFERROR(_xlfn.XLOOKUP(E190,[1]EMPREENDIMENTO!C:C,[1]EMPREENDIMENTO!A:A),"-")</f>
        <v>SÃO JOSÉ DO RIO PRETO</v>
      </c>
      <c r="D190" s="28" t="s">
        <v>29</v>
      </c>
      <c r="E190" s="28" t="s">
        <v>373</v>
      </c>
      <c r="F190" s="28" t="s">
        <v>36</v>
      </c>
      <c r="G190" s="28" t="s">
        <v>376</v>
      </c>
      <c r="H190" s="28">
        <v>57130</v>
      </c>
      <c r="I190" s="29">
        <f>IFERROR(_xlfn.XLOOKUP(E190,[1]EMPREENDIMENTO!C:C,[1]EMPREENDIMENTO!E:E),"0")</f>
        <v>460</v>
      </c>
      <c r="J190" s="30">
        <v>46629</v>
      </c>
      <c r="K190" s="28" t="s">
        <v>33</v>
      </c>
      <c r="L190" s="31">
        <v>46085</v>
      </c>
      <c r="M190" s="32">
        <v>141219600</v>
      </c>
      <c r="N190" s="32">
        <v>150580352</v>
      </c>
      <c r="O190" s="32">
        <v>144507792</v>
      </c>
      <c r="P190" s="28" t="s">
        <v>34</v>
      </c>
      <c r="Q190" s="28" t="s">
        <v>375</v>
      </c>
      <c r="R190" s="30">
        <v>46101</v>
      </c>
      <c r="S190" s="30">
        <v>46086</v>
      </c>
      <c r="T190" s="33"/>
      <c r="U190" s="34" t="str">
        <f>IFERROR(_xlfn.XLOOKUP(E190,[1]EMPREENDIMENTO!C:C,[1]EMPREENDIMENTO!D:D),"")</f>
        <v>4c974fec-62b1-e011-a2d4-001b78b9d994</v>
      </c>
    </row>
    <row r="191" spans="1:21" x14ac:dyDescent="0.35">
      <c r="A191" s="28" t="str">
        <f>IFERROR(_xlfn.XLOOKUP(C191,[1]DIRETORIA!C:C,[1]DIRETORIA!A:A),"-")</f>
        <v>DIR. COM E CRED SPI</v>
      </c>
      <c r="B191" s="28" t="str">
        <f>IFERROR(_xlfn.XLOOKUP(C191,[1]DIRETORIA!C:C,[1]DIRETORIA!B:B),"-")</f>
        <v>GST. COM OP 1</v>
      </c>
      <c r="C191" s="28" t="str">
        <f>IFERROR(_xlfn.XLOOKUP(E191,[1]EMPREENDIMENTO!C:C,[1]EMPREENDIMENTO!A:A),"-")</f>
        <v>SÃO JOSÉ DO RIO PRETO</v>
      </c>
      <c r="D191" s="28" t="s">
        <v>85</v>
      </c>
      <c r="E191" s="28" t="s">
        <v>373</v>
      </c>
      <c r="F191" s="28" t="s">
        <v>39</v>
      </c>
      <c r="G191" s="28" t="s">
        <v>268</v>
      </c>
      <c r="H191" s="28" t="s">
        <v>268</v>
      </c>
      <c r="I191" s="29">
        <f>IFERROR(_xlfn.XLOOKUP(E191,[1]EMPREENDIMENTO!C:C,[1]EMPREENDIMENTO!E:E),"0")</f>
        <v>460</v>
      </c>
      <c r="J191" s="30">
        <v>46629</v>
      </c>
      <c r="K191" s="28" t="s">
        <v>33</v>
      </c>
      <c r="L191" s="31">
        <v>46085</v>
      </c>
      <c r="M191" s="32">
        <v>141219600</v>
      </c>
      <c r="N191" s="32">
        <v>150580352</v>
      </c>
      <c r="O191" s="32">
        <v>144507792</v>
      </c>
      <c r="P191" s="28" t="s">
        <v>34</v>
      </c>
      <c r="Q191" s="28" t="s">
        <v>375</v>
      </c>
      <c r="R191" s="30">
        <v>46101</v>
      </c>
      <c r="S191" s="30">
        <v>46086</v>
      </c>
      <c r="T191" s="33"/>
      <c r="U191" s="34" t="str">
        <f>IFERROR(_xlfn.XLOOKUP(E191,[1]EMPREENDIMENTO!C:C,[1]EMPREENDIMENTO!D:D),"")</f>
        <v>4c974fec-62b1-e011-a2d4-001b78b9d994</v>
      </c>
    </row>
    <row r="192" spans="1:21" x14ac:dyDescent="0.35">
      <c r="A192" s="28" t="str">
        <f>IFERROR(_xlfn.XLOOKUP(C192,[1]DIRETORIA!C:C,[1]DIRETORIA!A:A),"-")</f>
        <v>DIR. COM E CRED SPI CP</v>
      </c>
      <c r="B192" s="28" t="str">
        <f>IFERROR(_xlfn.XLOOKUP(C192,[1]DIRETORIA!C:C,[1]DIRETORIA!B:B),"-")</f>
        <v>GST. COM CP2</v>
      </c>
      <c r="C192" s="28" t="str">
        <f>IFERROR(_xlfn.XLOOKUP(E192,[1]EMPREENDIMENTO!C:C,[1]EMPREENDIMENTO!A:A),"-")</f>
        <v>SOROCABA</v>
      </c>
      <c r="D192" s="28" t="s">
        <v>85</v>
      </c>
      <c r="E192" s="28" t="s">
        <v>377</v>
      </c>
      <c r="F192" s="28" t="s">
        <v>42</v>
      </c>
      <c r="G192" s="28" t="s">
        <v>378</v>
      </c>
      <c r="H192" s="28">
        <v>33964</v>
      </c>
      <c r="I192" s="29">
        <f>IFERROR(_xlfn.XLOOKUP(E192,[1]EMPREENDIMENTO!C:C,[1]EMPREENDIMENTO!E:E),"0")</f>
        <v>464</v>
      </c>
      <c r="J192" s="30"/>
      <c r="K192" s="28" t="s">
        <v>33</v>
      </c>
      <c r="L192" s="31">
        <v>45084</v>
      </c>
      <c r="M192" s="32">
        <v>113674800</v>
      </c>
      <c r="N192" s="32">
        <v>125542000</v>
      </c>
      <c r="O192" s="32">
        <v>117262200</v>
      </c>
      <c r="P192" s="28" t="s">
        <v>34</v>
      </c>
      <c r="Q192" s="28">
        <v>365925</v>
      </c>
      <c r="R192" s="30">
        <v>45103</v>
      </c>
      <c r="S192" s="30">
        <v>45084</v>
      </c>
      <c r="T192" s="33"/>
      <c r="U192" s="34" t="str">
        <f>IFERROR(_xlfn.XLOOKUP(E192,[1]EMPREENDIMENTO!C:C,[1]EMPREENDIMENTO!D:D),"")</f>
        <v>8E7D62A8-E292-EB11-8159-005056856875</v>
      </c>
    </row>
    <row r="193" spans="1:21" hidden="1" x14ac:dyDescent="0.35">
      <c r="A193" s="28" t="str">
        <f>IFERROR(_xlfn.XLOOKUP(C193,[1]DIRETORIA!C:C,[1]DIRETORIA!A:A),"-")</f>
        <v>DIR. COM E CRED NE</v>
      </c>
      <c r="B193" s="28" t="str">
        <f>IFERROR(_xlfn.XLOOKUP(C193,[1]DIRETORIA!C:C,[1]DIRETORIA!B:B),"-")</f>
        <v>GST. COM NE 3 (SE+AL)</v>
      </c>
      <c r="C193" s="28" t="str">
        <f>IFERROR(_xlfn.XLOOKUP(E193,[1]EMPREENDIMENTO!C:C,[1]EMPREENDIMENTO!A:A),"-")</f>
        <v>MACEIÓ</v>
      </c>
      <c r="D193" s="28" t="s">
        <v>29</v>
      </c>
      <c r="E193" s="28" t="s">
        <v>379</v>
      </c>
      <c r="F193" s="28" t="s">
        <v>31</v>
      </c>
      <c r="G193" s="28" t="s">
        <v>380</v>
      </c>
      <c r="H193" s="28">
        <v>33245</v>
      </c>
      <c r="I193" s="29">
        <f>IFERROR(_xlfn.XLOOKUP(E193,[1]EMPREENDIMENTO!C:C,[1]EMPREENDIMENTO!E:E),"0")</f>
        <v>252</v>
      </c>
      <c r="J193" s="30">
        <v>46499</v>
      </c>
      <c r="K193" s="28" t="s">
        <v>164</v>
      </c>
      <c r="L193" s="31">
        <v>45805</v>
      </c>
      <c r="M193" s="32">
        <v>66605305</v>
      </c>
      <c r="N193" s="32">
        <v>71617640</v>
      </c>
      <c r="O193" s="32">
        <v>71139740</v>
      </c>
      <c r="P193" s="28" t="s">
        <v>34</v>
      </c>
      <c r="Q193" s="28" t="s">
        <v>381</v>
      </c>
      <c r="R193" s="30">
        <v>45807</v>
      </c>
      <c r="S193" s="30">
        <v>45805</v>
      </c>
      <c r="T193" s="33"/>
      <c r="U193" s="34" t="str">
        <f>IFERROR(_xlfn.XLOOKUP(E193,[1]EMPREENDIMENTO!C:C,[1]EMPREENDIMENTO!D:D),"")</f>
        <v>db0db717-dd3e-eb11-85d0-005056856875</v>
      </c>
    </row>
    <row r="194" spans="1:21" hidden="1" x14ac:dyDescent="0.35">
      <c r="A194" s="28" t="str">
        <f>IFERROR(_xlfn.XLOOKUP(C194,[1]DIRETORIA!C:C,[1]DIRETORIA!A:A),"-")</f>
        <v>DIR. COM E CRED NE</v>
      </c>
      <c r="B194" s="28" t="str">
        <f>IFERROR(_xlfn.XLOOKUP(C194,[1]DIRETORIA!C:C,[1]DIRETORIA!B:B),"-")</f>
        <v>GST. COM NE 3 (SE+AL)</v>
      </c>
      <c r="C194" s="28" t="str">
        <f>IFERROR(_xlfn.XLOOKUP(E194,[1]EMPREENDIMENTO!C:C,[1]EMPREENDIMENTO!A:A),"-")</f>
        <v>MACEIÓ</v>
      </c>
      <c r="D194" s="28" t="s">
        <v>29</v>
      </c>
      <c r="E194" s="28" t="s">
        <v>379</v>
      </c>
      <c r="F194" s="28" t="s">
        <v>36</v>
      </c>
      <c r="G194" s="28" t="s">
        <v>382</v>
      </c>
      <c r="H194" s="28">
        <v>37710</v>
      </c>
      <c r="I194" s="29">
        <f>IFERROR(_xlfn.XLOOKUP(E194,[1]EMPREENDIMENTO!C:C,[1]EMPREENDIMENTO!E:E),"0")</f>
        <v>252</v>
      </c>
      <c r="J194" s="30">
        <v>46499</v>
      </c>
      <c r="K194" s="28" t="s">
        <v>164</v>
      </c>
      <c r="L194" s="31">
        <v>45805</v>
      </c>
      <c r="M194" s="32">
        <v>66605305</v>
      </c>
      <c r="N194" s="32">
        <v>71617640</v>
      </c>
      <c r="O194" s="32">
        <v>71139740</v>
      </c>
      <c r="P194" s="28" t="s">
        <v>34</v>
      </c>
      <c r="Q194" s="28" t="s">
        <v>381</v>
      </c>
      <c r="R194" s="30">
        <v>45807</v>
      </c>
      <c r="S194" s="30">
        <v>45805</v>
      </c>
      <c r="T194" s="33"/>
      <c r="U194" s="34" t="str">
        <f>IFERROR(_xlfn.XLOOKUP(E194,[1]EMPREENDIMENTO!C:C,[1]EMPREENDIMENTO!D:D),"")</f>
        <v>db0db717-dd3e-eb11-85d0-005056856875</v>
      </c>
    </row>
    <row r="195" spans="1:21" hidden="1" x14ac:dyDescent="0.35">
      <c r="A195" s="28" t="str">
        <f>IFERROR(_xlfn.XLOOKUP(C195,[1]DIRETORIA!C:C,[1]DIRETORIA!A:A),"-")</f>
        <v>DIR. COM E CRED RJ</v>
      </c>
      <c r="B195" s="28" t="str">
        <f>IFERROR(_xlfn.XLOOKUP(C195,[1]DIRETORIA!C:C,[1]DIRETORIA!B:B),"-")</f>
        <v>GST. COM RJ1</v>
      </c>
      <c r="C195" s="28" t="str">
        <f>IFERROR(_xlfn.XLOOKUP(E195,[1]EMPREENDIMENTO!C:C,[1]EMPREENDIMENTO!A:A),"-")</f>
        <v>RIO DE JANEIRO</v>
      </c>
      <c r="D195" s="28" t="s">
        <v>29</v>
      </c>
      <c r="E195" s="28" t="s">
        <v>383</v>
      </c>
      <c r="F195" s="28" t="s">
        <v>31</v>
      </c>
      <c r="G195" s="28" t="s">
        <v>384</v>
      </c>
      <c r="H195" s="28">
        <v>35601</v>
      </c>
      <c r="I195" s="29">
        <f>IFERROR(_xlfn.XLOOKUP(E195,[1]EMPREENDIMENTO!C:C,[1]EMPREENDIMENTO!E:E),"0")</f>
        <v>500</v>
      </c>
      <c r="J195" s="30">
        <v>46771</v>
      </c>
      <c r="K195" s="28" t="s">
        <v>33</v>
      </c>
      <c r="L195" s="31">
        <v>46234</v>
      </c>
      <c r="M195" s="32">
        <v>145618020</v>
      </c>
      <c r="N195" s="32">
        <v>151866209</v>
      </c>
      <c r="O195" s="32">
        <v>151242839</v>
      </c>
      <c r="P195" s="28" t="s">
        <v>34</v>
      </c>
      <c r="Q195" s="28" t="s">
        <v>385</v>
      </c>
      <c r="R195" s="30">
        <v>46234</v>
      </c>
      <c r="S195" s="30">
        <v>46100</v>
      </c>
      <c r="T195" s="33"/>
      <c r="U195" s="34" t="str">
        <f>IFERROR(_xlfn.XLOOKUP(E195,[1]EMPREENDIMENTO!C:C,[1]EMPREENDIMENTO!D:D),"")</f>
        <v>64aa980b-1456-e911-b8f1-009c02b0cb58</v>
      </c>
    </row>
    <row r="196" spans="1:21" hidden="1" x14ac:dyDescent="0.35">
      <c r="A196" s="28" t="str">
        <f>IFERROR(_xlfn.XLOOKUP(C196,[1]DIRETORIA!C:C,[1]DIRETORIA!A:A),"-")</f>
        <v>DIR. COM E CRED RJ</v>
      </c>
      <c r="B196" s="28" t="str">
        <f>IFERROR(_xlfn.XLOOKUP(C196,[1]DIRETORIA!C:C,[1]DIRETORIA!B:B),"-")</f>
        <v>GST. COM RJ1</v>
      </c>
      <c r="C196" s="28" t="str">
        <f>IFERROR(_xlfn.XLOOKUP(E196,[1]EMPREENDIMENTO!C:C,[1]EMPREENDIMENTO!A:A),"-")</f>
        <v>RIO DE JANEIRO</v>
      </c>
      <c r="D196" s="28" t="s">
        <v>29</v>
      </c>
      <c r="E196" s="28" t="s">
        <v>383</v>
      </c>
      <c r="F196" s="28" t="s">
        <v>36</v>
      </c>
      <c r="G196" s="28" t="s">
        <v>386</v>
      </c>
      <c r="H196" s="28">
        <v>40919</v>
      </c>
      <c r="I196" s="29">
        <f>IFERROR(_xlfn.XLOOKUP(E196,[1]EMPREENDIMENTO!C:C,[1]EMPREENDIMENTO!E:E),"0")</f>
        <v>500</v>
      </c>
      <c r="J196" s="30">
        <v>46771</v>
      </c>
      <c r="K196" s="28" t="s">
        <v>33</v>
      </c>
      <c r="L196" s="31">
        <v>46234</v>
      </c>
      <c r="M196" s="32">
        <v>145618020</v>
      </c>
      <c r="N196" s="32">
        <v>151866209</v>
      </c>
      <c r="O196" s="32">
        <v>151242839</v>
      </c>
      <c r="P196" s="28" t="s">
        <v>34</v>
      </c>
      <c r="Q196" s="28" t="s">
        <v>385</v>
      </c>
      <c r="R196" s="30">
        <v>46234</v>
      </c>
      <c r="S196" s="30">
        <v>46100</v>
      </c>
      <c r="T196" s="33"/>
      <c r="U196" s="34" t="str">
        <f>IFERROR(_xlfn.XLOOKUP(E196,[1]EMPREENDIMENTO!C:C,[1]EMPREENDIMENTO!D:D),"")</f>
        <v>64aa980b-1456-e911-b8f1-009c02b0cb58</v>
      </c>
    </row>
    <row r="197" spans="1:21" hidden="1" x14ac:dyDescent="0.35">
      <c r="A197" s="28" t="str">
        <f>IFERROR(_xlfn.XLOOKUP(C197,[1]DIRETORIA!C:C,[1]DIRETORIA!A:A),"-")</f>
        <v>DIR. COM E CRED RJ</v>
      </c>
      <c r="B197" s="28" t="str">
        <f>IFERROR(_xlfn.XLOOKUP(C197,[1]DIRETORIA!C:C,[1]DIRETORIA!B:B),"-")</f>
        <v>GST. COM RJ1</v>
      </c>
      <c r="C197" s="28" t="str">
        <f>IFERROR(_xlfn.XLOOKUP(E197,[1]EMPREENDIMENTO!C:C,[1]EMPREENDIMENTO!A:A),"-")</f>
        <v>RIO DE JANEIRO</v>
      </c>
      <c r="D197" s="28" t="s">
        <v>29</v>
      </c>
      <c r="E197" s="28" t="s">
        <v>383</v>
      </c>
      <c r="F197" s="28" t="s">
        <v>39</v>
      </c>
      <c r="G197" s="28" t="s">
        <v>387</v>
      </c>
      <c r="H197" s="28">
        <v>40920</v>
      </c>
      <c r="I197" s="29">
        <f>IFERROR(_xlfn.XLOOKUP(E197,[1]EMPREENDIMENTO!C:C,[1]EMPREENDIMENTO!E:E),"0")</f>
        <v>500</v>
      </c>
      <c r="J197" s="30">
        <v>46771</v>
      </c>
      <c r="K197" s="28" t="s">
        <v>33</v>
      </c>
      <c r="L197" s="31">
        <v>46234</v>
      </c>
      <c r="M197" s="32">
        <v>145618020</v>
      </c>
      <c r="N197" s="32">
        <v>151866209</v>
      </c>
      <c r="O197" s="32">
        <v>151242839</v>
      </c>
      <c r="P197" s="28" t="s">
        <v>34</v>
      </c>
      <c r="Q197" s="28" t="s">
        <v>385</v>
      </c>
      <c r="R197" s="30">
        <v>46234</v>
      </c>
      <c r="S197" s="30">
        <v>46100</v>
      </c>
      <c r="T197" s="33"/>
      <c r="U197" s="34" t="str">
        <f>IFERROR(_xlfn.XLOOKUP(E197,[1]EMPREENDIMENTO!C:C,[1]EMPREENDIMENTO!D:D),"")</f>
        <v>64aa980b-1456-e911-b8f1-009c02b0cb58</v>
      </c>
    </row>
    <row r="198" spans="1:21" hidden="1" x14ac:dyDescent="0.35">
      <c r="A198" s="28" t="str">
        <f>IFERROR(_xlfn.XLOOKUP(C198,[1]DIRETORIA!C:C,[1]DIRETORIA!A:A),"-")</f>
        <v>DIR. COM E CRED MG E ES</v>
      </c>
      <c r="B198" s="28" t="str">
        <f>IFERROR(_xlfn.XLOOKUP(C198,[1]DIRETORIA!C:C,[1]DIRETORIA!B:B),"-")</f>
        <v>GST. COM BH E INT</v>
      </c>
      <c r="C198" s="28" t="str">
        <f>IFERROR(_xlfn.XLOOKUP(E198,[1]EMPREENDIMENTO!C:C,[1]EMPREENDIMENTO!A:A),"-")</f>
        <v>BELO HORIZONTE</v>
      </c>
      <c r="D198" s="28" t="s">
        <v>29</v>
      </c>
      <c r="E198" s="28" t="s">
        <v>388</v>
      </c>
      <c r="F198" s="28" t="s">
        <v>31</v>
      </c>
      <c r="G198" s="28" t="s">
        <v>389</v>
      </c>
      <c r="H198" s="28">
        <v>33845</v>
      </c>
      <c r="I198" s="29">
        <f>IFERROR(_xlfn.XLOOKUP(E198,[1]EMPREENDIMENTO!C:C,[1]EMPREENDIMENTO!E:E),"0")</f>
        <v>104</v>
      </c>
      <c r="J198" s="30">
        <v>46098</v>
      </c>
      <c r="K198" s="28" t="s">
        <v>33</v>
      </c>
      <c r="L198" s="31">
        <v>46135</v>
      </c>
      <c r="M198" s="32">
        <v>76559783</v>
      </c>
      <c r="N198" s="32">
        <v>83143232</v>
      </c>
      <c r="O198" s="32">
        <v>78791250</v>
      </c>
      <c r="P198" s="28" t="s">
        <v>34</v>
      </c>
      <c r="Q198" s="28" t="s">
        <v>390</v>
      </c>
      <c r="R198" s="30">
        <v>46134</v>
      </c>
      <c r="S198" s="30">
        <v>46136</v>
      </c>
      <c r="T198" s="33"/>
      <c r="U198" s="34" t="str">
        <f>IFERROR(_xlfn.XLOOKUP(E198,[1]EMPREENDIMENTO!C:C,[1]EMPREENDIMENTO!D:D),"")</f>
        <v>5df0a076-c522-eb11-9d23-005056856b6c</v>
      </c>
    </row>
    <row r="199" spans="1:21" hidden="1" x14ac:dyDescent="0.35">
      <c r="A199" s="28" t="str">
        <f>IFERROR(_xlfn.XLOOKUP(C199,[1]DIRETORIA!C:C,[1]DIRETORIA!A:A),"-")</f>
        <v>DIR. COM E CRED MG E ES</v>
      </c>
      <c r="B199" s="28" t="str">
        <f>IFERROR(_xlfn.XLOOKUP(C199,[1]DIRETORIA!C:C,[1]DIRETORIA!B:B),"-")</f>
        <v>GST. COM BH E INT</v>
      </c>
      <c r="C199" s="28" t="str">
        <f>IFERROR(_xlfn.XLOOKUP(E199,[1]EMPREENDIMENTO!C:C,[1]EMPREENDIMENTO!A:A),"-")</f>
        <v>BELO HORIZONTE</v>
      </c>
      <c r="D199" s="28" t="s">
        <v>85</v>
      </c>
      <c r="E199" s="28" t="s">
        <v>388</v>
      </c>
      <c r="F199" s="28" t="s">
        <v>36</v>
      </c>
      <c r="G199" s="28" t="s">
        <v>391</v>
      </c>
      <c r="H199" s="28" t="s">
        <v>391</v>
      </c>
      <c r="I199" s="29">
        <f>IFERROR(_xlfn.XLOOKUP(E199,[1]EMPREENDIMENTO!C:C,[1]EMPREENDIMENTO!E:E),"0")</f>
        <v>104</v>
      </c>
      <c r="J199" s="30">
        <v>46098</v>
      </c>
      <c r="K199" s="28" t="s">
        <v>33</v>
      </c>
      <c r="L199" s="31">
        <v>46135</v>
      </c>
      <c r="M199" s="32">
        <v>76559783</v>
      </c>
      <c r="N199" s="32">
        <v>83143232</v>
      </c>
      <c r="O199" s="32">
        <v>78791250</v>
      </c>
      <c r="P199" s="28" t="s">
        <v>34</v>
      </c>
      <c r="Q199" s="28" t="s">
        <v>392</v>
      </c>
      <c r="R199" s="30">
        <v>46134</v>
      </c>
      <c r="S199" s="30">
        <v>46136</v>
      </c>
      <c r="T199" s="33"/>
      <c r="U199" s="34" t="str">
        <f>IFERROR(_xlfn.XLOOKUP(E199,[1]EMPREENDIMENTO!C:C,[1]EMPREENDIMENTO!D:D),"")</f>
        <v>5df0a076-c522-eb11-9d23-005056856b6c</v>
      </c>
    </row>
    <row r="200" spans="1:21" hidden="1" x14ac:dyDescent="0.35">
      <c r="A200" s="28" t="str">
        <f>IFERROR(_xlfn.XLOOKUP(C200,[1]DIRETORIA!C:C,[1]DIRETORIA!A:A),"-")</f>
        <v>DIR. COM E CRED CO E AM</v>
      </c>
      <c r="B200" s="28" t="str">
        <f>IFERROR(_xlfn.XLOOKUP(C200,[1]DIRETORIA!C:C,[1]DIRETORIA!B:B),"-")</f>
        <v>GST. COM DF</v>
      </c>
      <c r="C200" s="28" t="str">
        <f>IFERROR(_xlfn.XLOOKUP(E200,[1]EMPREENDIMENTO!C:C,[1]EMPREENDIMENTO!A:A),"-")</f>
        <v>GAMA</v>
      </c>
      <c r="D200" s="28" t="s">
        <v>29</v>
      </c>
      <c r="E200" s="28" t="s">
        <v>393</v>
      </c>
      <c r="F200" s="28" t="s">
        <v>42</v>
      </c>
      <c r="G200" s="28" t="s">
        <v>394</v>
      </c>
      <c r="H200" s="28">
        <v>41558</v>
      </c>
      <c r="I200" s="29">
        <f>IFERROR(_xlfn.XLOOKUP(E200,[1]EMPREENDIMENTO!C:C,[1]EMPREENDIMENTO!E:E),"0")</f>
        <v>208</v>
      </c>
      <c r="J200" s="30">
        <v>46598</v>
      </c>
      <c r="K200" s="28" t="s">
        <v>33</v>
      </c>
      <c r="L200" s="31">
        <v>46185</v>
      </c>
      <c r="M200" s="32">
        <v>69946634</v>
      </c>
      <c r="N200" s="32">
        <v>78266634</v>
      </c>
      <c r="O200" s="32">
        <v>75422000</v>
      </c>
      <c r="P200" s="28" t="s">
        <v>34</v>
      </c>
      <c r="Q200" s="28" t="s">
        <v>395</v>
      </c>
      <c r="R200" s="30">
        <v>46188</v>
      </c>
      <c r="S200" s="30">
        <v>46185</v>
      </c>
      <c r="T200" s="33"/>
      <c r="U200" s="34" t="str">
        <f>IFERROR(_xlfn.XLOOKUP(E200,[1]EMPREENDIMENTO!C:C,[1]EMPREENDIMENTO!D:D),"")</f>
        <v>8ed166bf-22f5-eb11-a30e-0050568a2e98</v>
      </c>
    </row>
    <row r="201" spans="1:21" hidden="1" x14ac:dyDescent="0.35">
      <c r="A201" s="28" t="str">
        <f>IFERROR(_xlfn.XLOOKUP(C201,[1]DIRETORIA!C:C,[1]DIRETORIA!A:A),"-")</f>
        <v>DIR. COM E CRED SUL</v>
      </c>
      <c r="B201" s="28" t="str">
        <f>IFERROR(_xlfn.XLOOKUP(C201,[1]DIRETORIA!C:C,[1]DIRETORIA!B:B),"-")</f>
        <v>GST. COM SC</v>
      </c>
      <c r="C201" s="28" t="str">
        <f>IFERROR(_xlfn.XLOOKUP(E201,[1]EMPREENDIMENTO!C:C,[1]EMPREENDIMENTO!A:A),"-")</f>
        <v>JOINVILLE</v>
      </c>
      <c r="D201" s="28" t="s">
        <v>29</v>
      </c>
      <c r="E201" s="28" t="s">
        <v>396</v>
      </c>
      <c r="F201" s="28" t="s">
        <v>31</v>
      </c>
      <c r="G201" s="28" t="s">
        <v>397</v>
      </c>
      <c r="H201" s="28">
        <v>20478</v>
      </c>
      <c r="I201" s="29">
        <f>IFERROR(_xlfn.XLOOKUP(E201,[1]EMPREENDIMENTO!C:C,[1]EMPREENDIMENTO!E:E),"0")</f>
        <v>504</v>
      </c>
      <c r="J201" s="30">
        <v>46076</v>
      </c>
      <c r="K201" s="28" t="s">
        <v>33</v>
      </c>
      <c r="L201" s="31">
        <v>45555</v>
      </c>
      <c r="M201" s="32">
        <v>113936000</v>
      </c>
      <c r="N201" s="32">
        <v>115911000</v>
      </c>
      <c r="O201" s="32">
        <v>115808000</v>
      </c>
      <c r="P201" s="28" t="s">
        <v>34</v>
      </c>
      <c r="Q201" s="28" t="s">
        <v>398</v>
      </c>
      <c r="R201" s="30">
        <v>45562</v>
      </c>
      <c r="S201" s="30">
        <v>45555</v>
      </c>
      <c r="T201" s="33"/>
      <c r="U201" s="34" t="str">
        <f>IFERROR(_xlfn.XLOOKUP(E201,[1]EMPREENDIMENTO!C:C,[1]EMPREENDIMENTO!D:D),"")</f>
        <v>37193803-c9f8-e811-b773-80c16e075108</v>
      </c>
    </row>
    <row r="202" spans="1:21" hidden="1" x14ac:dyDescent="0.35">
      <c r="A202" s="28" t="str">
        <f>IFERROR(_xlfn.XLOOKUP(C202,[1]DIRETORIA!C:C,[1]DIRETORIA!A:A),"-")</f>
        <v>DIR. COM E CRED SUL</v>
      </c>
      <c r="B202" s="28" t="str">
        <f>IFERROR(_xlfn.XLOOKUP(C202,[1]DIRETORIA!C:C,[1]DIRETORIA!B:B),"-")</f>
        <v>GST. COM SC</v>
      </c>
      <c r="C202" s="28" t="str">
        <f>IFERROR(_xlfn.XLOOKUP(E202,[1]EMPREENDIMENTO!C:C,[1]EMPREENDIMENTO!A:A),"-")</f>
        <v>JOINVILLE</v>
      </c>
      <c r="D202" s="28" t="s">
        <v>29</v>
      </c>
      <c r="E202" s="28" t="s">
        <v>396</v>
      </c>
      <c r="F202" s="28" t="s">
        <v>36</v>
      </c>
      <c r="G202" s="28" t="s">
        <v>399</v>
      </c>
      <c r="H202" s="28">
        <v>31672</v>
      </c>
      <c r="I202" s="29">
        <f>IFERROR(_xlfn.XLOOKUP(E202,[1]EMPREENDIMENTO!C:C,[1]EMPREENDIMENTO!E:E),"0")</f>
        <v>504</v>
      </c>
      <c r="J202" s="30">
        <v>46076</v>
      </c>
      <c r="K202" s="28" t="s">
        <v>33</v>
      </c>
      <c r="L202" s="31">
        <v>45555</v>
      </c>
      <c r="M202" s="32">
        <v>113936000</v>
      </c>
      <c r="N202" s="32">
        <v>115911000</v>
      </c>
      <c r="O202" s="32">
        <v>115808000</v>
      </c>
      <c r="P202" s="28" t="s">
        <v>34</v>
      </c>
      <c r="Q202" s="28" t="s">
        <v>398</v>
      </c>
      <c r="R202" s="30">
        <v>45562</v>
      </c>
      <c r="S202" s="30">
        <v>45555</v>
      </c>
      <c r="T202" s="33"/>
      <c r="U202" s="34" t="str">
        <f>IFERROR(_xlfn.XLOOKUP(E202,[1]EMPREENDIMENTO!C:C,[1]EMPREENDIMENTO!D:D),"")</f>
        <v>37193803-c9f8-e811-b773-80c16e075108</v>
      </c>
    </row>
    <row r="203" spans="1:21" hidden="1" x14ac:dyDescent="0.35">
      <c r="A203" s="28" t="str">
        <f>IFERROR(_xlfn.XLOOKUP(C203,[1]DIRETORIA!C:C,[1]DIRETORIA!A:A),"-")</f>
        <v>DIR. COM E CRED SUL</v>
      </c>
      <c r="B203" s="28" t="str">
        <f>IFERROR(_xlfn.XLOOKUP(C203,[1]DIRETORIA!C:C,[1]DIRETORIA!B:B),"-")</f>
        <v>GST. COM SC</v>
      </c>
      <c r="C203" s="28" t="str">
        <f>IFERROR(_xlfn.XLOOKUP(E203,[1]EMPREENDIMENTO!C:C,[1]EMPREENDIMENTO!A:A),"-")</f>
        <v>JOINVILLE</v>
      </c>
      <c r="D203" s="28" t="s">
        <v>29</v>
      </c>
      <c r="E203" s="28" t="s">
        <v>396</v>
      </c>
      <c r="F203" s="28" t="s">
        <v>39</v>
      </c>
      <c r="G203" s="28" t="s">
        <v>400</v>
      </c>
      <c r="H203" s="28">
        <v>26059</v>
      </c>
      <c r="I203" s="29">
        <f>IFERROR(_xlfn.XLOOKUP(E203,[1]EMPREENDIMENTO!C:C,[1]EMPREENDIMENTO!E:E),"0")</f>
        <v>504</v>
      </c>
      <c r="J203" s="30">
        <v>46076</v>
      </c>
      <c r="K203" s="28" t="s">
        <v>33</v>
      </c>
      <c r="L203" s="31">
        <v>45555</v>
      </c>
      <c r="M203" s="32">
        <v>113936000</v>
      </c>
      <c r="N203" s="32">
        <v>115911000</v>
      </c>
      <c r="O203" s="32">
        <v>115808000</v>
      </c>
      <c r="P203" s="28" t="s">
        <v>34</v>
      </c>
      <c r="Q203" s="28" t="s">
        <v>398</v>
      </c>
      <c r="R203" s="30">
        <v>45562</v>
      </c>
      <c r="S203" s="30">
        <v>45555</v>
      </c>
      <c r="T203" s="33"/>
      <c r="U203" s="34" t="str">
        <f>IFERROR(_xlfn.XLOOKUP(E203,[1]EMPREENDIMENTO!C:C,[1]EMPREENDIMENTO!D:D),"")</f>
        <v>37193803-c9f8-e811-b773-80c16e075108</v>
      </c>
    </row>
    <row r="204" spans="1:21" x14ac:dyDescent="0.35">
      <c r="A204" s="28" t="str">
        <f>IFERROR(_xlfn.XLOOKUP(C204,[1]DIRETORIA!C:C,[1]DIRETORIA!A:A),"-")</f>
        <v>DIR. COM E CRED SPI</v>
      </c>
      <c r="B204" s="28" t="str">
        <f>IFERROR(_xlfn.XLOOKUP(C204,[1]DIRETORIA!C:C,[1]DIRETORIA!B:B),"-")</f>
        <v>GST. COM OP 1</v>
      </c>
      <c r="C204" s="28" t="str">
        <f>IFERROR(_xlfn.XLOOKUP(E204,[1]EMPREENDIMENTO!C:C,[1]EMPREENDIMENTO!A:A),"-")</f>
        <v>CATANDUVA</v>
      </c>
      <c r="D204" s="28" t="s">
        <v>29</v>
      </c>
      <c r="E204" s="28" t="s">
        <v>401</v>
      </c>
      <c r="F204" s="28" t="s">
        <v>31</v>
      </c>
      <c r="G204" s="28" t="s">
        <v>402</v>
      </c>
      <c r="H204" s="28">
        <v>31047</v>
      </c>
      <c r="I204" s="29">
        <f>IFERROR(_xlfn.XLOOKUP(E204,[1]EMPREENDIMENTO!C:C,[1]EMPREENDIMENTO!E:E),"0")</f>
        <v>176</v>
      </c>
      <c r="J204" s="30">
        <v>46353</v>
      </c>
      <c r="K204" s="28" t="s">
        <v>33</v>
      </c>
      <c r="L204" s="31">
        <v>45463</v>
      </c>
      <c r="M204" s="32">
        <v>37158800</v>
      </c>
      <c r="N204" s="32">
        <v>40402400</v>
      </c>
      <c r="O204" s="32">
        <v>40402400</v>
      </c>
      <c r="P204" s="28" t="s">
        <v>34</v>
      </c>
      <c r="Q204" s="28" t="s">
        <v>403</v>
      </c>
      <c r="R204" s="30">
        <v>45467</v>
      </c>
      <c r="S204" s="30">
        <v>45463</v>
      </c>
      <c r="T204" s="33" t="s">
        <v>404</v>
      </c>
      <c r="U204" s="34" t="str">
        <f>IFERROR(_xlfn.XLOOKUP(E204,[1]EMPREENDIMENTO!C:C,[1]EMPREENDIMENTO!D:D),"")</f>
        <v>d082aa5a-9936-e911-b8f1-009c02b0cb58</v>
      </c>
    </row>
    <row r="205" spans="1:21" x14ac:dyDescent="0.35">
      <c r="A205" s="28" t="str">
        <f>IFERROR(_xlfn.XLOOKUP(C205,[1]DIRETORIA!C:C,[1]DIRETORIA!A:A),"-")</f>
        <v>DIR. COM E CRED SPI</v>
      </c>
      <c r="B205" s="28" t="str">
        <f>IFERROR(_xlfn.XLOOKUP(C205,[1]DIRETORIA!C:C,[1]DIRETORIA!B:B),"-")</f>
        <v>GST. COM OP 1</v>
      </c>
      <c r="C205" s="28" t="str">
        <f>IFERROR(_xlfn.XLOOKUP(E205,[1]EMPREENDIMENTO!C:C,[1]EMPREENDIMENTO!A:A),"-")</f>
        <v>CATANDUVA</v>
      </c>
      <c r="D205" s="28" t="s">
        <v>29</v>
      </c>
      <c r="E205" s="28" t="s">
        <v>401</v>
      </c>
      <c r="F205" s="28" t="s">
        <v>36</v>
      </c>
      <c r="G205" s="28" t="s">
        <v>405</v>
      </c>
      <c r="H205" s="28">
        <v>33875</v>
      </c>
      <c r="I205" s="29">
        <f>IFERROR(_xlfn.XLOOKUP(E205,[1]EMPREENDIMENTO!C:C,[1]EMPREENDIMENTO!E:E),"0")</f>
        <v>176</v>
      </c>
      <c r="J205" s="30">
        <v>46353</v>
      </c>
      <c r="K205" s="28" t="s">
        <v>33</v>
      </c>
      <c r="L205" s="31">
        <v>45463</v>
      </c>
      <c r="M205" s="32">
        <v>37158800</v>
      </c>
      <c r="N205" s="32">
        <v>40402400</v>
      </c>
      <c r="O205" s="32">
        <v>40402400</v>
      </c>
      <c r="P205" s="28" t="s">
        <v>34</v>
      </c>
      <c r="Q205" s="28" t="s">
        <v>403</v>
      </c>
      <c r="R205" s="30">
        <v>45467</v>
      </c>
      <c r="S205" s="30">
        <v>45463</v>
      </c>
      <c r="T205" s="33" t="s">
        <v>404</v>
      </c>
      <c r="U205" s="34" t="str">
        <f>IFERROR(_xlfn.XLOOKUP(E205,[1]EMPREENDIMENTO!C:C,[1]EMPREENDIMENTO!D:D),"")</f>
        <v>d082aa5a-9936-e911-b8f1-009c02b0cb58</v>
      </c>
    </row>
    <row r="206" spans="1:21" hidden="1" x14ac:dyDescent="0.35">
      <c r="A206" s="28" t="str">
        <f>IFERROR(_xlfn.XLOOKUP(C206,[1]DIRETORIA!C:C,[1]DIRETORIA!A:A),"-")</f>
        <v>DIR. COM E CRED NE</v>
      </c>
      <c r="B206" s="28" t="str">
        <f>IFERROR(_xlfn.XLOOKUP(C206,[1]DIRETORIA!C:C,[1]DIRETORIA!B:B),"-")</f>
        <v>GST. COM NE4 (CE)</v>
      </c>
      <c r="C206" s="28" t="str">
        <f>IFERROR(_xlfn.XLOOKUP(E206,[1]EMPREENDIMENTO!C:C,[1]EMPREENDIMENTO!A:A),"-")</f>
        <v>FORTALEZA</v>
      </c>
      <c r="D206" s="28" t="s">
        <v>29</v>
      </c>
      <c r="E206" s="28" t="s">
        <v>406</v>
      </c>
      <c r="F206" s="28" t="s">
        <v>31</v>
      </c>
      <c r="G206" s="28" t="s">
        <v>407</v>
      </c>
      <c r="H206" s="28">
        <v>31027</v>
      </c>
      <c r="I206" s="29">
        <f>IFERROR(_xlfn.XLOOKUP(E206,[1]EMPREENDIMENTO!C:C,[1]EMPREENDIMENTO!E:E),"0")</f>
        <v>240</v>
      </c>
      <c r="J206" s="30">
        <v>45587</v>
      </c>
      <c r="K206" s="28" t="s">
        <v>33</v>
      </c>
      <c r="L206" s="31">
        <v>45532</v>
      </c>
      <c r="M206" s="32">
        <v>45815900</v>
      </c>
      <c r="N206" s="32">
        <v>50397490</v>
      </c>
      <c r="O206" s="32">
        <v>50097100</v>
      </c>
      <c r="P206" s="28" t="s">
        <v>34</v>
      </c>
      <c r="Q206" s="28" t="s">
        <v>408</v>
      </c>
      <c r="R206" s="30">
        <v>45535</v>
      </c>
      <c r="S206" s="30">
        <v>45532</v>
      </c>
      <c r="T206" s="33"/>
      <c r="U206" s="34" t="str">
        <f>IFERROR(_xlfn.XLOOKUP(E206,[1]EMPREENDIMENTO!C:C,[1]EMPREENDIMENTO!D:D),"")</f>
        <v>90a55986-bb9e-ea11-beeb-005056856875</v>
      </c>
    </row>
    <row r="207" spans="1:21" hidden="1" x14ac:dyDescent="0.35">
      <c r="A207" s="28" t="str">
        <f>IFERROR(_xlfn.XLOOKUP(C207,[1]DIRETORIA!C:C,[1]DIRETORIA!A:A),"-")</f>
        <v>DIR. COM E CRED NE</v>
      </c>
      <c r="B207" s="28" t="str">
        <f>IFERROR(_xlfn.XLOOKUP(C207,[1]DIRETORIA!C:C,[1]DIRETORIA!B:B),"-")</f>
        <v>GST. COM NE4 (CE)</v>
      </c>
      <c r="C207" s="28" t="str">
        <f>IFERROR(_xlfn.XLOOKUP(E207,[1]EMPREENDIMENTO!C:C,[1]EMPREENDIMENTO!A:A),"-")</f>
        <v>FORTALEZA</v>
      </c>
      <c r="D207" s="28" t="s">
        <v>29</v>
      </c>
      <c r="E207" s="28" t="s">
        <v>406</v>
      </c>
      <c r="F207" s="28" t="s">
        <v>36</v>
      </c>
      <c r="G207" s="28" t="s">
        <v>409</v>
      </c>
      <c r="H207" s="28">
        <v>37273</v>
      </c>
      <c r="I207" s="29">
        <f>IFERROR(_xlfn.XLOOKUP(E207,[1]EMPREENDIMENTO!C:C,[1]EMPREENDIMENTO!E:E),"0")</f>
        <v>240</v>
      </c>
      <c r="J207" s="30">
        <v>45587</v>
      </c>
      <c r="K207" s="28" t="s">
        <v>33</v>
      </c>
      <c r="L207" s="31">
        <v>45532</v>
      </c>
      <c r="M207" s="32">
        <v>45815900</v>
      </c>
      <c r="N207" s="32">
        <v>50397490</v>
      </c>
      <c r="O207" s="32">
        <v>50097100</v>
      </c>
      <c r="P207" s="28" t="s">
        <v>34</v>
      </c>
      <c r="Q207" s="28" t="s">
        <v>408</v>
      </c>
      <c r="R207" s="30">
        <v>45535</v>
      </c>
      <c r="S207" s="30">
        <v>45532</v>
      </c>
      <c r="T207" s="33"/>
      <c r="U207" s="34" t="str">
        <f>IFERROR(_xlfn.XLOOKUP(E207,[1]EMPREENDIMENTO!C:C,[1]EMPREENDIMENTO!D:D),"")</f>
        <v>90a55986-bb9e-ea11-beeb-005056856875</v>
      </c>
    </row>
    <row r="208" spans="1:21" hidden="1" x14ac:dyDescent="0.35">
      <c r="A208" s="28" t="str">
        <f>IFERROR(_xlfn.XLOOKUP(C208,[1]DIRETORIA!C:C,[1]DIRETORIA!A:A),"-")</f>
        <v>DIR. COM E CRED RJ</v>
      </c>
      <c r="B208" s="28" t="str">
        <f>IFERROR(_xlfn.XLOOKUP(C208,[1]DIRETORIA!C:C,[1]DIRETORIA!B:B),"-")</f>
        <v>GST. COM SF</v>
      </c>
      <c r="C208" s="28" t="str">
        <f>IFERROR(_xlfn.XLOOKUP(E208,[1]EMPREENDIMENTO!C:C,[1]EMPREENDIMENTO!A:A),"-")</f>
        <v>JUIZ DE FORA</v>
      </c>
      <c r="D208" s="28" t="s">
        <v>29</v>
      </c>
      <c r="E208" s="28" t="s">
        <v>410</v>
      </c>
      <c r="F208" s="28" t="s">
        <v>31</v>
      </c>
      <c r="G208" s="28" t="s">
        <v>411</v>
      </c>
      <c r="H208" s="28">
        <v>33186</v>
      </c>
      <c r="I208" s="29">
        <f>IFERROR(_xlfn.XLOOKUP(E208,[1]EMPREENDIMENTO!C:C,[1]EMPREENDIMENTO!E:E),"0")</f>
        <v>272</v>
      </c>
      <c r="J208" s="30">
        <v>46364</v>
      </c>
      <c r="K208" s="28" t="s">
        <v>33</v>
      </c>
      <c r="L208" s="31">
        <v>45443</v>
      </c>
      <c r="M208" s="32">
        <v>62199768.039999999</v>
      </c>
      <c r="N208" s="32">
        <v>64028846.961219996</v>
      </c>
      <c r="O208" s="32">
        <v>61649210.689999998</v>
      </c>
      <c r="P208" s="28" t="s">
        <v>34</v>
      </c>
      <c r="Q208" s="28" t="s">
        <v>412</v>
      </c>
      <c r="R208" s="30">
        <v>45445</v>
      </c>
      <c r="S208" s="30">
        <v>45446</v>
      </c>
      <c r="T208" s="33"/>
      <c r="U208" s="34" t="str">
        <f>IFERROR(_xlfn.XLOOKUP(E208,[1]EMPREENDIMENTO!C:C,[1]EMPREENDIMENTO!D:D),"")</f>
        <v>3f421407-898a-e811-b96e-009c02b0cb58</v>
      </c>
    </row>
    <row r="209" spans="1:21" hidden="1" x14ac:dyDescent="0.35">
      <c r="A209" s="28" t="str">
        <f>IFERROR(_xlfn.XLOOKUP(C209,[1]DIRETORIA!C:C,[1]DIRETORIA!A:A),"-")</f>
        <v>DIR. COM E CRED RJ</v>
      </c>
      <c r="B209" s="28" t="str">
        <f>IFERROR(_xlfn.XLOOKUP(C209,[1]DIRETORIA!C:C,[1]DIRETORIA!B:B),"-")</f>
        <v>GST. COM SF</v>
      </c>
      <c r="C209" s="28" t="str">
        <f>IFERROR(_xlfn.XLOOKUP(E209,[1]EMPREENDIMENTO!C:C,[1]EMPREENDIMENTO!A:A),"-")</f>
        <v>JUIZ DE FORA</v>
      </c>
      <c r="D209" s="28" t="s">
        <v>29</v>
      </c>
      <c r="E209" s="28" t="s">
        <v>410</v>
      </c>
      <c r="F209" s="28" t="s">
        <v>36</v>
      </c>
      <c r="G209" s="28" t="s">
        <v>413</v>
      </c>
      <c r="H209" s="28">
        <v>35708</v>
      </c>
      <c r="I209" s="29">
        <f>IFERROR(_xlfn.XLOOKUP(E209,[1]EMPREENDIMENTO!C:C,[1]EMPREENDIMENTO!E:E),"0")</f>
        <v>272</v>
      </c>
      <c r="J209" s="30">
        <v>46364</v>
      </c>
      <c r="K209" s="28" t="s">
        <v>33</v>
      </c>
      <c r="L209" s="31">
        <v>45443</v>
      </c>
      <c r="M209" s="32">
        <v>62199768.039999999</v>
      </c>
      <c r="N209" s="32">
        <v>64028846.961219996</v>
      </c>
      <c r="O209" s="32">
        <v>61649210.689999998</v>
      </c>
      <c r="P209" s="28" t="s">
        <v>34</v>
      </c>
      <c r="Q209" s="28" t="s">
        <v>412</v>
      </c>
      <c r="R209" s="30">
        <v>45445</v>
      </c>
      <c r="S209" s="30">
        <v>45446</v>
      </c>
      <c r="T209" s="33"/>
      <c r="U209" s="34" t="str">
        <f>IFERROR(_xlfn.XLOOKUP(E209,[1]EMPREENDIMENTO!C:C,[1]EMPREENDIMENTO!D:D),"")</f>
        <v>3f421407-898a-e811-b96e-009c02b0cb58</v>
      </c>
    </row>
    <row r="210" spans="1:21" hidden="1" x14ac:dyDescent="0.35">
      <c r="A210" s="28" t="str">
        <f>IFERROR(_xlfn.XLOOKUP(C210,[1]DIRETORIA!C:C,[1]DIRETORIA!A:A),"-")</f>
        <v>DIR. COM E CRED RJ</v>
      </c>
      <c r="B210" s="28" t="str">
        <f>IFERROR(_xlfn.XLOOKUP(C210,[1]DIRETORIA!C:C,[1]DIRETORIA!B:B),"-")</f>
        <v>GST. COM SF</v>
      </c>
      <c r="C210" s="28" t="str">
        <f>IFERROR(_xlfn.XLOOKUP(E210,[1]EMPREENDIMENTO!C:C,[1]EMPREENDIMENTO!A:A),"-")</f>
        <v>JUIZ DE FORA</v>
      </c>
      <c r="D210" s="28" t="s">
        <v>29</v>
      </c>
      <c r="E210" s="28" t="s">
        <v>410</v>
      </c>
      <c r="F210" s="28" t="s">
        <v>39</v>
      </c>
      <c r="G210" s="28" t="s">
        <v>414</v>
      </c>
      <c r="H210" s="28">
        <v>35709</v>
      </c>
      <c r="I210" s="29">
        <f>IFERROR(_xlfn.XLOOKUP(E210,[1]EMPREENDIMENTO!C:C,[1]EMPREENDIMENTO!E:E),"0")</f>
        <v>272</v>
      </c>
      <c r="J210" s="30">
        <v>46364</v>
      </c>
      <c r="K210" s="28" t="s">
        <v>33</v>
      </c>
      <c r="L210" s="31">
        <v>45443</v>
      </c>
      <c r="M210" s="32">
        <v>62199768.039999999</v>
      </c>
      <c r="N210" s="32">
        <v>64028846.961219996</v>
      </c>
      <c r="O210" s="32">
        <v>61649210.689999998</v>
      </c>
      <c r="P210" s="28" t="s">
        <v>34</v>
      </c>
      <c r="Q210" s="28" t="s">
        <v>412</v>
      </c>
      <c r="R210" s="30">
        <v>45445</v>
      </c>
      <c r="S210" s="30">
        <v>45446</v>
      </c>
      <c r="T210" s="33"/>
      <c r="U210" s="34" t="str">
        <f>IFERROR(_xlfn.XLOOKUP(E210,[1]EMPREENDIMENTO!C:C,[1]EMPREENDIMENTO!D:D),"")</f>
        <v>3f421407-898a-e811-b96e-009c02b0cb58</v>
      </c>
    </row>
    <row r="211" spans="1:21" hidden="1" x14ac:dyDescent="0.35">
      <c r="A211" s="28" t="str">
        <f>IFERROR(_xlfn.XLOOKUP(C211,[1]DIRETORIA!C:C,[1]DIRETORIA!A:A),"-")</f>
        <v>DIR. COM E CRED SUL</v>
      </c>
      <c r="B211" s="28" t="str">
        <f>IFERROR(_xlfn.XLOOKUP(C211,[1]DIRETORIA!C:C,[1]DIRETORIA!B:B),"-")</f>
        <v>GST. COM SC</v>
      </c>
      <c r="C211" s="28" t="str">
        <f>IFERROR(_xlfn.XLOOKUP(E211,[1]EMPREENDIMENTO!C:C,[1]EMPREENDIMENTO!A:A),"-")</f>
        <v>BLUMENAU</v>
      </c>
      <c r="D211" s="28" t="s">
        <v>29</v>
      </c>
      <c r="E211" s="28" t="s">
        <v>415</v>
      </c>
      <c r="F211" s="28" t="s">
        <v>31</v>
      </c>
      <c r="G211" s="28" t="s">
        <v>416</v>
      </c>
      <c r="H211" s="28">
        <v>36469</v>
      </c>
      <c r="I211" s="29">
        <f>IFERROR(_xlfn.XLOOKUP(E211,[1]EMPREENDIMENTO!C:C,[1]EMPREENDIMENTO!E:E),"0")</f>
        <v>480</v>
      </c>
      <c r="J211" s="30">
        <v>46917</v>
      </c>
      <c r="K211" s="28" t="s">
        <v>33</v>
      </c>
      <c r="L211" s="31">
        <v>46114</v>
      </c>
      <c r="M211" s="32">
        <v>134859000</v>
      </c>
      <c r="N211" s="32">
        <v>140303000</v>
      </c>
      <c r="O211" s="32">
        <v>139743000</v>
      </c>
      <c r="P211" s="28" t="s">
        <v>34</v>
      </c>
      <c r="Q211" s="28" t="s">
        <v>417</v>
      </c>
      <c r="R211" s="30">
        <v>46132</v>
      </c>
      <c r="S211" s="30">
        <v>46114</v>
      </c>
      <c r="T211" s="33"/>
      <c r="U211" s="34" t="str">
        <f>IFERROR(_xlfn.XLOOKUP(E211,[1]EMPREENDIMENTO!C:C,[1]EMPREENDIMENTO!D:D),"")</f>
        <v>b40ce03c-c742-ea11-801d-005056856875</v>
      </c>
    </row>
    <row r="212" spans="1:21" hidden="1" x14ac:dyDescent="0.35">
      <c r="A212" s="28" t="str">
        <f>IFERROR(_xlfn.XLOOKUP(C212,[1]DIRETORIA!C:C,[1]DIRETORIA!A:A),"-")</f>
        <v>DIR. COM E CRED SUL</v>
      </c>
      <c r="B212" s="28" t="str">
        <f>IFERROR(_xlfn.XLOOKUP(C212,[1]DIRETORIA!C:C,[1]DIRETORIA!B:B),"-")</f>
        <v>GST. COM SC</v>
      </c>
      <c r="C212" s="28" t="str">
        <f>IFERROR(_xlfn.XLOOKUP(E212,[1]EMPREENDIMENTO!C:C,[1]EMPREENDIMENTO!A:A),"-")</f>
        <v>BLUMENAU</v>
      </c>
      <c r="D212" s="28" t="s">
        <v>29</v>
      </c>
      <c r="E212" s="28" t="s">
        <v>415</v>
      </c>
      <c r="F212" s="28" t="s">
        <v>36</v>
      </c>
      <c r="G212" s="28" t="s">
        <v>418</v>
      </c>
      <c r="H212" s="28">
        <v>54531</v>
      </c>
      <c r="I212" s="29">
        <f>IFERROR(_xlfn.XLOOKUP(E212,[1]EMPREENDIMENTO!C:C,[1]EMPREENDIMENTO!E:E),"0")</f>
        <v>480</v>
      </c>
      <c r="J212" s="30">
        <v>46917</v>
      </c>
      <c r="K212" s="28" t="s">
        <v>33</v>
      </c>
      <c r="L212" s="31">
        <v>46114</v>
      </c>
      <c r="M212" s="32">
        <v>134859000</v>
      </c>
      <c r="N212" s="32">
        <v>140303000</v>
      </c>
      <c r="O212" s="32">
        <v>139743000</v>
      </c>
      <c r="P212" s="28" t="s">
        <v>34</v>
      </c>
      <c r="Q212" s="28" t="s">
        <v>417</v>
      </c>
      <c r="R212" s="30">
        <v>46132</v>
      </c>
      <c r="S212" s="30">
        <v>46114</v>
      </c>
      <c r="T212" s="33"/>
      <c r="U212" s="34" t="str">
        <f>IFERROR(_xlfn.XLOOKUP(E212,[1]EMPREENDIMENTO!C:C,[1]EMPREENDIMENTO!D:D),"")</f>
        <v>b40ce03c-c742-ea11-801d-005056856875</v>
      </c>
    </row>
    <row r="213" spans="1:21" hidden="1" x14ac:dyDescent="0.35">
      <c r="A213" s="28" t="str">
        <f>IFERROR(_xlfn.XLOOKUP(C213,[1]DIRETORIA!C:C,[1]DIRETORIA!A:A),"-")</f>
        <v>DIR. COM E CRED SUL</v>
      </c>
      <c r="B213" s="28" t="str">
        <f>IFERROR(_xlfn.XLOOKUP(C213,[1]DIRETORIA!C:C,[1]DIRETORIA!B:B),"-")</f>
        <v>GST. COM SC</v>
      </c>
      <c r="C213" s="28" t="str">
        <f>IFERROR(_xlfn.XLOOKUP(E213,[1]EMPREENDIMENTO!C:C,[1]EMPREENDIMENTO!A:A),"-")</f>
        <v>BLUMENAU</v>
      </c>
      <c r="D213" s="28" t="s">
        <v>85</v>
      </c>
      <c r="E213" s="28" t="s">
        <v>415</v>
      </c>
      <c r="F213" s="28" t="s">
        <v>39</v>
      </c>
      <c r="G213" s="28" t="s">
        <v>419</v>
      </c>
      <c r="H213" s="28">
        <v>54532</v>
      </c>
      <c r="I213" s="29">
        <f>IFERROR(_xlfn.XLOOKUP(E213,[1]EMPREENDIMENTO!C:C,[1]EMPREENDIMENTO!E:E),"0")</f>
        <v>480</v>
      </c>
      <c r="J213" s="30">
        <v>46917</v>
      </c>
      <c r="K213" s="28" t="s">
        <v>33</v>
      </c>
      <c r="L213" s="31">
        <v>46114</v>
      </c>
      <c r="M213" s="32">
        <v>134859000</v>
      </c>
      <c r="N213" s="32">
        <v>140303000</v>
      </c>
      <c r="O213" s="32">
        <v>139743000</v>
      </c>
      <c r="P213" s="28" t="s">
        <v>34</v>
      </c>
      <c r="Q213" s="28" t="s">
        <v>417</v>
      </c>
      <c r="R213" s="30">
        <v>46132</v>
      </c>
      <c r="S213" s="30">
        <v>46114</v>
      </c>
      <c r="T213" s="33"/>
      <c r="U213" s="34" t="str">
        <f>IFERROR(_xlfn.XLOOKUP(E213,[1]EMPREENDIMENTO!C:C,[1]EMPREENDIMENTO!D:D),"")</f>
        <v>b40ce03c-c742-ea11-801d-005056856875</v>
      </c>
    </row>
    <row r="214" spans="1:21" hidden="1" x14ac:dyDescent="0.35">
      <c r="A214" s="28" t="str">
        <f>IFERROR(_xlfn.XLOOKUP(C214,[1]DIRETORIA!C:C,[1]DIRETORIA!A:A),"-")</f>
        <v>DIR. COM E CRED NE</v>
      </c>
      <c r="B214" s="28" t="str">
        <f>IFERROR(_xlfn.XLOOKUP(C214,[1]DIRETORIA!C:C,[1]DIRETORIA!B:B),"-")</f>
        <v>GST. COM NE 7 (PI+MA)</v>
      </c>
      <c r="C214" s="28" t="str">
        <f>IFERROR(_xlfn.XLOOKUP(E214,[1]EMPREENDIMENTO!C:C,[1]EMPREENDIMENTO!A:A),"-")</f>
        <v>SÃO LUÍS</v>
      </c>
      <c r="D214" s="28" t="s">
        <v>29</v>
      </c>
      <c r="E214" s="28" t="s">
        <v>420</v>
      </c>
      <c r="F214" s="28" t="s">
        <v>42</v>
      </c>
      <c r="G214" s="28" t="s">
        <v>421</v>
      </c>
      <c r="H214" s="28">
        <v>31129</v>
      </c>
      <c r="I214" s="29">
        <f>IFERROR(_xlfn.XLOOKUP(E214,[1]EMPREENDIMENTO!C:C,[1]EMPREENDIMENTO!E:E),"0")</f>
        <v>468</v>
      </c>
      <c r="J214" s="30">
        <v>46201</v>
      </c>
      <c r="K214" s="28" t="s">
        <v>33</v>
      </c>
      <c r="L214" s="31">
        <v>46226</v>
      </c>
      <c r="M214" s="32">
        <v>113808000</v>
      </c>
      <c r="N214" s="32">
        <v>148259160</v>
      </c>
      <c r="O214" s="32">
        <v>142602491</v>
      </c>
      <c r="P214" s="28" t="s">
        <v>34</v>
      </c>
      <c r="Q214" s="28" t="s">
        <v>422</v>
      </c>
      <c r="R214" s="30">
        <v>46225</v>
      </c>
      <c r="S214" s="30">
        <v>46226</v>
      </c>
      <c r="T214" s="33"/>
      <c r="U214" s="34" t="str">
        <f>IFERROR(_xlfn.XLOOKUP(E214,[1]EMPREENDIMENTO!C:C,[1]EMPREENDIMENTO!D:D),"")</f>
        <v>fa38ee59-3f62-eb11-8864-0050568aa20f</v>
      </c>
    </row>
    <row r="215" spans="1:21" hidden="1" x14ac:dyDescent="0.35">
      <c r="A215" s="28" t="str">
        <f>IFERROR(_xlfn.XLOOKUP(C215,[1]DIRETORIA!C:C,[1]DIRETORIA!A:A),"-")</f>
        <v>DIR. COM E CRED SUL</v>
      </c>
      <c r="B215" s="28" t="str">
        <f>IFERROR(_xlfn.XLOOKUP(C215,[1]DIRETORIA!C:C,[1]DIRETORIA!B:B),"-")</f>
        <v>GST. COM LONDRINA</v>
      </c>
      <c r="C215" s="28" t="str">
        <f>IFERROR(_xlfn.XLOOKUP(E215,[1]EMPREENDIMENTO!C:C,[1]EMPREENDIMENTO!A:A),"-")</f>
        <v>LONDRINA</v>
      </c>
      <c r="D215" s="28" t="s">
        <v>29</v>
      </c>
      <c r="E215" s="28" t="s">
        <v>423</v>
      </c>
      <c r="F215" s="28" t="s">
        <v>42</v>
      </c>
      <c r="G215" s="28" t="s">
        <v>424</v>
      </c>
      <c r="H215" s="28">
        <v>35539</v>
      </c>
      <c r="I215" s="29">
        <f>IFERROR(_xlfn.XLOOKUP(E215,[1]EMPREENDIMENTO!C:C,[1]EMPREENDIMENTO!E:E),"0")</f>
        <v>152</v>
      </c>
      <c r="J215" s="30">
        <v>46356</v>
      </c>
      <c r="K215" s="28" t="s">
        <v>33</v>
      </c>
      <c r="L215" s="31">
        <v>45463</v>
      </c>
      <c r="M215" s="32">
        <v>35856400</v>
      </c>
      <c r="N215" s="32">
        <v>40871680</v>
      </c>
      <c r="O215" s="32">
        <v>40660765</v>
      </c>
      <c r="P215" s="28" t="s">
        <v>34</v>
      </c>
      <c r="Q215" s="28" t="s">
        <v>425</v>
      </c>
      <c r="R215" s="30">
        <v>45471</v>
      </c>
      <c r="S215" s="30">
        <v>45463</v>
      </c>
      <c r="T215" s="33"/>
      <c r="U215" s="34" t="str">
        <f>IFERROR(_xlfn.XLOOKUP(E215,[1]EMPREENDIMENTO!C:C,[1]EMPREENDIMENTO!D:D),"")</f>
        <v>f7997fe7-f00e-eb11-ac18-005056856875</v>
      </c>
    </row>
    <row r="216" spans="1:21" x14ac:dyDescent="0.35">
      <c r="A216" s="28" t="str">
        <f>IFERROR(_xlfn.XLOOKUP(C216,[1]DIRETORIA!C:C,[1]DIRETORIA!A:A),"-")</f>
        <v>DIR. COM E CRED SPI</v>
      </c>
      <c r="B216" s="28" t="str">
        <f>IFERROR(_xlfn.XLOOKUP(C216,[1]DIRETORIA!C:C,[1]DIRETORIA!B:B),"-")</f>
        <v>GST. COM RP 1</v>
      </c>
      <c r="C216" s="28" t="str">
        <f>IFERROR(_xlfn.XLOOKUP(E216,[1]EMPREENDIMENTO!C:C,[1]EMPREENDIMENTO!A:A),"-")</f>
        <v>RIBEIRÃO PRETO</v>
      </c>
      <c r="D216" s="28" t="s">
        <v>29</v>
      </c>
      <c r="E216" s="28" t="s">
        <v>426</v>
      </c>
      <c r="F216" s="28" t="s">
        <v>31</v>
      </c>
      <c r="G216" s="28" t="s">
        <v>427</v>
      </c>
      <c r="H216" s="28">
        <v>25794</v>
      </c>
      <c r="I216" s="29">
        <f>IFERROR(_xlfn.XLOOKUP(E216,[1]EMPREENDIMENTO!C:C,[1]EMPREENDIMENTO!E:E),"0")</f>
        <v>192</v>
      </c>
      <c r="J216" s="30">
        <v>46558</v>
      </c>
      <c r="K216" s="28" t="s">
        <v>33</v>
      </c>
      <c r="L216" s="31">
        <v>45645</v>
      </c>
      <c r="M216" s="32">
        <v>53089000</v>
      </c>
      <c r="N216" s="32">
        <v>62913900</v>
      </c>
      <c r="O216" s="32">
        <v>62442600</v>
      </c>
      <c r="P216" s="28" t="s">
        <v>34</v>
      </c>
      <c r="Q216" s="28" t="s">
        <v>428</v>
      </c>
      <c r="R216" s="30">
        <v>45670</v>
      </c>
      <c r="S216" s="30">
        <v>45645</v>
      </c>
      <c r="T216" s="33"/>
      <c r="U216" s="34" t="str">
        <f>IFERROR(_xlfn.XLOOKUP(E216,[1]EMPREENDIMENTO!C:C,[1]EMPREENDIMENTO!D:D),"")</f>
        <v>56e37ab3-64b6-e611-b1e9-009c02b0cb58</v>
      </c>
    </row>
    <row r="217" spans="1:21" x14ac:dyDescent="0.35">
      <c r="A217" s="28" t="str">
        <f>IFERROR(_xlfn.XLOOKUP(C217,[1]DIRETORIA!C:C,[1]DIRETORIA!A:A),"-")</f>
        <v>DIR. COM E CRED SPI</v>
      </c>
      <c r="B217" s="28" t="str">
        <f>IFERROR(_xlfn.XLOOKUP(C217,[1]DIRETORIA!C:C,[1]DIRETORIA!B:B),"-")</f>
        <v>GST. COM RP 1</v>
      </c>
      <c r="C217" s="28" t="str">
        <f>IFERROR(_xlfn.XLOOKUP(E217,[1]EMPREENDIMENTO!C:C,[1]EMPREENDIMENTO!A:A),"-")</f>
        <v>RIBEIRÃO PRETO</v>
      </c>
      <c r="D217" s="28" t="s">
        <v>29</v>
      </c>
      <c r="E217" s="28" t="s">
        <v>426</v>
      </c>
      <c r="F217" s="28" t="s">
        <v>36</v>
      </c>
      <c r="G217" s="28" t="s">
        <v>429</v>
      </c>
      <c r="H217" s="28">
        <v>26386</v>
      </c>
      <c r="I217" s="29">
        <f>IFERROR(_xlfn.XLOOKUP(E217,[1]EMPREENDIMENTO!C:C,[1]EMPREENDIMENTO!E:E),"0")</f>
        <v>192</v>
      </c>
      <c r="J217" s="30">
        <v>46558</v>
      </c>
      <c r="K217" s="28" t="s">
        <v>33</v>
      </c>
      <c r="L217" s="31">
        <v>45645</v>
      </c>
      <c r="M217" s="32">
        <v>53089000</v>
      </c>
      <c r="N217" s="32">
        <v>62913900</v>
      </c>
      <c r="O217" s="32">
        <v>62442600</v>
      </c>
      <c r="P217" s="28" t="s">
        <v>34</v>
      </c>
      <c r="Q217" s="28" t="s">
        <v>428</v>
      </c>
      <c r="R217" s="30">
        <v>45670</v>
      </c>
      <c r="S217" s="30">
        <v>45645</v>
      </c>
      <c r="T217" s="33"/>
      <c r="U217" s="34" t="str">
        <f>IFERROR(_xlfn.XLOOKUP(E217,[1]EMPREENDIMENTO!C:C,[1]EMPREENDIMENTO!D:D),"")</f>
        <v>56e37ab3-64b6-e611-b1e9-009c02b0cb58</v>
      </c>
    </row>
    <row r="218" spans="1:21" hidden="1" x14ac:dyDescent="0.35">
      <c r="A218" s="28" t="str">
        <f>IFERROR(_xlfn.XLOOKUP(C218,[1]DIRETORIA!C:C,[1]DIRETORIA!A:A),"-")</f>
        <v>DIR. COM E CRED SP E VL</v>
      </c>
      <c r="B218" s="28" t="str">
        <f>IFERROR(_xlfn.XLOOKUP(C218,[1]DIRETORIA!C:C,[1]DIRETORIA!B:B),"-")</f>
        <v>GST. COM SP2</v>
      </c>
      <c r="C218" s="28" t="str">
        <f>IFERROR(_xlfn.XLOOKUP(E218,[1]EMPREENDIMENTO!C:C,[1]EMPREENDIMENTO!A:A),"-")</f>
        <v>SÃO PAULO</v>
      </c>
      <c r="D218" s="28" t="s">
        <v>29</v>
      </c>
      <c r="E218" s="28" t="s">
        <v>430</v>
      </c>
      <c r="F218" s="28" t="s">
        <v>42</v>
      </c>
      <c r="G218" s="28" t="s">
        <v>431</v>
      </c>
      <c r="H218" s="28">
        <v>24595</v>
      </c>
      <c r="I218" s="29">
        <f>IFERROR(_xlfn.XLOOKUP(E218,[1]EMPREENDIMENTO!C:C,[1]EMPREENDIMENTO!E:E),"0")</f>
        <v>296</v>
      </c>
      <c r="J218" s="30">
        <v>46140</v>
      </c>
      <c r="K218" s="28" t="s">
        <v>33</v>
      </c>
      <c r="L218" s="31">
        <v>45860</v>
      </c>
      <c r="M218" s="32">
        <v>95388900</v>
      </c>
      <c r="N218" s="32">
        <v>100718900</v>
      </c>
      <c r="O218" s="32">
        <v>96924900</v>
      </c>
      <c r="P218" s="28" t="s">
        <v>34</v>
      </c>
      <c r="Q218" s="28" t="s">
        <v>432</v>
      </c>
      <c r="R218" s="30">
        <v>45864</v>
      </c>
      <c r="S218" s="30">
        <v>45860</v>
      </c>
      <c r="T218" s="33"/>
      <c r="U218" s="34" t="str">
        <f>IFERROR(_xlfn.XLOOKUP(E218,[1]EMPREENDIMENTO!C:C,[1]EMPREENDIMENTO!D:D),"")</f>
        <v>8b0fd796-a10e-e511-a3a7-80c16e075108</v>
      </c>
    </row>
    <row r="219" spans="1:21" hidden="1" x14ac:dyDescent="0.35">
      <c r="A219" s="28" t="str">
        <f>IFERROR(_xlfn.XLOOKUP(C219,[1]DIRETORIA!C:C,[1]DIRETORIA!A:A),"-")</f>
        <v>DIR. COM E CRED NE</v>
      </c>
      <c r="B219" s="28" t="str">
        <f>IFERROR(_xlfn.XLOOKUP(C219,[1]DIRETORIA!C:C,[1]DIRETORIA!B:B),"-")</f>
        <v>GST. COM NE1 (BA 1)</v>
      </c>
      <c r="C219" s="28" t="str">
        <f>IFERROR(_xlfn.XLOOKUP(E219,[1]EMPREENDIMENTO!C:C,[1]EMPREENDIMENTO!A:A),"-")</f>
        <v>FEIRA DE SANTANA</v>
      </c>
      <c r="D219" s="28" t="s">
        <v>85</v>
      </c>
      <c r="E219" s="28" t="s">
        <v>433</v>
      </c>
      <c r="F219" s="28" t="s">
        <v>42</v>
      </c>
      <c r="G219" s="28" t="s">
        <v>434</v>
      </c>
      <c r="H219" s="28">
        <v>35217</v>
      </c>
      <c r="I219" s="29">
        <f>IFERROR(_xlfn.XLOOKUP(E219,[1]EMPREENDIMENTO!C:C,[1]EMPREENDIMENTO!E:E),"0")</f>
        <v>0</v>
      </c>
      <c r="J219" s="30"/>
      <c r="K219" s="28" t="s">
        <v>33</v>
      </c>
      <c r="L219" s="31">
        <v>44932</v>
      </c>
      <c r="M219" s="32">
        <v>51489000</v>
      </c>
      <c r="N219" s="32">
        <v>51489000</v>
      </c>
      <c r="O219" s="32">
        <v>48637400</v>
      </c>
      <c r="P219" s="28" t="s">
        <v>34</v>
      </c>
      <c r="Q219" s="28"/>
      <c r="R219" s="30"/>
      <c r="S219" s="30">
        <v>44932</v>
      </c>
      <c r="T219" s="33"/>
      <c r="U219" s="34">
        <f>IFERROR(_xlfn.XLOOKUP(E219,[1]EMPREENDIMENTO!C:C,[1]EMPREENDIMENTO!D:D),"")</f>
        <v>0</v>
      </c>
    </row>
    <row r="220" spans="1:21" hidden="1" x14ac:dyDescent="0.35">
      <c r="A220" s="28" t="str">
        <f>IFERROR(_xlfn.XLOOKUP(C220,[1]DIRETORIA!C:C,[1]DIRETORIA!A:A),"-")</f>
        <v>DIR. COM E CRED NE</v>
      </c>
      <c r="B220" s="28" t="str">
        <f>IFERROR(_xlfn.XLOOKUP(C220,[1]DIRETORIA!C:C,[1]DIRETORIA!B:B),"-")</f>
        <v>GST. COM NE 3 (SE+AL)</v>
      </c>
      <c r="C220" s="28" t="str">
        <f>IFERROR(_xlfn.XLOOKUP(E220,[1]EMPREENDIMENTO!C:C,[1]EMPREENDIMENTO!A:A),"-")</f>
        <v>MACEIÓ</v>
      </c>
      <c r="D220" s="28" t="s">
        <v>29</v>
      </c>
      <c r="E220" s="28" t="s">
        <v>435</v>
      </c>
      <c r="F220" s="28" t="s">
        <v>31</v>
      </c>
      <c r="G220" s="28" t="s">
        <v>436</v>
      </c>
      <c r="H220" s="28">
        <v>35208</v>
      </c>
      <c r="I220" s="29">
        <f>IFERROR(_xlfn.XLOOKUP(E220,[1]EMPREENDIMENTO!C:C,[1]EMPREENDIMENTO!E:E),"0")</f>
        <v>360</v>
      </c>
      <c r="J220" s="30">
        <v>46244</v>
      </c>
      <c r="K220" s="28" t="s">
        <v>33</v>
      </c>
      <c r="L220" s="31">
        <v>45726</v>
      </c>
      <c r="M220" s="32">
        <v>84550539</v>
      </c>
      <c r="N220" s="32">
        <v>90440274</v>
      </c>
      <c r="O220" s="32">
        <v>88318596</v>
      </c>
      <c r="P220" s="28" t="s">
        <v>34</v>
      </c>
      <c r="Q220" s="28" t="s">
        <v>437</v>
      </c>
      <c r="R220" s="30">
        <v>45723</v>
      </c>
      <c r="S220" s="30">
        <v>45726</v>
      </c>
      <c r="T220" s="33"/>
      <c r="U220" s="34" t="str">
        <f>IFERROR(_xlfn.XLOOKUP(E220,[1]EMPREENDIMENTO!C:C,[1]EMPREENDIMENTO!D:D),"")</f>
        <v>fa7b8d18-cc1d-ea11-ba0a-0050568aa20f</v>
      </c>
    </row>
    <row r="221" spans="1:21" hidden="1" x14ac:dyDescent="0.35">
      <c r="A221" s="28" t="str">
        <f>IFERROR(_xlfn.XLOOKUP(C221,[1]DIRETORIA!C:C,[1]DIRETORIA!A:A),"-")</f>
        <v>DIR. COM E CRED NE</v>
      </c>
      <c r="B221" s="28" t="str">
        <f>IFERROR(_xlfn.XLOOKUP(C221,[1]DIRETORIA!C:C,[1]DIRETORIA!B:B),"-")</f>
        <v>GST. COM NE 3 (SE+AL)</v>
      </c>
      <c r="C221" s="28" t="str">
        <f>IFERROR(_xlfn.XLOOKUP(E221,[1]EMPREENDIMENTO!C:C,[1]EMPREENDIMENTO!A:A),"-")</f>
        <v>MACEIÓ</v>
      </c>
      <c r="D221" s="28" t="s">
        <v>29</v>
      </c>
      <c r="E221" s="28" t="s">
        <v>435</v>
      </c>
      <c r="F221" s="28" t="s">
        <v>36</v>
      </c>
      <c r="G221" s="28" t="s">
        <v>438</v>
      </c>
      <c r="H221" s="28">
        <v>39339</v>
      </c>
      <c r="I221" s="29">
        <f>IFERROR(_xlfn.XLOOKUP(E221,[1]EMPREENDIMENTO!C:C,[1]EMPREENDIMENTO!E:E),"0")</f>
        <v>360</v>
      </c>
      <c r="J221" s="30">
        <v>46244</v>
      </c>
      <c r="K221" s="28" t="s">
        <v>33</v>
      </c>
      <c r="L221" s="31">
        <v>45726</v>
      </c>
      <c r="M221" s="32">
        <v>84550539</v>
      </c>
      <c r="N221" s="32">
        <v>90440274</v>
      </c>
      <c r="O221" s="32">
        <v>88318596</v>
      </c>
      <c r="P221" s="28" t="s">
        <v>34</v>
      </c>
      <c r="Q221" s="28" t="s">
        <v>437</v>
      </c>
      <c r="R221" s="30">
        <v>45723</v>
      </c>
      <c r="S221" s="30">
        <v>45726</v>
      </c>
      <c r="T221" s="33"/>
      <c r="U221" s="34" t="str">
        <f>IFERROR(_xlfn.XLOOKUP(E221,[1]EMPREENDIMENTO!C:C,[1]EMPREENDIMENTO!D:D),"")</f>
        <v>fa7b8d18-cc1d-ea11-ba0a-0050568aa20f</v>
      </c>
    </row>
    <row r="222" spans="1:21" hidden="1" x14ac:dyDescent="0.35">
      <c r="A222" s="28" t="str">
        <f>IFERROR(_xlfn.XLOOKUP(C222,[1]DIRETORIA!C:C,[1]DIRETORIA!A:A),"-")</f>
        <v>DIR. COM E CRED SUL</v>
      </c>
      <c r="B222" s="28" t="str">
        <f>IFERROR(_xlfn.XLOOKUP(C222,[1]DIRETORIA!C:C,[1]DIRETORIA!B:B),"-")</f>
        <v>GST. COM RS SUL</v>
      </c>
      <c r="C222" s="28" t="str">
        <f>IFERROR(_xlfn.XLOOKUP(E222,[1]EMPREENDIMENTO!C:C,[1]EMPREENDIMENTO!A:A),"-")</f>
        <v>PORTO ALEGRE</v>
      </c>
      <c r="D222" s="28" t="s">
        <v>29</v>
      </c>
      <c r="E222" s="28" t="s">
        <v>439</v>
      </c>
      <c r="F222" s="28" t="s">
        <v>31</v>
      </c>
      <c r="G222" s="28" t="s">
        <v>440</v>
      </c>
      <c r="H222" s="28">
        <v>31211</v>
      </c>
      <c r="I222" s="29">
        <f>IFERROR(_xlfn.XLOOKUP(E222,[1]EMPREENDIMENTO!C:C,[1]EMPREENDIMENTO!E:E),"0")</f>
        <v>300</v>
      </c>
      <c r="J222" s="30">
        <v>46608</v>
      </c>
      <c r="K222" s="28" t="s">
        <v>33</v>
      </c>
      <c r="L222" s="31">
        <v>46029</v>
      </c>
      <c r="M222" s="32">
        <v>73906000</v>
      </c>
      <c r="N222" s="32">
        <v>74879920</v>
      </c>
      <c r="O222" s="32">
        <v>74454000</v>
      </c>
      <c r="P222" s="28" t="s">
        <v>34</v>
      </c>
      <c r="Q222" s="28" t="s">
        <v>441</v>
      </c>
      <c r="R222" s="30">
        <v>46048</v>
      </c>
      <c r="S222" s="30">
        <v>46029</v>
      </c>
      <c r="T222" s="33"/>
      <c r="U222" s="34" t="str">
        <f>IFERROR(_xlfn.XLOOKUP(E222,[1]EMPREENDIMENTO!C:C,[1]EMPREENDIMENTO!D:D),"")</f>
        <v>7f7480b9-09d1-ea11-88c0-0050568aa20f</v>
      </c>
    </row>
    <row r="223" spans="1:21" hidden="1" x14ac:dyDescent="0.35">
      <c r="A223" s="28" t="str">
        <f>IFERROR(_xlfn.XLOOKUP(C223,[1]DIRETORIA!C:C,[1]DIRETORIA!A:A),"-")</f>
        <v>DIR. COM E CRED SUL</v>
      </c>
      <c r="B223" s="28" t="str">
        <f>IFERROR(_xlfn.XLOOKUP(C223,[1]DIRETORIA!C:C,[1]DIRETORIA!B:B),"-")</f>
        <v>GST. COM RS SUL</v>
      </c>
      <c r="C223" s="28" t="str">
        <f>IFERROR(_xlfn.XLOOKUP(E223,[1]EMPREENDIMENTO!C:C,[1]EMPREENDIMENTO!A:A),"-")</f>
        <v>PORTO ALEGRE</v>
      </c>
      <c r="D223" s="28" t="s">
        <v>29</v>
      </c>
      <c r="E223" s="28" t="s">
        <v>439</v>
      </c>
      <c r="F223" s="28" t="s">
        <v>36</v>
      </c>
      <c r="G223" s="28" t="s">
        <v>442</v>
      </c>
      <c r="H223" s="28">
        <v>37420</v>
      </c>
      <c r="I223" s="29">
        <f>IFERROR(_xlfn.XLOOKUP(E223,[1]EMPREENDIMENTO!C:C,[1]EMPREENDIMENTO!E:E),"0")</f>
        <v>300</v>
      </c>
      <c r="J223" s="30">
        <v>46608</v>
      </c>
      <c r="K223" s="28" t="s">
        <v>33</v>
      </c>
      <c r="L223" s="31">
        <v>46029</v>
      </c>
      <c r="M223" s="32">
        <v>73906000</v>
      </c>
      <c r="N223" s="32">
        <v>74879920</v>
      </c>
      <c r="O223" s="32">
        <v>74454000</v>
      </c>
      <c r="P223" s="28" t="s">
        <v>34</v>
      </c>
      <c r="Q223" s="28" t="s">
        <v>441</v>
      </c>
      <c r="R223" s="30">
        <v>46048</v>
      </c>
      <c r="S223" s="30">
        <v>46029</v>
      </c>
      <c r="T223" s="33"/>
      <c r="U223" s="34" t="str">
        <f>IFERROR(_xlfn.XLOOKUP(E223,[1]EMPREENDIMENTO!C:C,[1]EMPREENDIMENTO!D:D),"")</f>
        <v>7f7480b9-09d1-ea11-88c0-0050568aa20f</v>
      </c>
    </row>
    <row r="224" spans="1:21" hidden="1" x14ac:dyDescent="0.35">
      <c r="A224" s="28" t="str">
        <f>IFERROR(_xlfn.XLOOKUP(C224,[1]DIRETORIA!C:C,[1]DIRETORIA!A:A),"-")</f>
        <v>DIR. COM E CRED SUL</v>
      </c>
      <c r="B224" s="28" t="str">
        <f>IFERROR(_xlfn.XLOOKUP(C224,[1]DIRETORIA!C:C,[1]DIRETORIA!B:B),"-")</f>
        <v>GST. COM RS SUL</v>
      </c>
      <c r="C224" s="28" t="str">
        <f>IFERROR(_xlfn.XLOOKUP(E224,[1]EMPREENDIMENTO!C:C,[1]EMPREENDIMENTO!A:A),"-")</f>
        <v>PORTO ALEGRE</v>
      </c>
      <c r="D224" s="28" t="s">
        <v>29</v>
      </c>
      <c r="E224" s="28" t="s">
        <v>439</v>
      </c>
      <c r="F224" s="28" t="s">
        <v>39</v>
      </c>
      <c r="G224" s="28" t="s">
        <v>443</v>
      </c>
      <c r="H224" s="28">
        <v>44282</v>
      </c>
      <c r="I224" s="29">
        <f>IFERROR(_xlfn.XLOOKUP(E224,[1]EMPREENDIMENTO!C:C,[1]EMPREENDIMENTO!E:E),"0")</f>
        <v>300</v>
      </c>
      <c r="J224" s="30">
        <v>46608</v>
      </c>
      <c r="K224" s="28" t="s">
        <v>33</v>
      </c>
      <c r="L224" s="31">
        <v>46029</v>
      </c>
      <c r="M224" s="32">
        <v>73906000</v>
      </c>
      <c r="N224" s="32">
        <v>74879920</v>
      </c>
      <c r="O224" s="32">
        <v>74454000</v>
      </c>
      <c r="P224" s="28" t="s">
        <v>34</v>
      </c>
      <c r="Q224" s="28" t="s">
        <v>441</v>
      </c>
      <c r="R224" s="30">
        <v>46048</v>
      </c>
      <c r="S224" s="30">
        <v>46029</v>
      </c>
      <c r="T224" s="33"/>
      <c r="U224" s="34" t="str">
        <f>IFERROR(_xlfn.XLOOKUP(E224,[1]EMPREENDIMENTO!C:C,[1]EMPREENDIMENTO!D:D),"")</f>
        <v>7f7480b9-09d1-ea11-88c0-0050568aa20f</v>
      </c>
    </row>
    <row r="225" spans="1:21" hidden="1" x14ac:dyDescent="0.35">
      <c r="A225" s="28" t="str">
        <f>IFERROR(_xlfn.XLOOKUP(C225,[1]DIRETORIA!C:C,[1]DIRETORIA!A:A),"-")</f>
        <v>DIR. COM E CRED SUL</v>
      </c>
      <c r="B225" s="28" t="str">
        <f>IFERROR(_xlfn.XLOOKUP(C225,[1]DIRETORIA!C:C,[1]DIRETORIA!B:B),"-")</f>
        <v>GST. COM CURITIBA</v>
      </c>
      <c r="C225" s="28" t="str">
        <f>IFERROR(_xlfn.XLOOKUP(E225,[1]EMPREENDIMENTO!C:C,[1]EMPREENDIMENTO!A:A),"-")</f>
        <v>CURITIBA</v>
      </c>
      <c r="D225" s="28" t="s">
        <v>29</v>
      </c>
      <c r="E225" s="28" t="s">
        <v>444</v>
      </c>
      <c r="F225" s="28" t="s">
        <v>31</v>
      </c>
      <c r="G225" s="28" t="s">
        <v>445</v>
      </c>
      <c r="H225" s="28">
        <v>32119</v>
      </c>
      <c r="I225" s="29">
        <f>IFERROR(_xlfn.XLOOKUP(E225,[1]EMPREENDIMENTO!C:C,[1]EMPREENDIMENTO!E:E),"0")</f>
        <v>240</v>
      </c>
      <c r="J225" s="30">
        <v>46211</v>
      </c>
      <c r="K225" s="28" t="s">
        <v>33</v>
      </c>
      <c r="L225" s="31">
        <v>45233</v>
      </c>
      <c r="M225" s="32">
        <v>71112000</v>
      </c>
      <c r="N225" s="32">
        <v>74427000</v>
      </c>
      <c r="O225" s="32">
        <v>74303205</v>
      </c>
      <c r="P225" s="28" t="s">
        <v>34</v>
      </c>
      <c r="Q225" s="28" t="s">
        <v>446</v>
      </c>
      <c r="R225" s="30">
        <v>45236</v>
      </c>
      <c r="S225" s="30">
        <v>45233</v>
      </c>
      <c r="T225" s="33"/>
      <c r="U225" s="34" t="str">
        <f>IFERROR(_xlfn.XLOOKUP(E225,[1]EMPREENDIMENTO!C:C,[1]EMPREENDIMENTO!D:D),"")</f>
        <v>10c593c7-e660-eb11-aa45-005056856875</v>
      </c>
    </row>
    <row r="226" spans="1:21" hidden="1" x14ac:dyDescent="0.35">
      <c r="A226" s="28" t="str">
        <f>IFERROR(_xlfn.XLOOKUP(C226,[1]DIRETORIA!C:C,[1]DIRETORIA!A:A),"-")</f>
        <v>DIR. COM E CRED SUL</v>
      </c>
      <c r="B226" s="28" t="str">
        <f>IFERROR(_xlfn.XLOOKUP(C226,[1]DIRETORIA!C:C,[1]DIRETORIA!B:B),"-")</f>
        <v>GST. COM CURITIBA</v>
      </c>
      <c r="C226" s="28" t="str">
        <f>IFERROR(_xlfn.XLOOKUP(E226,[1]EMPREENDIMENTO!C:C,[1]EMPREENDIMENTO!A:A),"-")</f>
        <v>CURITIBA</v>
      </c>
      <c r="D226" s="28" t="s">
        <v>29</v>
      </c>
      <c r="E226" s="28" t="s">
        <v>444</v>
      </c>
      <c r="F226" s="28" t="s">
        <v>36</v>
      </c>
      <c r="G226" s="28" t="s">
        <v>447</v>
      </c>
      <c r="H226" s="28">
        <v>38663</v>
      </c>
      <c r="I226" s="29">
        <f>IFERROR(_xlfn.XLOOKUP(E226,[1]EMPREENDIMENTO!C:C,[1]EMPREENDIMENTO!E:E),"0")</f>
        <v>240</v>
      </c>
      <c r="J226" s="30">
        <v>46211</v>
      </c>
      <c r="K226" s="28" t="s">
        <v>33</v>
      </c>
      <c r="L226" s="31">
        <v>45233</v>
      </c>
      <c r="M226" s="32">
        <v>71112000</v>
      </c>
      <c r="N226" s="32">
        <v>74427000</v>
      </c>
      <c r="O226" s="32">
        <v>74303205</v>
      </c>
      <c r="P226" s="28" t="s">
        <v>34</v>
      </c>
      <c r="Q226" s="28" t="s">
        <v>446</v>
      </c>
      <c r="R226" s="30">
        <v>45236</v>
      </c>
      <c r="S226" s="30">
        <v>45233</v>
      </c>
      <c r="T226" s="33"/>
      <c r="U226" s="34" t="str">
        <f>IFERROR(_xlfn.XLOOKUP(E226,[1]EMPREENDIMENTO!C:C,[1]EMPREENDIMENTO!D:D),"")</f>
        <v>10c593c7-e660-eb11-aa45-005056856875</v>
      </c>
    </row>
    <row r="227" spans="1:21" x14ac:dyDescent="0.35">
      <c r="A227" s="28" t="str">
        <f>IFERROR(_xlfn.XLOOKUP(C227,[1]DIRETORIA!C:C,[1]DIRETORIA!A:A),"-")</f>
        <v>DIR. COM E CRED SPI CP</v>
      </c>
      <c r="B227" s="28" t="str">
        <f>IFERROR(_xlfn.XLOOKUP(C227,[1]DIRETORIA!C:C,[1]DIRETORIA!B:B),"-")</f>
        <v>GST. COM CP1</v>
      </c>
      <c r="C227" s="28" t="str">
        <f>IFERROR(_xlfn.XLOOKUP(E227,[1]EMPREENDIMENTO!C:C,[1]EMPREENDIMENTO!A:A),"-")</f>
        <v>CAMPINAS</v>
      </c>
      <c r="D227" s="28" t="s">
        <v>29</v>
      </c>
      <c r="E227" s="28" t="s">
        <v>448</v>
      </c>
      <c r="F227" s="28" t="s">
        <v>42</v>
      </c>
      <c r="G227" s="28" t="s">
        <v>449</v>
      </c>
      <c r="H227" s="28">
        <v>33077</v>
      </c>
      <c r="I227" s="29">
        <f>IFERROR(_xlfn.XLOOKUP(E227,[1]EMPREENDIMENTO!C:C,[1]EMPREENDIMENTO!E:E),"0")</f>
        <v>104</v>
      </c>
      <c r="J227" s="30">
        <v>45985</v>
      </c>
      <c r="K227" s="28" t="s">
        <v>33</v>
      </c>
      <c r="L227" s="31">
        <v>46244</v>
      </c>
      <c r="M227" s="32">
        <v>72362750</v>
      </c>
      <c r="N227" s="32">
        <v>73021750</v>
      </c>
      <c r="O227" s="32">
        <v>72987750</v>
      </c>
      <c r="P227" s="28" t="s">
        <v>34</v>
      </c>
      <c r="Q227" s="28" t="s">
        <v>450</v>
      </c>
      <c r="R227" s="30">
        <v>46240</v>
      </c>
      <c r="S227" s="30">
        <v>46244</v>
      </c>
      <c r="T227" s="33"/>
      <c r="U227" s="34" t="str">
        <f>IFERROR(_xlfn.XLOOKUP(E227,[1]EMPREENDIMENTO!C:C,[1]EMPREENDIMENTO!D:D),"")</f>
        <v>d8a6d56d-ecdd-e411-b5d2-009c02b0cb58</v>
      </c>
    </row>
    <row r="228" spans="1:21" hidden="1" x14ac:dyDescent="0.35">
      <c r="A228" s="28" t="str">
        <f>IFERROR(_xlfn.XLOOKUP(C228,[1]DIRETORIA!C:C,[1]DIRETORIA!A:A),"-")</f>
        <v>DIR. COM E CRED SUL</v>
      </c>
      <c r="B228" s="28" t="str">
        <f>IFERROR(_xlfn.XLOOKUP(C228,[1]DIRETORIA!C:C,[1]DIRETORIA!B:B),"-")</f>
        <v>GST. COM RS NORTE</v>
      </c>
      <c r="C228" s="28" t="str">
        <f>IFERROR(_xlfn.XLOOKUP(E228,[1]EMPREENDIMENTO!C:C,[1]EMPREENDIMENTO!A:A),"-")</f>
        <v>GRAVATAÍ</v>
      </c>
      <c r="D228" s="28" t="s">
        <v>29</v>
      </c>
      <c r="E228" s="28" t="s">
        <v>451</v>
      </c>
      <c r="F228" s="28" t="s">
        <v>31</v>
      </c>
      <c r="G228" s="28" t="s">
        <v>452</v>
      </c>
      <c r="H228" s="28">
        <v>5767</v>
      </c>
      <c r="I228" s="29">
        <f>IFERROR(_xlfn.XLOOKUP(E228,[1]EMPREENDIMENTO!C:C,[1]EMPREENDIMENTO!E:E),"0")</f>
        <v>500</v>
      </c>
      <c r="J228" s="30">
        <v>45561</v>
      </c>
      <c r="K228" s="28" t="s">
        <v>33</v>
      </c>
      <c r="L228" s="31">
        <v>46197</v>
      </c>
      <c r="M228" s="32">
        <v>118716000</v>
      </c>
      <c r="N228" s="32">
        <v>124424000</v>
      </c>
      <c r="O228" s="32">
        <v>123888000</v>
      </c>
      <c r="P228" s="28" t="s">
        <v>34</v>
      </c>
      <c r="Q228" s="28" t="s">
        <v>453</v>
      </c>
      <c r="R228" s="30">
        <v>46225</v>
      </c>
      <c r="S228" s="30">
        <v>46197</v>
      </c>
      <c r="T228" s="33"/>
      <c r="U228" s="34" t="str">
        <f>IFERROR(_xlfn.XLOOKUP(E228,[1]EMPREENDIMENTO!C:C,[1]EMPREENDIMENTO!D:D),"")</f>
        <v>33b3926d-eee7-e611-abb6-80c16e075108</v>
      </c>
    </row>
    <row r="229" spans="1:21" hidden="1" x14ac:dyDescent="0.35">
      <c r="A229" s="28" t="str">
        <f>IFERROR(_xlfn.XLOOKUP(C229,[1]DIRETORIA!C:C,[1]DIRETORIA!A:A),"-")</f>
        <v>DIR. COM E CRED SUL</v>
      </c>
      <c r="B229" s="28" t="str">
        <f>IFERROR(_xlfn.XLOOKUP(C229,[1]DIRETORIA!C:C,[1]DIRETORIA!B:B),"-")</f>
        <v>GST. COM RS NORTE</v>
      </c>
      <c r="C229" s="28" t="str">
        <f>IFERROR(_xlfn.XLOOKUP(E229,[1]EMPREENDIMENTO!C:C,[1]EMPREENDIMENTO!A:A),"-")</f>
        <v>GRAVATAÍ</v>
      </c>
      <c r="D229" s="28" t="s">
        <v>29</v>
      </c>
      <c r="E229" s="28" t="s">
        <v>451</v>
      </c>
      <c r="F229" s="28" t="s">
        <v>36</v>
      </c>
      <c r="G229" s="28" t="s">
        <v>454</v>
      </c>
      <c r="H229" s="28">
        <v>16475</v>
      </c>
      <c r="I229" s="29">
        <f>IFERROR(_xlfn.XLOOKUP(E229,[1]EMPREENDIMENTO!C:C,[1]EMPREENDIMENTO!E:E),"0")</f>
        <v>500</v>
      </c>
      <c r="J229" s="30">
        <v>45561</v>
      </c>
      <c r="K229" s="28" t="s">
        <v>33</v>
      </c>
      <c r="L229" s="31">
        <v>46197</v>
      </c>
      <c r="M229" s="32">
        <v>118716000</v>
      </c>
      <c r="N229" s="32">
        <v>124424000</v>
      </c>
      <c r="O229" s="32">
        <v>123888000</v>
      </c>
      <c r="P229" s="28" t="s">
        <v>34</v>
      </c>
      <c r="Q229" s="28" t="s">
        <v>453</v>
      </c>
      <c r="R229" s="30">
        <v>46225</v>
      </c>
      <c r="S229" s="30">
        <v>46197</v>
      </c>
      <c r="T229" s="33"/>
      <c r="U229" s="34" t="str">
        <f>IFERROR(_xlfn.XLOOKUP(E229,[1]EMPREENDIMENTO!C:C,[1]EMPREENDIMENTO!D:D),"")</f>
        <v>33b3926d-eee7-e611-abb6-80c16e075108</v>
      </c>
    </row>
    <row r="230" spans="1:21" hidden="1" x14ac:dyDescent="0.35">
      <c r="A230" s="28" t="str">
        <f>IFERROR(_xlfn.XLOOKUP(C230,[1]DIRETORIA!C:C,[1]DIRETORIA!A:A),"-")</f>
        <v>DIR. COM E CRED SUL</v>
      </c>
      <c r="B230" s="28" t="str">
        <f>IFERROR(_xlfn.XLOOKUP(C230,[1]DIRETORIA!C:C,[1]DIRETORIA!B:B),"-")</f>
        <v>GST. COM RS NORTE</v>
      </c>
      <c r="C230" s="28" t="str">
        <f>IFERROR(_xlfn.XLOOKUP(E230,[1]EMPREENDIMENTO!C:C,[1]EMPREENDIMENTO!A:A),"-")</f>
        <v>GRAVATAÍ</v>
      </c>
      <c r="D230" s="28" t="s">
        <v>29</v>
      </c>
      <c r="E230" s="28" t="s">
        <v>451</v>
      </c>
      <c r="F230" s="28" t="s">
        <v>39</v>
      </c>
      <c r="G230" s="28" t="s">
        <v>455</v>
      </c>
      <c r="H230" s="28">
        <v>16476</v>
      </c>
      <c r="I230" s="29">
        <f>IFERROR(_xlfn.XLOOKUP(E230,[1]EMPREENDIMENTO!C:C,[1]EMPREENDIMENTO!E:E),"0")</f>
        <v>500</v>
      </c>
      <c r="J230" s="30">
        <v>45561</v>
      </c>
      <c r="K230" s="28" t="s">
        <v>33</v>
      </c>
      <c r="L230" s="31">
        <v>46197</v>
      </c>
      <c r="M230" s="32">
        <v>118716000</v>
      </c>
      <c r="N230" s="32">
        <v>124424000</v>
      </c>
      <c r="O230" s="32">
        <v>123888000</v>
      </c>
      <c r="P230" s="28" t="s">
        <v>34</v>
      </c>
      <c r="Q230" s="28" t="s">
        <v>453</v>
      </c>
      <c r="R230" s="30">
        <v>46225</v>
      </c>
      <c r="S230" s="30">
        <v>46197</v>
      </c>
      <c r="T230" s="33"/>
      <c r="U230" s="34" t="str">
        <f>IFERROR(_xlfn.XLOOKUP(E230,[1]EMPREENDIMENTO!C:C,[1]EMPREENDIMENTO!D:D),"")</f>
        <v>33b3926d-eee7-e611-abb6-80c16e075108</v>
      </c>
    </row>
    <row r="231" spans="1:21" hidden="1" x14ac:dyDescent="0.35">
      <c r="A231" s="28" t="str">
        <f>IFERROR(_xlfn.XLOOKUP(C231,[1]DIRETORIA!C:C,[1]DIRETORIA!A:A),"-")</f>
        <v>DIR. COM E CRED SUL</v>
      </c>
      <c r="B231" s="28" t="str">
        <f>IFERROR(_xlfn.XLOOKUP(C231,[1]DIRETORIA!C:C,[1]DIRETORIA!B:B),"-")</f>
        <v>GST. COM RS NORTE</v>
      </c>
      <c r="C231" s="28" t="str">
        <f>IFERROR(_xlfn.XLOOKUP(E231,[1]EMPREENDIMENTO!C:C,[1]EMPREENDIMENTO!A:A),"-")</f>
        <v>GRAVATAÍ</v>
      </c>
      <c r="D231" s="28" t="s">
        <v>85</v>
      </c>
      <c r="E231" s="28" t="s">
        <v>451</v>
      </c>
      <c r="F231" s="28" t="s">
        <v>50</v>
      </c>
      <c r="G231" s="28" t="s">
        <v>456</v>
      </c>
      <c r="H231" s="28">
        <v>16514</v>
      </c>
      <c r="I231" s="29">
        <f>IFERROR(_xlfn.XLOOKUP(E231,[1]EMPREENDIMENTO!C:C,[1]EMPREENDIMENTO!E:E),"0")</f>
        <v>500</v>
      </c>
      <c r="J231" s="30">
        <v>45561</v>
      </c>
      <c r="K231" s="28" t="s">
        <v>33</v>
      </c>
      <c r="L231" s="31">
        <v>46197</v>
      </c>
      <c r="M231" s="32">
        <v>118716000</v>
      </c>
      <c r="N231" s="32">
        <v>124424000</v>
      </c>
      <c r="O231" s="32">
        <v>123888000</v>
      </c>
      <c r="P231" s="28" t="s">
        <v>34</v>
      </c>
      <c r="Q231" s="28" t="s">
        <v>453</v>
      </c>
      <c r="R231" s="30">
        <v>46225</v>
      </c>
      <c r="S231" s="30">
        <v>46197</v>
      </c>
      <c r="T231" s="33"/>
      <c r="U231" s="34" t="str">
        <f>IFERROR(_xlfn.XLOOKUP(E231,[1]EMPREENDIMENTO!C:C,[1]EMPREENDIMENTO!D:D),"")</f>
        <v>33b3926d-eee7-e611-abb6-80c16e075108</v>
      </c>
    </row>
    <row r="232" spans="1:21" hidden="1" x14ac:dyDescent="0.35">
      <c r="A232" s="28" t="str">
        <f>IFERROR(_xlfn.XLOOKUP(C232,[1]DIRETORIA!C:C,[1]DIRETORIA!A:A),"-")</f>
        <v>DIR. COM E CRED CO E AM</v>
      </c>
      <c r="B232" s="28" t="str">
        <f>IFERROR(_xlfn.XLOOKUP(C232,[1]DIRETORIA!C:C,[1]DIRETORIA!B:B),"-")</f>
        <v>GST. COM AM</v>
      </c>
      <c r="C232" s="28" t="str">
        <f>IFERROR(_xlfn.XLOOKUP(E232,[1]EMPREENDIMENTO!C:C,[1]EMPREENDIMENTO!A:A),"-")</f>
        <v>MANAUS</v>
      </c>
      <c r="D232" s="28" t="s">
        <v>29</v>
      </c>
      <c r="E232" s="28" t="s">
        <v>457</v>
      </c>
      <c r="F232" s="28" t="s">
        <v>31</v>
      </c>
      <c r="G232" s="28" t="s">
        <v>458</v>
      </c>
      <c r="H232" s="28">
        <v>33912</v>
      </c>
      <c r="I232" s="29">
        <f>IFERROR(_xlfn.XLOOKUP(E232,[1]EMPREENDIMENTO!C:C,[1]EMPREENDIMENTO!E:E),"0")</f>
        <v>320</v>
      </c>
      <c r="J232" s="30">
        <v>46678</v>
      </c>
      <c r="K232" s="28" t="s">
        <v>33</v>
      </c>
      <c r="L232" s="31">
        <v>45614</v>
      </c>
      <c r="M232" s="32">
        <v>75180500</v>
      </c>
      <c r="N232" s="32">
        <v>80620700</v>
      </c>
      <c r="O232" s="32">
        <v>80620700</v>
      </c>
      <c r="P232" s="28" t="s">
        <v>34</v>
      </c>
      <c r="Q232" s="28" t="s">
        <v>459</v>
      </c>
      <c r="R232" s="30">
        <v>45614</v>
      </c>
      <c r="S232" s="30">
        <v>45617</v>
      </c>
      <c r="T232" s="33"/>
      <c r="U232" s="34" t="str">
        <f>IFERROR(_xlfn.XLOOKUP(E232,[1]EMPREENDIMENTO!C:C,[1]EMPREENDIMENTO!D:D),"")</f>
        <v>91681350-a81b-ec11-b501-005056856b6c</v>
      </c>
    </row>
    <row r="233" spans="1:21" hidden="1" x14ac:dyDescent="0.35">
      <c r="A233" s="28" t="str">
        <f>IFERROR(_xlfn.XLOOKUP(C233,[1]DIRETORIA!C:C,[1]DIRETORIA!A:A),"-")</f>
        <v>DIR. COM E CRED CO E AM</v>
      </c>
      <c r="B233" s="28" t="str">
        <f>IFERROR(_xlfn.XLOOKUP(C233,[1]DIRETORIA!C:C,[1]DIRETORIA!B:B),"-")</f>
        <v>GST. COM AM</v>
      </c>
      <c r="C233" s="28" t="str">
        <f>IFERROR(_xlfn.XLOOKUP(E233,[1]EMPREENDIMENTO!C:C,[1]EMPREENDIMENTO!A:A),"-")</f>
        <v>MANAUS</v>
      </c>
      <c r="D233" s="28" t="s">
        <v>29</v>
      </c>
      <c r="E233" s="28" t="s">
        <v>457</v>
      </c>
      <c r="F233" s="28" t="s">
        <v>36</v>
      </c>
      <c r="G233" s="28" t="s">
        <v>460</v>
      </c>
      <c r="H233" s="28">
        <v>40715</v>
      </c>
      <c r="I233" s="29">
        <f>IFERROR(_xlfn.XLOOKUP(E233,[1]EMPREENDIMENTO!C:C,[1]EMPREENDIMENTO!E:E),"0")</f>
        <v>320</v>
      </c>
      <c r="J233" s="30">
        <v>46678</v>
      </c>
      <c r="K233" s="28" t="s">
        <v>33</v>
      </c>
      <c r="L233" s="31">
        <v>45614</v>
      </c>
      <c r="M233" s="32">
        <v>75180500</v>
      </c>
      <c r="N233" s="32">
        <v>80620700</v>
      </c>
      <c r="O233" s="32">
        <v>80620700</v>
      </c>
      <c r="P233" s="28" t="s">
        <v>34</v>
      </c>
      <c r="Q233" s="28" t="s">
        <v>459</v>
      </c>
      <c r="R233" s="30">
        <v>45614</v>
      </c>
      <c r="S233" s="30">
        <v>45617</v>
      </c>
      <c r="T233" s="33"/>
      <c r="U233" s="34" t="str">
        <f>IFERROR(_xlfn.XLOOKUP(E233,[1]EMPREENDIMENTO!C:C,[1]EMPREENDIMENTO!D:D),"")</f>
        <v>91681350-a81b-ec11-b501-005056856b6c</v>
      </c>
    </row>
    <row r="234" spans="1:21" hidden="1" x14ac:dyDescent="0.35">
      <c r="A234" s="28" t="str">
        <f>IFERROR(_xlfn.XLOOKUP(C234,[1]DIRETORIA!C:C,[1]DIRETORIA!A:A),"-")</f>
        <v>DIR. COM E CRED CO E AM</v>
      </c>
      <c r="B234" s="28" t="str">
        <f>IFERROR(_xlfn.XLOOKUP(C234,[1]DIRETORIA!C:C,[1]DIRETORIA!B:B),"-")</f>
        <v>GST. COM AM</v>
      </c>
      <c r="C234" s="28" t="str">
        <f>IFERROR(_xlfn.XLOOKUP(E234,[1]EMPREENDIMENTO!C:C,[1]EMPREENDIMENTO!A:A),"-")</f>
        <v>MANAUS</v>
      </c>
      <c r="D234" s="28" t="s">
        <v>29</v>
      </c>
      <c r="E234" s="28" t="s">
        <v>457</v>
      </c>
      <c r="F234" s="28" t="s">
        <v>39</v>
      </c>
      <c r="G234" s="28" t="s">
        <v>461</v>
      </c>
      <c r="H234" s="28">
        <v>43736</v>
      </c>
      <c r="I234" s="29">
        <f>IFERROR(_xlfn.XLOOKUP(E234,[1]EMPREENDIMENTO!C:C,[1]EMPREENDIMENTO!E:E),"0")</f>
        <v>320</v>
      </c>
      <c r="J234" s="30">
        <v>46678</v>
      </c>
      <c r="K234" s="28" t="s">
        <v>33</v>
      </c>
      <c r="L234" s="31">
        <v>45614</v>
      </c>
      <c r="M234" s="32">
        <v>75180500</v>
      </c>
      <c r="N234" s="32">
        <v>80620700</v>
      </c>
      <c r="O234" s="32">
        <v>80620700</v>
      </c>
      <c r="P234" s="28" t="s">
        <v>34</v>
      </c>
      <c r="Q234" s="28" t="s">
        <v>459</v>
      </c>
      <c r="R234" s="30">
        <v>45614</v>
      </c>
      <c r="S234" s="30">
        <v>45617</v>
      </c>
      <c r="T234" s="33"/>
      <c r="U234" s="34" t="str">
        <f>IFERROR(_xlfn.XLOOKUP(E234,[1]EMPREENDIMENTO!C:C,[1]EMPREENDIMENTO!D:D),"")</f>
        <v>91681350-a81b-ec11-b501-005056856b6c</v>
      </c>
    </row>
    <row r="235" spans="1:21" hidden="1" x14ac:dyDescent="0.35">
      <c r="A235" s="28" t="str">
        <f>IFERROR(_xlfn.XLOOKUP(C235,[1]DIRETORIA!C:C,[1]DIRETORIA!A:A),"-")</f>
        <v>DIR. COM E CRED NE</v>
      </c>
      <c r="B235" s="28" t="str">
        <f>IFERROR(_xlfn.XLOOKUP(C235,[1]DIRETORIA!C:C,[1]DIRETORIA!B:B),"-")</f>
        <v>GST. COM NE 3 (SE+AL)</v>
      </c>
      <c r="C235" s="28" t="str">
        <f>IFERROR(_xlfn.XLOOKUP(E235,[1]EMPREENDIMENTO!C:C,[1]EMPREENDIMENTO!A:A),"-")</f>
        <v>MACEIÓ</v>
      </c>
      <c r="D235" s="28" t="s">
        <v>29</v>
      </c>
      <c r="E235" s="28" t="s">
        <v>462</v>
      </c>
      <c r="F235" s="28" t="s">
        <v>31</v>
      </c>
      <c r="G235" s="28" t="s">
        <v>463</v>
      </c>
      <c r="H235" s="28">
        <v>36065</v>
      </c>
      <c r="I235" s="29">
        <f>IFERROR(_xlfn.XLOOKUP(E235,[1]EMPREENDIMENTO!C:C,[1]EMPREENDIMENTO!E:E),"0")</f>
        <v>352</v>
      </c>
      <c r="J235" s="30">
        <v>46577</v>
      </c>
      <c r="K235" s="28" t="s">
        <v>33</v>
      </c>
      <c r="L235" s="31">
        <v>45636</v>
      </c>
      <c r="M235" s="32">
        <v>74824230</v>
      </c>
      <c r="N235" s="32">
        <v>84506243</v>
      </c>
      <c r="O235" s="32">
        <v>79252647</v>
      </c>
      <c r="P235" s="28" t="s">
        <v>34</v>
      </c>
      <c r="Q235" s="28" t="s">
        <v>464</v>
      </c>
      <c r="R235" s="30">
        <v>45638</v>
      </c>
      <c r="S235" s="30">
        <v>45636</v>
      </c>
      <c r="T235" s="33"/>
      <c r="U235" s="34" t="str">
        <f>IFERROR(_xlfn.XLOOKUP(E235,[1]EMPREENDIMENTO!C:C,[1]EMPREENDIMENTO!D:D),"")</f>
        <v>4887887e-20b1-ec11-83b8-005056890018</v>
      </c>
    </row>
    <row r="236" spans="1:21" hidden="1" x14ac:dyDescent="0.35">
      <c r="A236" s="28" t="str">
        <f>IFERROR(_xlfn.XLOOKUP(C236,[1]DIRETORIA!C:C,[1]DIRETORIA!A:A),"-")</f>
        <v>DIR. COM E CRED NE</v>
      </c>
      <c r="B236" s="28" t="str">
        <f>IFERROR(_xlfn.XLOOKUP(C236,[1]DIRETORIA!C:C,[1]DIRETORIA!B:B),"-")</f>
        <v>GST. COM NE 3 (SE+AL)</v>
      </c>
      <c r="C236" s="28" t="str">
        <f>IFERROR(_xlfn.XLOOKUP(E236,[1]EMPREENDIMENTO!C:C,[1]EMPREENDIMENTO!A:A),"-")</f>
        <v>MACEIÓ</v>
      </c>
      <c r="D236" s="28" t="s">
        <v>29</v>
      </c>
      <c r="E236" s="28" t="s">
        <v>462</v>
      </c>
      <c r="F236" s="28" t="s">
        <v>36</v>
      </c>
      <c r="G236" s="28" t="s">
        <v>465</v>
      </c>
      <c r="H236" s="28">
        <v>40136</v>
      </c>
      <c r="I236" s="29">
        <f>IFERROR(_xlfn.XLOOKUP(E236,[1]EMPREENDIMENTO!C:C,[1]EMPREENDIMENTO!E:E),"0")</f>
        <v>352</v>
      </c>
      <c r="J236" s="30">
        <v>46577</v>
      </c>
      <c r="K236" s="28" t="s">
        <v>33</v>
      </c>
      <c r="L236" s="31">
        <v>45636</v>
      </c>
      <c r="M236" s="32">
        <v>74824230</v>
      </c>
      <c r="N236" s="32">
        <v>84506243</v>
      </c>
      <c r="O236" s="32">
        <v>79252647</v>
      </c>
      <c r="P236" s="28" t="s">
        <v>34</v>
      </c>
      <c r="Q236" s="28" t="s">
        <v>464</v>
      </c>
      <c r="R236" s="30">
        <v>45638</v>
      </c>
      <c r="S236" s="30">
        <v>45636</v>
      </c>
      <c r="T236" s="33"/>
      <c r="U236" s="34" t="str">
        <f>IFERROR(_xlfn.XLOOKUP(E236,[1]EMPREENDIMENTO!C:C,[1]EMPREENDIMENTO!D:D),"")</f>
        <v>4887887e-20b1-ec11-83b8-005056890018</v>
      </c>
    </row>
    <row r="237" spans="1:21" hidden="1" x14ac:dyDescent="0.35">
      <c r="A237" s="28" t="str">
        <f>IFERROR(_xlfn.XLOOKUP(C237,[1]DIRETORIA!C:C,[1]DIRETORIA!A:A),"-")</f>
        <v>DIR. COM E CRED NE</v>
      </c>
      <c r="B237" s="28" t="str">
        <f>IFERROR(_xlfn.XLOOKUP(C237,[1]DIRETORIA!C:C,[1]DIRETORIA!B:B),"-")</f>
        <v>GST. COM NE 3 (SE+AL)</v>
      </c>
      <c r="C237" s="28" t="str">
        <f>IFERROR(_xlfn.XLOOKUP(E237,[1]EMPREENDIMENTO!C:C,[1]EMPREENDIMENTO!A:A),"-")</f>
        <v>MACEIÓ</v>
      </c>
      <c r="D237" s="28" t="s">
        <v>29</v>
      </c>
      <c r="E237" s="28" t="s">
        <v>462</v>
      </c>
      <c r="F237" s="28" t="s">
        <v>39</v>
      </c>
      <c r="G237" s="28" t="s">
        <v>466</v>
      </c>
      <c r="H237" s="28">
        <v>41756</v>
      </c>
      <c r="I237" s="29">
        <f>IFERROR(_xlfn.XLOOKUP(E237,[1]EMPREENDIMENTO!C:C,[1]EMPREENDIMENTO!E:E),"0")</f>
        <v>352</v>
      </c>
      <c r="J237" s="30">
        <v>46577</v>
      </c>
      <c r="K237" s="28" t="s">
        <v>33</v>
      </c>
      <c r="L237" s="31">
        <v>45636</v>
      </c>
      <c r="M237" s="32">
        <v>74824230</v>
      </c>
      <c r="N237" s="32">
        <v>84506243</v>
      </c>
      <c r="O237" s="32">
        <v>79252647</v>
      </c>
      <c r="P237" s="28" t="s">
        <v>34</v>
      </c>
      <c r="Q237" s="28" t="s">
        <v>464</v>
      </c>
      <c r="R237" s="30">
        <v>45638</v>
      </c>
      <c r="S237" s="30">
        <v>45636</v>
      </c>
      <c r="T237" s="33"/>
      <c r="U237" s="34" t="str">
        <f>IFERROR(_xlfn.XLOOKUP(E237,[1]EMPREENDIMENTO!C:C,[1]EMPREENDIMENTO!D:D),"")</f>
        <v>4887887e-20b1-ec11-83b8-005056890018</v>
      </c>
    </row>
    <row r="238" spans="1:21" hidden="1" x14ac:dyDescent="0.35">
      <c r="A238" s="28" t="str">
        <f>IFERROR(_xlfn.XLOOKUP(C238,[1]DIRETORIA!C:C,[1]DIRETORIA!A:A),"-")</f>
        <v>DIR. COM E CRED SUL</v>
      </c>
      <c r="B238" s="28" t="str">
        <f>IFERROR(_xlfn.XLOOKUP(C238,[1]DIRETORIA!C:C,[1]DIRETORIA!B:B),"-")</f>
        <v>GST. COM RS NORTE</v>
      </c>
      <c r="C238" s="28" t="str">
        <f>IFERROR(_xlfn.XLOOKUP(E238,[1]EMPREENDIMENTO!C:C,[1]EMPREENDIMENTO!A:A),"-")</f>
        <v>SÃO LEOPOLDO</v>
      </c>
      <c r="D238" s="28" t="s">
        <v>29</v>
      </c>
      <c r="E238" s="28" t="s">
        <v>467</v>
      </c>
      <c r="F238" s="28" t="s">
        <v>31</v>
      </c>
      <c r="G238" s="28" t="s">
        <v>468</v>
      </c>
      <c r="H238" s="28">
        <v>17418</v>
      </c>
      <c r="I238" s="29">
        <f>IFERROR(_xlfn.XLOOKUP(E238,[1]EMPREENDIMENTO!C:C,[1]EMPREENDIMENTO!E:E),"0")</f>
        <v>420</v>
      </c>
      <c r="J238" s="30">
        <v>45593</v>
      </c>
      <c r="K238" s="28" t="s">
        <v>33</v>
      </c>
      <c r="L238" s="31">
        <v>45449</v>
      </c>
      <c r="M238" s="32">
        <v>82281600</v>
      </c>
      <c r="N238" s="32">
        <v>92640970</v>
      </c>
      <c r="O238" s="32">
        <v>87424430</v>
      </c>
      <c r="P238" s="28" t="s">
        <v>34</v>
      </c>
      <c r="Q238" s="28" t="s">
        <v>469</v>
      </c>
      <c r="R238" s="30">
        <v>45450</v>
      </c>
      <c r="S238" s="30">
        <v>45449</v>
      </c>
      <c r="T238" s="33"/>
      <c r="U238" s="34" t="str">
        <f>IFERROR(_xlfn.XLOOKUP(E238,[1]EMPREENDIMENTO!C:C,[1]EMPREENDIMENTO!D:D),"")</f>
        <v>3760ec41-95b2-e711-a541-009c02b0cb58</v>
      </c>
    </row>
    <row r="239" spans="1:21" hidden="1" x14ac:dyDescent="0.35">
      <c r="A239" s="28" t="str">
        <f>IFERROR(_xlfn.XLOOKUP(C239,[1]DIRETORIA!C:C,[1]DIRETORIA!A:A),"-")</f>
        <v>DIR. COM E CRED SUL</v>
      </c>
      <c r="B239" s="28" t="str">
        <f>IFERROR(_xlfn.XLOOKUP(C239,[1]DIRETORIA!C:C,[1]DIRETORIA!B:B),"-")</f>
        <v>GST. COM RS NORTE</v>
      </c>
      <c r="C239" s="28" t="str">
        <f>IFERROR(_xlfn.XLOOKUP(E239,[1]EMPREENDIMENTO!C:C,[1]EMPREENDIMENTO!A:A),"-")</f>
        <v>SÃO LEOPOLDO</v>
      </c>
      <c r="D239" s="28" t="s">
        <v>29</v>
      </c>
      <c r="E239" s="28" t="s">
        <v>467</v>
      </c>
      <c r="F239" s="28" t="s">
        <v>36</v>
      </c>
      <c r="G239" s="28" t="s">
        <v>470</v>
      </c>
      <c r="H239" s="28">
        <v>21476</v>
      </c>
      <c r="I239" s="29">
        <f>IFERROR(_xlfn.XLOOKUP(E239,[1]EMPREENDIMENTO!C:C,[1]EMPREENDIMENTO!E:E),"0")</f>
        <v>420</v>
      </c>
      <c r="J239" s="30">
        <v>45593</v>
      </c>
      <c r="K239" s="28" t="s">
        <v>33</v>
      </c>
      <c r="L239" s="31">
        <v>45449</v>
      </c>
      <c r="M239" s="32">
        <v>82281600</v>
      </c>
      <c r="N239" s="32">
        <v>92640970</v>
      </c>
      <c r="O239" s="32">
        <v>87424430</v>
      </c>
      <c r="P239" s="28" t="s">
        <v>34</v>
      </c>
      <c r="Q239" s="28" t="s">
        <v>469</v>
      </c>
      <c r="R239" s="30">
        <v>45450</v>
      </c>
      <c r="S239" s="30">
        <v>45449</v>
      </c>
      <c r="T239" s="33"/>
      <c r="U239" s="34" t="str">
        <f>IFERROR(_xlfn.XLOOKUP(E239,[1]EMPREENDIMENTO!C:C,[1]EMPREENDIMENTO!D:D),"")</f>
        <v>3760ec41-95b2-e711-a541-009c02b0cb58</v>
      </c>
    </row>
    <row r="240" spans="1:21" hidden="1" x14ac:dyDescent="0.35">
      <c r="A240" s="28" t="str">
        <f>IFERROR(_xlfn.XLOOKUP(C240,[1]DIRETORIA!C:C,[1]DIRETORIA!A:A),"-")</f>
        <v>DIR. COM E CRED SUL</v>
      </c>
      <c r="B240" s="28" t="str">
        <f>IFERROR(_xlfn.XLOOKUP(C240,[1]DIRETORIA!C:C,[1]DIRETORIA!B:B),"-")</f>
        <v>GST. COM RS NORTE</v>
      </c>
      <c r="C240" s="28" t="str">
        <f>IFERROR(_xlfn.XLOOKUP(E240,[1]EMPREENDIMENTO!C:C,[1]EMPREENDIMENTO!A:A),"-")</f>
        <v>SÃO LEOPOLDO</v>
      </c>
      <c r="D240" s="28" t="s">
        <v>29</v>
      </c>
      <c r="E240" s="28" t="s">
        <v>467</v>
      </c>
      <c r="F240" s="28" t="s">
        <v>39</v>
      </c>
      <c r="G240" s="28" t="s">
        <v>471</v>
      </c>
      <c r="H240" s="28">
        <v>21477</v>
      </c>
      <c r="I240" s="29">
        <f>IFERROR(_xlfn.XLOOKUP(E240,[1]EMPREENDIMENTO!C:C,[1]EMPREENDIMENTO!E:E),"0")</f>
        <v>420</v>
      </c>
      <c r="J240" s="30">
        <v>45593</v>
      </c>
      <c r="K240" s="28" t="s">
        <v>33</v>
      </c>
      <c r="L240" s="31">
        <v>45449</v>
      </c>
      <c r="M240" s="32">
        <v>82281600</v>
      </c>
      <c r="N240" s="32">
        <v>92640970</v>
      </c>
      <c r="O240" s="32">
        <v>87424430</v>
      </c>
      <c r="P240" s="28" t="s">
        <v>34</v>
      </c>
      <c r="Q240" s="28" t="s">
        <v>469</v>
      </c>
      <c r="R240" s="30">
        <v>45450</v>
      </c>
      <c r="S240" s="30">
        <v>45449</v>
      </c>
      <c r="T240" s="33"/>
      <c r="U240" s="34" t="str">
        <f>IFERROR(_xlfn.XLOOKUP(E240,[1]EMPREENDIMENTO!C:C,[1]EMPREENDIMENTO!D:D),"")</f>
        <v>3760ec41-95b2-e711-a541-009c02b0cb58</v>
      </c>
    </row>
    <row r="241" spans="1:21" x14ac:dyDescent="0.35">
      <c r="A241" s="28" t="str">
        <f>IFERROR(_xlfn.XLOOKUP(C241,[1]DIRETORIA!C:C,[1]DIRETORIA!A:A),"-")</f>
        <v>DIR. COM E CRED SPI</v>
      </c>
      <c r="B241" s="28" t="str">
        <f>IFERROR(_xlfn.XLOOKUP(C241,[1]DIRETORIA!C:C,[1]DIRETORIA!B:B),"-")</f>
        <v>GST. COM RP 1</v>
      </c>
      <c r="C241" s="28" t="str">
        <f>IFERROR(_xlfn.XLOOKUP(E241,[1]EMPREENDIMENTO!C:C,[1]EMPREENDIMENTO!A:A),"-")</f>
        <v>RIBEIRÃO PRETO</v>
      </c>
      <c r="D241" s="28" t="s">
        <v>29</v>
      </c>
      <c r="E241" s="28" t="s">
        <v>472</v>
      </c>
      <c r="F241" s="28" t="s">
        <v>31</v>
      </c>
      <c r="G241" s="28" t="s">
        <v>473</v>
      </c>
      <c r="H241" s="28">
        <v>28612</v>
      </c>
      <c r="I241" s="29">
        <f>IFERROR(_xlfn.XLOOKUP(E241,[1]EMPREENDIMENTO!C:C,[1]EMPREENDIMENTO!E:E),"0")</f>
        <v>352</v>
      </c>
      <c r="J241" s="30">
        <v>46741</v>
      </c>
      <c r="K241" s="28" t="s">
        <v>33</v>
      </c>
      <c r="L241" s="31">
        <v>45747</v>
      </c>
      <c r="M241" s="32">
        <v>74978000</v>
      </c>
      <c r="N241" s="32">
        <v>93200800</v>
      </c>
      <c r="O241" s="32">
        <v>82683800</v>
      </c>
      <c r="P241" s="28" t="s">
        <v>34</v>
      </c>
      <c r="Q241" s="28"/>
      <c r="R241" s="30">
        <v>45746</v>
      </c>
      <c r="S241" s="30">
        <v>45748</v>
      </c>
      <c r="T241" s="33"/>
      <c r="U241" s="34" t="str">
        <f>IFERROR(_xlfn.XLOOKUP(E241,[1]EMPREENDIMENTO!C:C,[1]EMPREENDIMENTO!D:D),"")</f>
        <v>45cb1c25-797b-eb11-8864-0050568aa20f</v>
      </c>
    </row>
    <row r="242" spans="1:21" x14ac:dyDescent="0.35">
      <c r="A242" s="28" t="str">
        <f>IFERROR(_xlfn.XLOOKUP(C242,[1]DIRETORIA!C:C,[1]DIRETORIA!A:A),"-")</f>
        <v>DIR. COM E CRED SPI</v>
      </c>
      <c r="B242" s="28" t="str">
        <f>IFERROR(_xlfn.XLOOKUP(C242,[1]DIRETORIA!C:C,[1]DIRETORIA!B:B),"-")</f>
        <v>GST. COM RP 1</v>
      </c>
      <c r="C242" s="28" t="str">
        <f>IFERROR(_xlfn.XLOOKUP(E242,[1]EMPREENDIMENTO!C:C,[1]EMPREENDIMENTO!A:A),"-")</f>
        <v>RIBEIRÃO PRETO</v>
      </c>
      <c r="D242" s="28" t="s">
        <v>29</v>
      </c>
      <c r="E242" s="28" t="s">
        <v>472</v>
      </c>
      <c r="F242" s="28" t="s">
        <v>36</v>
      </c>
      <c r="G242" s="28" t="s">
        <v>474</v>
      </c>
      <c r="H242" s="28">
        <v>40644</v>
      </c>
      <c r="I242" s="29">
        <f>IFERROR(_xlfn.XLOOKUP(E242,[1]EMPREENDIMENTO!C:C,[1]EMPREENDIMENTO!E:E),"0")</f>
        <v>352</v>
      </c>
      <c r="J242" s="30">
        <v>46741</v>
      </c>
      <c r="K242" s="28" t="s">
        <v>33</v>
      </c>
      <c r="L242" s="31">
        <v>45747</v>
      </c>
      <c r="M242" s="32">
        <v>74978000</v>
      </c>
      <c r="N242" s="32">
        <v>93200800</v>
      </c>
      <c r="O242" s="32">
        <v>82683800</v>
      </c>
      <c r="P242" s="28" t="s">
        <v>34</v>
      </c>
      <c r="Q242" s="28"/>
      <c r="R242" s="30">
        <v>45746</v>
      </c>
      <c r="S242" s="30">
        <v>45748</v>
      </c>
      <c r="T242" s="33"/>
      <c r="U242" s="34" t="str">
        <f>IFERROR(_xlfn.XLOOKUP(E242,[1]EMPREENDIMENTO!C:C,[1]EMPREENDIMENTO!D:D),"")</f>
        <v>45cb1c25-797b-eb11-8864-0050568aa20f</v>
      </c>
    </row>
    <row r="243" spans="1:21" x14ac:dyDescent="0.35">
      <c r="A243" s="28" t="str">
        <f>IFERROR(_xlfn.XLOOKUP(C243,[1]DIRETORIA!C:C,[1]DIRETORIA!A:A),"-")</f>
        <v>DIR. COM E CRED SPI</v>
      </c>
      <c r="B243" s="28" t="str">
        <f>IFERROR(_xlfn.XLOOKUP(C243,[1]DIRETORIA!C:C,[1]DIRETORIA!B:B),"-")</f>
        <v>GST. COM RP 1</v>
      </c>
      <c r="C243" s="28" t="str">
        <f>IFERROR(_xlfn.XLOOKUP(E243,[1]EMPREENDIMENTO!C:C,[1]EMPREENDIMENTO!A:A),"-")</f>
        <v>RIBEIRÃO PRETO</v>
      </c>
      <c r="D243" s="28" t="s">
        <v>29</v>
      </c>
      <c r="E243" s="28" t="s">
        <v>472</v>
      </c>
      <c r="F243" s="28" t="s">
        <v>39</v>
      </c>
      <c r="G243" s="28" t="s">
        <v>475</v>
      </c>
      <c r="H243" s="28">
        <v>44981</v>
      </c>
      <c r="I243" s="29">
        <f>IFERROR(_xlfn.XLOOKUP(E243,[1]EMPREENDIMENTO!C:C,[1]EMPREENDIMENTO!E:E),"0")</f>
        <v>352</v>
      </c>
      <c r="J243" s="30">
        <v>46741</v>
      </c>
      <c r="K243" s="28" t="s">
        <v>33</v>
      </c>
      <c r="L243" s="31">
        <v>45747</v>
      </c>
      <c r="M243" s="32">
        <v>74978000</v>
      </c>
      <c r="N243" s="32">
        <v>93200800</v>
      </c>
      <c r="O243" s="32">
        <v>82683800</v>
      </c>
      <c r="P243" s="28" t="s">
        <v>34</v>
      </c>
      <c r="Q243" s="28"/>
      <c r="R243" s="30">
        <v>45746</v>
      </c>
      <c r="S243" s="30">
        <v>45748</v>
      </c>
      <c r="T243" s="33"/>
      <c r="U243" s="34" t="str">
        <f>IFERROR(_xlfn.XLOOKUP(E243,[1]EMPREENDIMENTO!C:C,[1]EMPREENDIMENTO!D:D),"")</f>
        <v>45cb1c25-797b-eb11-8864-0050568aa20f</v>
      </c>
    </row>
    <row r="244" spans="1:21" x14ac:dyDescent="0.35">
      <c r="A244" s="28" t="str">
        <f>IFERROR(_xlfn.XLOOKUP(C244,[1]DIRETORIA!C:C,[1]DIRETORIA!A:A),"-")</f>
        <v>DIR. COM E CRED SPI</v>
      </c>
      <c r="B244" s="28" t="str">
        <f>IFERROR(_xlfn.XLOOKUP(C244,[1]DIRETORIA!C:C,[1]DIRETORIA!B:B),"-")</f>
        <v>GST. COM OP 2</v>
      </c>
      <c r="C244" s="28" t="str">
        <f>IFERROR(_xlfn.XLOOKUP(E244,[1]EMPREENDIMENTO!C:C,[1]EMPREENDIMENTO!A:A),"-")</f>
        <v>PRESIDENTE PRUDENTE</v>
      </c>
      <c r="D244" s="28" t="s">
        <v>29</v>
      </c>
      <c r="E244" s="28" t="s">
        <v>476</v>
      </c>
      <c r="F244" s="28" t="s">
        <v>31</v>
      </c>
      <c r="G244" s="28" t="s">
        <v>477</v>
      </c>
      <c r="H244" s="28">
        <v>30928</v>
      </c>
      <c r="I244" s="29">
        <f>IFERROR(_xlfn.XLOOKUP(E244,[1]EMPREENDIMENTO!C:C,[1]EMPREENDIMENTO!E:E),"0")</f>
        <v>192</v>
      </c>
      <c r="J244" s="30">
        <v>46111</v>
      </c>
      <c r="K244" s="28" t="s">
        <v>33</v>
      </c>
      <c r="L244" s="31">
        <v>46079</v>
      </c>
      <c r="M244" s="32">
        <v>42652000</v>
      </c>
      <c r="N244" s="32">
        <v>45120000</v>
      </c>
      <c r="O244" s="32">
        <v>42879200</v>
      </c>
      <c r="P244" s="28" t="s">
        <v>34</v>
      </c>
      <c r="Q244" s="28" t="s">
        <v>478</v>
      </c>
      <c r="R244" s="30">
        <v>46093</v>
      </c>
      <c r="S244" s="30">
        <v>46079</v>
      </c>
      <c r="T244" s="33"/>
      <c r="U244" s="34" t="str">
        <f>IFERROR(_xlfn.XLOOKUP(E244,[1]EMPREENDIMENTO!C:C,[1]EMPREENDIMENTO!D:D),"")</f>
        <v>5ac66313-38a1-eb11-94b3-005056856875</v>
      </c>
    </row>
    <row r="245" spans="1:21" x14ac:dyDescent="0.35">
      <c r="A245" s="28" t="str">
        <f>IFERROR(_xlfn.XLOOKUP(C245,[1]DIRETORIA!C:C,[1]DIRETORIA!A:A),"-")</f>
        <v>DIR. COM E CRED SPI</v>
      </c>
      <c r="B245" s="28" t="str">
        <f>IFERROR(_xlfn.XLOOKUP(C245,[1]DIRETORIA!C:C,[1]DIRETORIA!B:B),"-")</f>
        <v>GST. COM OP 2</v>
      </c>
      <c r="C245" s="28" t="str">
        <f>IFERROR(_xlfn.XLOOKUP(E245,[1]EMPREENDIMENTO!C:C,[1]EMPREENDIMENTO!A:A),"-")</f>
        <v>PRESIDENTE PRUDENTE</v>
      </c>
      <c r="D245" s="28" t="s">
        <v>29</v>
      </c>
      <c r="E245" s="28" t="s">
        <v>476</v>
      </c>
      <c r="F245" s="28" t="s">
        <v>36</v>
      </c>
      <c r="G245" s="28" t="s">
        <v>479</v>
      </c>
      <c r="H245" s="28">
        <v>45887</v>
      </c>
      <c r="I245" s="29">
        <f>IFERROR(_xlfn.XLOOKUP(E245,[1]EMPREENDIMENTO!C:C,[1]EMPREENDIMENTO!E:E),"0")</f>
        <v>192</v>
      </c>
      <c r="J245" s="30">
        <v>46111</v>
      </c>
      <c r="K245" s="28" t="s">
        <v>33</v>
      </c>
      <c r="L245" s="31">
        <v>46079</v>
      </c>
      <c r="M245" s="32">
        <v>42652000</v>
      </c>
      <c r="N245" s="32">
        <v>45120000</v>
      </c>
      <c r="O245" s="32">
        <v>42879200</v>
      </c>
      <c r="P245" s="28" t="s">
        <v>34</v>
      </c>
      <c r="Q245" s="28" t="s">
        <v>478</v>
      </c>
      <c r="R245" s="30">
        <v>46093</v>
      </c>
      <c r="S245" s="30">
        <v>46079</v>
      </c>
      <c r="T245" s="33"/>
      <c r="U245" s="34" t="str">
        <f>IFERROR(_xlfn.XLOOKUP(E245,[1]EMPREENDIMENTO!C:C,[1]EMPREENDIMENTO!D:D),"")</f>
        <v>5ac66313-38a1-eb11-94b3-005056856875</v>
      </c>
    </row>
    <row r="246" spans="1:21" hidden="1" x14ac:dyDescent="0.35">
      <c r="A246" s="28" t="str">
        <f>IFERROR(_xlfn.XLOOKUP(C246,[1]DIRETORIA!C:C,[1]DIRETORIA!A:A),"-")</f>
        <v>DIR. COM E CRED SUL</v>
      </c>
      <c r="B246" s="28" t="str">
        <f>IFERROR(_xlfn.XLOOKUP(C246,[1]DIRETORIA!C:C,[1]DIRETORIA!B:B),"-")</f>
        <v>GST. COM RS SUL</v>
      </c>
      <c r="C246" s="28" t="str">
        <f>IFERROR(_xlfn.XLOOKUP(E246,[1]EMPREENDIMENTO!C:C,[1]EMPREENDIMENTO!A:A),"-")</f>
        <v>PORTO ALEGRE</v>
      </c>
      <c r="D246" s="28" t="s">
        <v>29</v>
      </c>
      <c r="E246" s="28" t="s">
        <v>480</v>
      </c>
      <c r="F246" s="28" t="s">
        <v>31</v>
      </c>
      <c r="G246" s="28" t="s">
        <v>481</v>
      </c>
      <c r="H246" s="28">
        <v>10658</v>
      </c>
      <c r="I246" s="29">
        <f>IFERROR(_xlfn.XLOOKUP(E246,[1]EMPREENDIMENTO!C:C,[1]EMPREENDIMENTO!E:E),"0")</f>
        <v>672</v>
      </c>
      <c r="J246" s="30">
        <v>45691</v>
      </c>
      <c r="K246" s="28" t="s">
        <v>33</v>
      </c>
      <c r="L246" s="31">
        <v>45429</v>
      </c>
      <c r="M246" s="32">
        <v>170124098</v>
      </c>
      <c r="N246" s="32">
        <v>179515700</v>
      </c>
      <c r="O246" s="32">
        <v>176076080</v>
      </c>
      <c r="P246" s="28" t="s">
        <v>34</v>
      </c>
      <c r="Q246" s="28" t="s">
        <v>482</v>
      </c>
      <c r="R246" s="30">
        <v>45660</v>
      </c>
      <c r="S246" s="30">
        <v>45636</v>
      </c>
      <c r="T246" s="33"/>
      <c r="U246" s="34" t="str">
        <f>IFERROR(_xlfn.XLOOKUP(E246,[1]EMPREENDIMENTO!C:C,[1]EMPREENDIMENTO!D:D),"")</f>
        <v>64b63271-2f8d-e411-b5d2-009c02b0cb58</v>
      </c>
    </row>
    <row r="247" spans="1:21" hidden="1" x14ac:dyDescent="0.35">
      <c r="A247" s="28" t="str">
        <f>IFERROR(_xlfn.XLOOKUP(C247,[1]DIRETORIA!C:C,[1]DIRETORIA!A:A),"-")</f>
        <v>DIR. COM E CRED SUL</v>
      </c>
      <c r="B247" s="28" t="str">
        <f>IFERROR(_xlfn.XLOOKUP(C247,[1]DIRETORIA!C:C,[1]DIRETORIA!B:B),"-")</f>
        <v>GST. COM RS SUL</v>
      </c>
      <c r="C247" s="28" t="str">
        <f>IFERROR(_xlfn.XLOOKUP(E247,[1]EMPREENDIMENTO!C:C,[1]EMPREENDIMENTO!A:A),"-")</f>
        <v>PORTO ALEGRE</v>
      </c>
      <c r="D247" s="28" t="s">
        <v>29</v>
      </c>
      <c r="E247" s="28" t="s">
        <v>480</v>
      </c>
      <c r="F247" s="28" t="s">
        <v>36</v>
      </c>
      <c r="G247" s="28" t="s">
        <v>483</v>
      </c>
      <c r="H247" s="28">
        <v>20753</v>
      </c>
      <c r="I247" s="29">
        <f>IFERROR(_xlfn.XLOOKUP(E247,[1]EMPREENDIMENTO!C:C,[1]EMPREENDIMENTO!E:E),"0")</f>
        <v>672</v>
      </c>
      <c r="J247" s="30">
        <v>45691</v>
      </c>
      <c r="K247" s="28" t="s">
        <v>33</v>
      </c>
      <c r="L247" s="31">
        <v>45429</v>
      </c>
      <c r="M247" s="32">
        <v>170124098</v>
      </c>
      <c r="N247" s="32">
        <v>179515700</v>
      </c>
      <c r="O247" s="32">
        <v>176076080</v>
      </c>
      <c r="P247" s="28" t="s">
        <v>34</v>
      </c>
      <c r="Q247" s="28" t="s">
        <v>482</v>
      </c>
      <c r="R247" s="30">
        <v>45660</v>
      </c>
      <c r="S247" s="30">
        <v>45636</v>
      </c>
      <c r="T247" s="33"/>
      <c r="U247" s="34" t="str">
        <f>IFERROR(_xlfn.XLOOKUP(E247,[1]EMPREENDIMENTO!C:C,[1]EMPREENDIMENTO!D:D),"")</f>
        <v>64b63271-2f8d-e411-b5d2-009c02b0cb58</v>
      </c>
    </row>
    <row r="248" spans="1:21" hidden="1" x14ac:dyDescent="0.35">
      <c r="A248" s="28" t="str">
        <f>IFERROR(_xlfn.XLOOKUP(C248,[1]DIRETORIA!C:C,[1]DIRETORIA!A:A),"-")</f>
        <v>DIR. COM E CRED SUL</v>
      </c>
      <c r="B248" s="28" t="str">
        <f>IFERROR(_xlfn.XLOOKUP(C248,[1]DIRETORIA!C:C,[1]DIRETORIA!B:B),"-")</f>
        <v>GST. COM RS SUL</v>
      </c>
      <c r="C248" s="28" t="str">
        <f>IFERROR(_xlfn.XLOOKUP(E248,[1]EMPREENDIMENTO!C:C,[1]EMPREENDIMENTO!A:A),"-")</f>
        <v>PORTO ALEGRE</v>
      </c>
      <c r="D248" s="28" t="s">
        <v>29</v>
      </c>
      <c r="E248" s="28" t="s">
        <v>480</v>
      </c>
      <c r="F248" s="28" t="s">
        <v>39</v>
      </c>
      <c r="G248" s="28" t="s">
        <v>484</v>
      </c>
      <c r="H248" s="28">
        <v>20754</v>
      </c>
      <c r="I248" s="29">
        <f>IFERROR(_xlfn.XLOOKUP(E248,[1]EMPREENDIMENTO!C:C,[1]EMPREENDIMENTO!E:E),"0")</f>
        <v>672</v>
      </c>
      <c r="J248" s="30">
        <v>45691</v>
      </c>
      <c r="K248" s="28" t="s">
        <v>33</v>
      </c>
      <c r="L248" s="31">
        <v>45429</v>
      </c>
      <c r="M248" s="32">
        <v>170124098</v>
      </c>
      <c r="N248" s="32">
        <v>179515700</v>
      </c>
      <c r="O248" s="32">
        <v>176076080</v>
      </c>
      <c r="P248" s="28" t="s">
        <v>34</v>
      </c>
      <c r="Q248" s="28" t="s">
        <v>482</v>
      </c>
      <c r="R248" s="30">
        <v>45660</v>
      </c>
      <c r="S248" s="30">
        <v>45636</v>
      </c>
      <c r="T248" s="33"/>
      <c r="U248" s="34" t="str">
        <f>IFERROR(_xlfn.XLOOKUP(E248,[1]EMPREENDIMENTO!C:C,[1]EMPREENDIMENTO!D:D),"")</f>
        <v>64b63271-2f8d-e411-b5d2-009c02b0cb58</v>
      </c>
    </row>
    <row r="249" spans="1:21" hidden="1" x14ac:dyDescent="0.35">
      <c r="A249" s="28" t="str">
        <f>IFERROR(_xlfn.XLOOKUP(C249,[1]DIRETORIA!C:C,[1]DIRETORIA!A:A),"-")</f>
        <v>DIR. COM E CRED SUL</v>
      </c>
      <c r="B249" s="28" t="str">
        <f>IFERROR(_xlfn.XLOOKUP(C249,[1]DIRETORIA!C:C,[1]DIRETORIA!B:B),"-")</f>
        <v>GST. COM RS SUL</v>
      </c>
      <c r="C249" s="28" t="str">
        <f>IFERROR(_xlfn.XLOOKUP(E249,[1]EMPREENDIMENTO!C:C,[1]EMPREENDIMENTO!A:A),"-")</f>
        <v>PORTO ALEGRE</v>
      </c>
      <c r="D249" s="28" t="s">
        <v>29</v>
      </c>
      <c r="E249" s="28" t="s">
        <v>480</v>
      </c>
      <c r="F249" s="28" t="s">
        <v>50</v>
      </c>
      <c r="G249" s="28" t="s">
        <v>485</v>
      </c>
      <c r="H249" s="28">
        <v>20755</v>
      </c>
      <c r="I249" s="29">
        <f>IFERROR(_xlfn.XLOOKUP(E249,[1]EMPREENDIMENTO!C:C,[1]EMPREENDIMENTO!E:E),"0")</f>
        <v>672</v>
      </c>
      <c r="J249" s="30">
        <v>45691</v>
      </c>
      <c r="K249" s="28" t="s">
        <v>33</v>
      </c>
      <c r="L249" s="31">
        <v>45429</v>
      </c>
      <c r="M249" s="32">
        <v>170124098</v>
      </c>
      <c r="N249" s="32">
        <v>179515700</v>
      </c>
      <c r="O249" s="32">
        <v>176076080</v>
      </c>
      <c r="P249" s="28" t="s">
        <v>34</v>
      </c>
      <c r="Q249" s="28" t="s">
        <v>482</v>
      </c>
      <c r="R249" s="30">
        <v>45660</v>
      </c>
      <c r="S249" s="30">
        <v>45636</v>
      </c>
      <c r="T249" s="33"/>
      <c r="U249" s="34" t="str">
        <f>IFERROR(_xlfn.XLOOKUP(E249,[1]EMPREENDIMENTO!C:C,[1]EMPREENDIMENTO!D:D),"")</f>
        <v>64b63271-2f8d-e411-b5d2-009c02b0cb58</v>
      </c>
    </row>
    <row r="250" spans="1:21" hidden="1" x14ac:dyDescent="0.35">
      <c r="A250" s="28" t="str">
        <f>IFERROR(_xlfn.XLOOKUP(C250,[1]DIRETORIA!C:C,[1]DIRETORIA!A:A),"-")</f>
        <v>DIR. COM E CRED SUL</v>
      </c>
      <c r="B250" s="28" t="str">
        <f>IFERROR(_xlfn.XLOOKUP(C250,[1]DIRETORIA!C:C,[1]DIRETORIA!B:B),"-")</f>
        <v>GST. COM CURITIBA</v>
      </c>
      <c r="C250" s="28" t="str">
        <f>IFERROR(_xlfn.XLOOKUP(E250,[1]EMPREENDIMENTO!C:C,[1]EMPREENDIMENTO!A:A),"-")</f>
        <v>CURITIBA</v>
      </c>
      <c r="D250" s="28" t="s">
        <v>29</v>
      </c>
      <c r="E250" s="28" t="s">
        <v>486</v>
      </c>
      <c r="F250" s="28" t="s">
        <v>31</v>
      </c>
      <c r="G250" s="28" t="s">
        <v>487</v>
      </c>
      <c r="H250" s="28">
        <v>35652</v>
      </c>
      <c r="I250" s="29">
        <f>IFERROR(_xlfn.XLOOKUP(E250,[1]EMPREENDIMENTO!C:C,[1]EMPREENDIMENTO!E:E),"0")</f>
        <v>208</v>
      </c>
      <c r="J250" s="30">
        <v>46148</v>
      </c>
      <c r="K250" s="28" t="s">
        <v>33</v>
      </c>
      <c r="L250" s="31">
        <v>45628</v>
      </c>
      <c r="M250" s="32">
        <v>66756000</v>
      </c>
      <c r="N250" s="32">
        <v>67556000</v>
      </c>
      <c r="O250" s="32">
        <v>57108000</v>
      </c>
      <c r="P250" s="28" t="s">
        <v>34</v>
      </c>
      <c r="Q250" s="28" t="s">
        <v>488</v>
      </c>
      <c r="R250" s="30">
        <v>45155</v>
      </c>
      <c r="S250" s="30">
        <v>45149</v>
      </c>
      <c r="T250" s="33"/>
      <c r="U250" s="34" t="str">
        <f>IFERROR(_xlfn.XLOOKUP(E250,[1]EMPREENDIMENTO!C:C,[1]EMPREENDIMENTO!D:D),"")</f>
        <v>dbafe985-a2b5-ec11-a74f-005056890018</v>
      </c>
    </row>
    <row r="251" spans="1:21" hidden="1" x14ac:dyDescent="0.35">
      <c r="A251" s="28" t="str">
        <f>IFERROR(_xlfn.XLOOKUP(C251,[1]DIRETORIA!C:C,[1]DIRETORIA!A:A),"-")</f>
        <v>DIR. COM E CRED SUL</v>
      </c>
      <c r="B251" s="28" t="str">
        <f>IFERROR(_xlfn.XLOOKUP(C251,[1]DIRETORIA!C:C,[1]DIRETORIA!B:B),"-")</f>
        <v>GST. COM CURITIBA</v>
      </c>
      <c r="C251" s="28" t="str">
        <f>IFERROR(_xlfn.XLOOKUP(E251,[1]EMPREENDIMENTO!C:C,[1]EMPREENDIMENTO!A:A),"-")</f>
        <v>CURITIBA</v>
      </c>
      <c r="D251" s="28" t="s">
        <v>29</v>
      </c>
      <c r="E251" s="28" t="s">
        <v>486</v>
      </c>
      <c r="F251" s="28" t="s">
        <v>36</v>
      </c>
      <c r="G251" s="28" t="s">
        <v>489</v>
      </c>
      <c r="H251" s="28">
        <v>38634</v>
      </c>
      <c r="I251" s="29">
        <f>IFERROR(_xlfn.XLOOKUP(E251,[1]EMPREENDIMENTO!C:C,[1]EMPREENDIMENTO!E:E),"0")</f>
        <v>208</v>
      </c>
      <c r="J251" s="30">
        <v>46148</v>
      </c>
      <c r="K251" s="28" t="s">
        <v>33</v>
      </c>
      <c r="L251" s="31">
        <v>45628</v>
      </c>
      <c r="M251" s="32">
        <v>66756000</v>
      </c>
      <c r="N251" s="32">
        <v>67556000</v>
      </c>
      <c r="O251" s="32">
        <v>57108000</v>
      </c>
      <c r="P251" s="28" t="s">
        <v>34</v>
      </c>
      <c r="Q251" s="28" t="s">
        <v>488</v>
      </c>
      <c r="R251" s="30">
        <v>45155</v>
      </c>
      <c r="S251" s="30">
        <v>45149</v>
      </c>
      <c r="T251" s="33"/>
      <c r="U251" s="34" t="str">
        <f>IFERROR(_xlfn.XLOOKUP(E251,[1]EMPREENDIMENTO!C:C,[1]EMPREENDIMENTO!D:D),"")</f>
        <v>dbafe985-a2b5-ec11-a74f-005056890018</v>
      </c>
    </row>
    <row r="252" spans="1:21" x14ac:dyDescent="0.35">
      <c r="A252" s="28" t="str">
        <f>IFERROR(_xlfn.XLOOKUP(C252,[1]DIRETORIA!C:C,[1]DIRETORIA!A:A),"-")</f>
        <v>DIR. COM E CRED SPI</v>
      </c>
      <c r="B252" s="28" t="str">
        <f>IFERROR(_xlfn.XLOOKUP(C252,[1]DIRETORIA!C:C,[1]DIRETORIA!B:B),"-")</f>
        <v>GST. COM OP 1</v>
      </c>
      <c r="C252" s="28" t="str">
        <f>IFERROR(_xlfn.XLOOKUP(E252,[1]EMPREENDIMENTO!C:C,[1]EMPREENDIMENTO!A:A),"-")</f>
        <v>SÃO JOSÉ DO RIO PRETO</v>
      </c>
      <c r="D252" s="28" t="s">
        <v>29</v>
      </c>
      <c r="E252" s="28" t="s">
        <v>490</v>
      </c>
      <c r="F252" s="28" t="s">
        <v>31</v>
      </c>
      <c r="G252" s="28" t="s">
        <v>491</v>
      </c>
      <c r="H252" s="28">
        <v>31438</v>
      </c>
      <c r="I252" s="29">
        <f>IFERROR(_xlfn.XLOOKUP(E252,[1]EMPREENDIMENTO!C:C,[1]EMPREENDIMENTO!E:E),"0")</f>
        <v>272</v>
      </c>
      <c r="J252" s="30">
        <v>46559</v>
      </c>
      <c r="K252" s="28" t="s">
        <v>33</v>
      </c>
      <c r="L252" s="31">
        <v>45905</v>
      </c>
      <c r="M252" s="32">
        <v>93475800</v>
      </c>
      <c r="N252" s="32">
        <v>102984100</v>
      </c>
      <c r="O252" s="32">
        <v>100702000</v>
      </c>
      <c r="P252" s="28" t="s">
        <v>34</v>
      </c>
      <c r="Q252" s="28" t="s">
        <v>492</v>
      </c>
      <c r="R252" s="30">
        <v>45922</v>
      </c>
      <c r="S252" s="30">
        <v>45905</v>
      </c>
      <c r="T252" s="33"/>
      <c r="U252" s="34" t="str">
        <f>IFERROR(_xlfn.XLOOKUP(E252,[1]EMPREENDIMENTO!C:C,[1]EMPREENDIMENTO!D:D),"")</f>
        <v>03733c83-1041-e911-810a-80c16e075108</v>
      </c>
    </row>
    <row r="253" spans="1:21" x14ac:dyDescent="0.35">
      <c r="A253" s="28" t="str">
        <f>IFERROR(_xlfn.XLOOKUP(C253,[1]DIRETORIA!C:C,[1]DIRETORIA!A:A),"-")</f>
        <v>DIR. COM E CRED SPI</v>
      </c>
      <c r="B253" s="28" t="str">
        <f>IFERROR(_xlfn.XLOOKUP(C253,[1]DIRETORIA!C:C,[1]DIRETORIA!B:B),"-")</f>
        <v>GST. COM OP 1</v>
      </c>
      <c r="C253" s="28" t="str">
        <f>IFERROR(_xlfn.XLOOKUP(E253,[1]EMPREENDIMENTO!C:C,[1]EMPREENDIMENTO!A:A),"-")</f>
        <v>SÃO JOSÉ DO RIO PRETO</v>
      </c>
      <c r="D253" s="28" t="s">
        <v>29</v>
      </c>
      <c r="E253" s="28" t="s">
        <v>490</v>
      </c>
      <c r="F253" s="28" t="s">
        <v>36</v>
      </c>
      <c r="G253" s="28" t="s">
        <v>493</v>
      </c>
      <c r="H253" s="28">
        <v>35600</v>
      </c>
      <c r="I253" s="29">
        <f>IFERROR(_xlfn.XLOOKUP(E253,[1]EMPREENDIMENTO!C:C,[1]EMPREENDIMENTO!E:E),"0")</f>
        <v>272</v>
      </c>
      <c r="J253" s="30">
        <v>46559</v>
      </c>
      <c r="K253" s="28" t="s">
        <v>33</v>
      </c>
      <c r="L253" s="31">
        <v>45905</v>
      </c>
      <c r="M253" s="32">
        <v>93475800</v>
      </c>
      <c r="N253" s="32">
        <v>102984100</v>
      </c>
      <c r="O253" s="32">
        <v>100702000</v>
      </c>
      <c r="P253" s="28" t="s">
        <v>34</v>
      </c>
      <c r="Q253" s="28" t="s">
        <v>492</v>
      </c>
      <c r="R253" s="30">
        <v>45922</v>
      </c>
      <c r="S253" s="30">
        <v>45905</v>
      </c>
      <c r="T253" s="33"/>
      <c r="U253" s="34" t="str">
        <f>IFERROR(_xlfn.XLOOKUP(E253,[1]EMPREENDIMENTO!C:C,[1]EMPREENDIMENTO!D:D),"")</f>
        <v>03733c83-1041-e911-810a-80c16e075108</v>
      </c>
    </row>
    <row r="254" spans="1:21" hidden="1" x14ac:dyDescent="0.35">
      <c r="A254" s="28" t="str">
        <f>IFERROR(_xlfn.XLOOKUP(C254,[1]DIRETORIA!C:C,[1]DIRETORIA!A:A),"-")</f>
        <v>DIR. COM E CRED SUL</v>
      </c>
      <c r="B254" s="28" t="str">
        <f>IFERROR(_xlfn.XLOOKUP(C254,[1]DIRETORIA!C:C,[1]DIRETORIA!B:B),"-")</f>
        <v>GST. COM RS NORTE</v>
      </c>
      <c r="C254" s="28" t="str">
        <f>IFERROR(_xlfn.XLOOKUP(E254,[1]EMPREENDIMENTO!C:C,[1]EMPREENDIMENTO!A:A),"-")</f>
        <v>SÃO LEOPOLDO</v>
      </c>
      <c r="D254" s="28" t="s">
        <v>29</v>
      </c>
      <c r="E254" s="28" t="s">
        <v>494</v>
      </c>
      <c r="F254" s="28" t="s">
        <v>31</v>
      </c>
      <c r="G254" s="28" t="s">
        <v>495</v>
      </c>
      <c r="H254" s="28">
        <v>22461</v>
      </c>
      <c r="I254" s="29">
        <f>IFERROR(_xlfn.XLOOKUP(E254,[1]EMPREENDIMENTO!C:C,[1]EMPREENDIMENTO!E:E),"0")</f>
        <v>380</v>
      </c>
      <c r="J254" s="30">
        <v>46772</v>
      </c>
      <c r="K254" s="28" t="s">
        <v>33</v>
      </c>
      <c r="L254" s="31">
        <v>45798</v>
      </c>
      <c r="M254" s="32">
        <v>84732000</v>
      </c>
      <c r="N254" s="32">
        <v>88094232</v>
      </c>
      <c r="O254" s="32">
        <v>88094232</v>
      </c>
      <c r="P254" s="28" t="s">
        <v>34</v>
      </c>
      <c r="Q254" s="28" t="s">
        <v>496</v>
      </c>
      <c r="R254" s="30">
        <v>45805</v>
      </c>
      <c r="S254" s="30">
        <v>45798</v>
      </c>
      <c r="T254" s="33"/>
      <c r="U254" s="34" t="str">
        <f>IFERROR(_xlfn.XLOOKUP(E254,[1]EMPREENDIMENTO!C:C,[1]EMPREENDIMENTO!D:D),"")</f>
        <v>8fbbc1d5-1af2-e711-b989-80c16e075108</v>
      </c>
    </row>
    <row r="255" spans="1:21" hidden="1" x14ac:dyDescent="0.35">
      <c r="A255" s="28" t="str">
        <f>IFERROR(_xlfn.XLOOKUP(C255,[1]DIRETORIA!C:C,[1]DIRETORIA!A:A),"-")</f>
        <v>DIR. COM E CRED SUL</v>
      </c>
      <c r="B255" s="28" t="str">
        <f>IFERROR(_xlfn.XLOOKUP(C255,[1]DIRETORIA!C:C,[1]DIRETORIA!B:B),"-")</f>
        <v>GST. COM RS NORTE</v>
      </c>
      <c r="C255" s="28" t="str">
        <f>IFERROR(_xlfn.XLOOKUP(E255,[1]EMPREENDIMENTO!C:C,[1]EMPREENDIMENTO!A:A),"-")</f>
        <v>SÃO LEOPOLDO</v>
      </c>
      <c r="D255" s="28" t="s">
        <v>29</v>
      </c>
      <c r="E255" s="28" t="s">
        <v>494</v>
      </c>
      <c r="F255" s="28" t="s">
        <v>36</v>
      </c>
      <c r="G255" s="28" t="s">
        <v>497</v>
      </c>
      <c r="H255" s="28">
        <v>43758</v>
      </c>
      <c r="I255" s="29">
        <f>IFERROR(_xlfn.XLOOKUP(E255,[1]EMPREENDIMENTO!C:C,[1]EMPREENDIMENTO!E:E),"0")</f>
        <v>380</v>
      </c>
      <c r="J255" s="30">
        <v>46772</v>
      </c>
      <c r="K255" s="28" t="s">
        <v>33</v>
      </c>
      <c r="L255" s="31">
        <v>45798</v>
      </c>
      <c r="M255" s="32">
        <v>84732000</v>
      </c>
      <c r="N255" s="32">
        <v>88094232</v>
      </c>
      <c r="O255" s="32">
        <v>88094232</v>
      </c>
      <c r="P255" s="28" t="s">
        <v>34</v>
      </c>
      <c r="Q255" s="28" t="s">
        <v>496</v>
      </c>
      <c r="R255" s="30">
        <v>45805</v>
      </c>
      <c r="S255" s="30">
        <v>45798</v>
      </c>
      <c r="T255" s="33"/>
      <c r="U255" s="34" t="str">
        <f>IFERROR(_xlfn.XLOOKUP(E255,[1]EMPREENDIMENTO!C:C,[1]EMPREENDIMENTO!D:D),"")</f>
        <v>8fbbc1d5-1af2-e711-b989-80c16e075108</v>
      </c>
    </row>
    <row r="256" spans="1:21" hidden="1" x14ac:dyDescent="0.35">
      <c r="A256" s="28" t="str">
        <f>IFERROR(_xlfn.XLOOKUP(C256,[1]DIRETORIA!C:C,[1]DIRETORIA!A:A),"-")</f>
        <v>DIR. COM E CRED SUL</v>
      </c>
      <c r="B256" s="28" t="str">
        <f>IFERROR(_xlfn.XLOOKUP(C256,[1]DIRETORIA!C:C,[1]DIRETORIA!B:B),"-")</f>
        <v>GST. COM RS NORTE</v>
      </c>
      <c r="C256" s="28" t="str">
        <f>IFERROR(_xlfn.XLOOKUP(E256,[1]EMPREENDIMENTO!C:C,[1]EMPREENDIMENTO!A:A),"-")</f>
        <v>SÃO LEOPOLDO</v>
      </c>
      <c r="D256" s="28" t="s">
        <v>29</v>
      </c>
      <c r="E256" s="28" t="s">
        <v>494</v>
      </c>
      <c r="F256" s="28" t="s">
        <v>39</v>
      </c>
      <c r="G256" s="28" t="s">
        <v>498</v>
      </c>
      <c r="H256" s="28">
        <v>52210</v>
      </c>
      <c r="I256" s="29">
        <f>IFERROR(_xlfn.XLOOKUP(E256,[1]EMPREENDIMENTO!C:C,[1]EMPREENDIMENTO!E:E),"0")</f>
        <v>380</v>
      </c>
      <c r="J256" s="30">
        <v>46772</v>
      </c>
      <c r="K256" s="28" t="s">
        <v>33</v>
      </c>
      <c r="L256" s="31">
        <v>45798</v>
      </c>
      <c r="M256" s="32">
        <v>84732000</v>
      </c>
      <c r="N256" s="32">
        <v>88094232</v>
      </c>
      <c r="O256" s="32">
        <v>88094232</v>
      </c>
      <c r="P256" s="28" t="s">
        <v>34</v>
      </c>
      <c r="Q256" s="28" t="s">
        <v>496</v>
      </c>
      <c r="R256" s="30">
        <v>45805</v>
      </c>
      <c r="S256" s="30">
        <v>45798</v>
      </c>
      <c r="T256" s="33"/>
      <c r="U256" s="34" t="str">
        <f>IFERROR(_xlfn.XLOOKUP(E256,[1]EMPREENDIMENTO!C:C,[1]EMPREENDIMENTO!D:D),"")</f>
        <v>8fbbc1d5-1af2-e711-b989-80c16e075108</v>
      </c>
    </row>
    <row r="257" spans="1:21" hidden="1" x14ac:dyDescent="0.35">
      <c r="A257" s="28" t="str">
        <f>IFERROR(_xlfn.XLOOKUP(C257,[1]DIRETORIA!C:C,[1]DIRETORIA!A:A),"-")</f>
        <v>DIR. COM E CRED NE</v>
      </c>
      <c r="B257" s="28" t="str">
        <f>IFERROR(_xlfn.XLOOKUP(C257,[1]DIRETORIA!C:C,[1]DIRETORIA!B:B),"-")</f>
        <v>GST. COM NE 7 (PI+MA)</v>
      </c>
      <c r="C257" s="28" t="str">
        <f>IFERROR(_xlfn.XLOOKUP(E257,[1]EMPREENDIMENTO!C:C,[1]EMPREENDIMENTO!A:A),"-")</f>
        <v>TERESINA</v>
      </c>
      <c r="D257" s="28" t="s">
        <v>29</v>
      </c>
      <c r="E257" s="28" t="s">
        <v>499</v>
      </c>
      <c r="F257" s="28" t="s">
        <v>31</v>
      </c>
      <c r="G257" s="28" t="s">
        <v>500</v>
      </c>
      <c r="H257" s="28">
        <v>58246</v>
      </c>
      <c r="I257" s="29">
        <f>IFERROR(_xlfn.XLOOKUP(E257,[1]EMPREENDIMENTO!C:C,[1]EMPREENDIMENTO!E:E),"0")</f>
        <v>416</v>
      </c>
      <c r="J257" s="30"/>
      <c r="K257" s="28" t="s">
        <v>164</v>
      </c>
      <c r="L257" s="31">
        <v>46157</v>
      </c>
      <c r="M257" s="32">
        <v>100790797</v>
      </c>
      <c r="N257" s="32"/>
      <c r="O257" s="32"/>
      <c r="P257" s="28" t="s">
        <v>5</v>
      </c>
      <c r="Q257" s="28"/>
      <c r="R257" s="30"/>
      <c r="S257" s="30"/>
      <c r="T257" s="33"/>
      <c r="U257" s="34" t="str">
        <f>IFERROR(_xlfn.XLOOKUP(E257,[1]EMPREENDIMENTO!C:C,[1]EMPREENDIMENTO!D:D),"")</f>
        <v>09c741a5-35aa-e811-944b-009c02b0cb58</v>
      </c>
    </row>
    <row r="258" spans="1:21" hidden="1" x14ac:dyDescent="0.35">
      <c r="A258" s="28" t="str">
        <f>IFERROR(_xlfn.XLOOKUP(C258,[1]DIRETORIA!C:C,[1]DIRETORIA!A:A),"-")</f>
        <v>DIR. COM E CRED NE</v>
      </c>
      <c r="B258" s="28" t="str">
        <f>IFERROR(_xlfn.XLOOKUP(C258,[1]DIRETORIA!C:C,[1]DIRETORIA!B:B),"-")</f>
        <v>GST. COM NE 7 (PI+MA)</v>
      </c>
      <c r="C258" s="28" t="str">
        <f>IFERROR(_xlfn.XLOOKUP(E258,[1]EMPREENDIMENTO!C:C,[1]EMPREENDIMENTO!A:A),"-")</f>
        <v>TERESINA</v>
      </c>
      <c r="D258" s="28" t="s">
        <v>85</v>
      </c>
      <c r="E258" s="28" t="s">
        <v>499</v>
      </c>
      <c r="F258" s="28" t="s">
        <v>36</v>
      </c>
      <c r="G258" s="28" t="s">
        <v>268</v>
      </c>
      <c r="H258" s="28">
        <v>68342</v>
      </c>
      <c r="I258" s="29">
        <f>IFERROR(_xlfn.XLOOKUP(E258,[1]EMPREENDIMENTO!C:C,[1]EMPREENDIMENTO!E:E),"0")</f>
        <v>416</v>
      </c>
      <c r="J258" s="30"/>
      <c r="K258" s="28" t="s">
        <v>164</v>
      </c>
      <c r="L258" s="31">
        <v>46157</v>
      </c>
      <c r="M258" s="32">
        <v>100790797</v>
      </c>
      <c r="N258" s="32"/>
      <c r="O258" s="32"/>
      <c r="P258" s="28" t="s">
        <v>5</v>
      </c>
      <c r="Q258" s="28"/>
      <c r="R258" s="30"/>
      <c r="S258" s="30"/>
      <c r="T258" s="33"/>
      <c r="U258" s="34" t="str">
        <f>IFERROR(_xlfn.XLOOKUP(E258,[1]EMPREENDIMENTO!C:C,[1]EMPREENDIMENTO!D:D),"")</f>
        <v>09c741a5-35aa-e811-944b-009c02b0cb58</v>
      </c>
    </row>
    <row r="259" spans="1:21" hidden="1" x14ac:dyDescent="0.35">
      <c r="A259" s="28" t="str">
        <f>IFERROR(_xlfn.XLOOKUP(C259,[1]DIRETORIA!C:C,[1]DIRETORIA!A:A),"-")</f>
        <v>DIR. COM E CRED NE</v>
      </c>
      <c r="B259" s="28" t="str">
        <f>IFERROR(_xlfn.XLOOKUP(C259,[1]DIRETORIA!C:C,[1]DIRETORIA!B:B),"-")</f>
        <v>GST. COM NE 7 (PI+MA)</v>
      </c>
      <c r="C259" s="28" t="str">
        <f>IFERROR(_xlfn.XLOOKUP(E259,[1]EMPREENDIMENTO!C:C,[1]EMPREENDIMENTO!A:A),"-")</f>
        <v>TERESINA</v>
      </c>
      <c r="D259" s="28" t="s">
        <v>85</v>
      </c>
      <c r="E259" s="28" t="s">
        <v>499</v>
      </c>
      <c r="F259" s="28" t="s">
        <v>39</v>
      </c>
      <c r="G259" s="28" t="s">
        <v>268</v>
      </c>
      <c r="H259" s="28" t="s">
        <v>268</v>
      </c>
      <c r="I259" s="29">
        <f>IFERROR(_xlfn.XLOOKUP(E259,[1]EMPREENDIMENTO!C:C,[1]EMPREENDIMENTO!E:E),"0")</f>
        <v>416</v>
      </c>
      <c r="J259" s="30"/>
      <c r="K259" s="28" t="s">
        <v>164</v>
      </c>
      <c r="L259" s="31">
        <v>46157</v>
      </c>
      <c r="M259" s="32">
        <v>100790797</v>
      </c>
      <c r="N259" s="32"/>
      <c r="O259" s="32"/>
      <c r="P259" s="28" t="s">
        <v>5</v>
      </c>
      <c r="Q259" s="28"/>
      <c r="R259" s="30"/>
      <c r="S259" s="30"/>
      <c r="T259" s="33"/>
      <c r="U259" s="34" t="str">
        <f>IFERROR(_xlfn.XLOOKUP(E259,[1]EMPREENDIMENTO!C:C,[1]EMPREENDIMENTO!D:D),"")</f>
        <v>09c741a5-35aa-e811-944b-009c02b0cb58</v>
      </c>
    </row>
    <row r="260" spans="1:21" x14ac:dyDescent="0.35">
      <c r="A260" s="28" t="str">
        <f>IFERROR(_xlfn.XLOOKUP(C260,[1]DIRETORIA!C:C,[1]DIRETORIA!A:A),"-")</f>
        <v>DIR. COM E CRED SPI</v>
      </c>
      <c r="B260" s="28" t="str">
        <f>IFERROR(_xlfn.XLOOKUP(C260,[1]DIRETORIA!C:C,[1]DIRETORIA!B:B),"-")</f>
        <v>GST. COM RP 2</v>
      </c>
      <c r="C260" s="28" t="str">
        <f>IFERROR(_xlfn.XLOOKUP(E260,[1]EMPREENDIMENTO!C:C,[1]EMPREENDIMENTO!A:A),"-")</f>
        <v>SÃO CARLOS</v>
      </c>
      <c r="D260" s="28" t="s">
        <v>29</v>
      </c>
      <c r="E260" s="28" t="s">
        <v>501</v>
      </c>
      <c r="F260" s="28" t="s">
        <v>31</v>
      </c>
      <c r="G260" s="28" t="s">
        <v>502</v>
      </c>
      <c r="H260" s="28">
        <v>34749</v>
      </c>
      <c r="I260" s="29">
        <f>IFERROR(_xlfn.XLOOKUP(E260,[1]EMPREENDIMENTO!C:C,[1]EMPREENDIMENTO!E:E),"0")</f>
        <v>368</v>
      </c>
      <c r="J260" s="30">
        <v>46629</v>
      </c>
      <c r="K260" s="28" t="s">
        <v>33</v>
      </c>
      <c r="L260" s="31">
        <v>45707</v>
      </c>
      <c r="M260" s="32">
        <v>107971600</v>
      </c>
      <c r="N260" s="32"/>
      <c r="O260" s="32"/>
      <c r="P260" s="28" t="s">
        <v>2</v>
      </c>
      <c r="Q260" s="28" t="s">
        <v>503</v>
      </c>
      <c r="R260" s="30">
        <v>46268</v>
      </c>
      <c r="S260" s="30"/>
      <c r="T260" s="33"/>
      <c r="U260" s="34" t="str">
        <f>IFERROR(_xlfn.XLOOKUP(E260,[1]EMPREENDIMENTO!C:C,[1]EMPREENDIMENTO!D:D),"")</f>
        <v>7b3575e6-65f3-ea11-88c0-0050568aa20f</v>
      </c>
    </row>
    <row r="261" spans="1:21" x14ac:dyDescent="0.35">
      <c r="A261" s="28" t="str">
        <f>IFERROR(_xlfn.XLOOKUP(C261,[1]DIRETORIA!C:C,[1]DIRETORIA!A:A),"-")</f>
        <v>DIR. COM E CRED SPI</v>
      </c>
      <c r="B261" s="28" t="str">
        <f>IFERROR(_xlfn.XLOOKUP(C261,[1]DIRETORIA!C:C,[1]DIRETORIA!B:B),"-")</f>
        <v>GST. COM RP 2</v>
      </c>
      <c r="C261" s="28" t="str">
        <f>IFERROR(_xlfn.XLOOKUP(E261,[1]EMPREENDIMENTO!C:C,[1]EMPREENDIMENTO!A:A),"-")</f>
        <v>SÃO CARLOS</v>
      </c>
      <c r="D261" s="28" t="s">
        <v>29</v>
      </c>
      <c r="E261" s="28" t="s">
        <v>501</v>
      </c>
      <c r="F261" s="28" t="s">
        <v>36</v>
      </c>
      <c r="G261" s="28" t="s">
        <v>504</v>
      </c>
      <c r="H261" s="28">
        <v>50555</v>
      </c>
      <c r="I261" s="29">
        <f>IFERROR(_xlfn.XLOOKUP(E261,[1]EMPREENDIMENTO!C:C,[1]EMPREENDIMENTO!E:E),"0")</f>
        <v>368</v>
      </c>
      <c r="J261" s="30">
        <v>46629</v>
      </c>
      <c r="K261" s="28" t="s">
        <v>33</v>
      </c>
      <c r="L261" s="31">
        <v>45707</v>
      </c>
      <c r="M261" s="32">
        <v>107971600</v>
      </c>
      <c r="N261" s="32"/>
      <c r="O261" s="32"/>
      <c r="P261" s="28" t="s">
        <v>2</v>
      </c>
      <c r="Q261" s="28" t="s">
        <v>503</v>
      </c>
      <c r="R261" s="30">
        <v>46268</v>
      </c>
      <c r="S261" s="30"/>
      <c r="T261" s="33"/>
      <c r="U261" s="34" t="str">
        <f>IFERROR(_xlfn.XLOOKUP(E261,[1]EMPREENDIMENTO!C:C,[1]EMPREENDIMENTO!D:D),"")</f>
        <v>7b3575e6-65f3-ea11-88c0-0050568aa20f</v>
      </c>
    </row>
    <row r="262" spans="1:21" hidden="1" x14ac:dyDescent="0.35">
      <c r="A262" s="28" t="str">
        <f>IFERROR(_xlfn.XLOOKUP(C262,[1]DIRETORIA!C:C,[1]DIRETORIA!A:A),"-")</f>
        <v>DIR. COM E CRED CO E AM</v>
      </c>
      <c r="B262" s="28" t="str">
        <f>IFERROR(_xlfn.XLOOKUP(C262,[1]DIRETORIA!C:C,[1]DIRETORIA!B:B),"-")</f>
        <v>GST. COM DF</v>
      </c>
      <c r="C262" s="28" t="str">
        <f>IFERROR(_xlfn.XLOOKUP(E262,[1]EMPREENDIMENTO!C:C,[1]EMPREENDIMENTO!A:A),"-")</f>
        <v>VALPARAÍSO DE GOIÁS</v>
      </c>
      <c r="D262" s="28" t="s">
        <v>29</v>
      </c>
      <c r="E262" s="28" t="s">
        <v>505</v>
      </c>
      <c r="F262" s="28" t="s">
        <v>31</v>
      </c>
      <c r="G262" s="28" t="s">
        <v>506</v>
      </c>
      <c r="H262" s="28">
        <v>9031</v>
      </c>
      <c r="I262" s="29">
        <f>IFERROR(_xlfn.XLOOKUP(E262,[1]EMPREENDIMENTO!C:C,[1]EMPREENDIMENTO!E:E),"0")</f>
        <v>400</v>
      </c>
      <c r="J262" s="30">
        <v>46720</v>
      </c>
      <c r="K262" s="28" t="s">
        <v>33</v>
      </c>
      <c r="L262" s="31">
        <v>46255</v>
      </c>
      <c r="M262" s="32">
        <v>87528160</v>
      </c>
      <c r="N262" s="32">
        <v>97528160</v>
      </c>
      <c r="O262" s="32">
        <v>88802070</v>
      </c>
      <c r="P262" s="28" t="s">
        <v>34</v>
      </c>
      <c r="Q262" s="28" t="s">
        <v>507</v>
      </c>
      <c r="R262" s="30">
        <v>46265</v>
      </c>
      <c r="S262" s="30">
        <v>46255</v>
      </c>
      <c r="T262" s="33"/>
      <c r="U262" s="34" t="str">
        <f>IFERROR(_xlfn.XLOOKUP(E262,[1]EMPREENDIMENTO!C:C,[1]EMPREENDIMENTO!D:D),"")</f>
        <v>e530931d-0b04-e711-ac8b-80c16e075108</v>
      </c>
    </row>
    <row r="263" spans="1:21" hidden="1" x14ac:dyDescent="0.35">
      <c r="A263" s="28" t="str">
        <f>IFERROR(_xlfn.XLOOKUP(C263,[1]DIRETORIA!C:C,[1]DIRETORIA!A:A),"-")</f>
        <v>DIR. COM E CRED CO E AM</v>
      </c>
      <c r="B263" s="28" t="str">
        <f>IFERROR(_xlfn.XLOOKUP(C263,[1]DIRETORIA!C:C,[1]DIRETORIA!B:B),"-")</f>
        <v>GST. COM DF</v>
      </c>
      <c r="C263" s="28" t="str">
        <f>IFERROR(_xlfn.XLOOKUP(E263,[1]EMPREENDIMENTO!C:C,[1]EMPREENDIMENTO!A:A),"-")</f>
        <v>VALPARAÍSO DE GOIÁS</v>
      </c>
      <c r="D263" s="28" t="s">
        <v>29</v>
      </c>
      <c r="E263" s="28" t="s">
        <v>505</v>
      </c>
      <c r="F263" s="28" t="s">
        <v>36</v>
      </c>
      <c r="G263" s="28" t="s">
        <v>508</v>
      </c>
      <c r="H263" s="28">
        <v>19080</v>
      </c>
      <c r="I263" s="29">
        <f>IFERROR(_xlfn.XLOOKUP(E263,[1]EMPREENDIMENTO!C:C,[1]EMPREENDIMENTO!E:E),"0")</f>
        <v>400</v>
      </c>
      <c r="J263" s="30">
        <v>46720</v>
      </c>
      <c r="K263" s="28" t="s">
        <v>33</v>
      </c>
      <c r="L263" s="31">
        <v>46255</v>
      </c>
      <c r="M263" s="32">
        <v>87528160</v>
      </c>
      <c r="N263" s="32">
        <v>97528160</v>
      </c>
      <c r="O263" s="32">
        <v>88802070</v>
      </c>
      <c r="P263" s="28" t="s">
        <v>34</v>
      </c>
      <c r="Q263" s="28" t="s">
        <v>507</v>
      </c>
      <c r="R263" s="30">
        <v>46265</v>
      </c>
      <c r="S263" s="30">
        <v>46255</v>
      </c>
      <c r="T263" s="33"/>
      <c r="U263" s="34" t="str">
        <f>IFERROR(_xlfn.XLOOKUP(E263,[1]EMPREENDIMENTO!C:C,[1]EMPREENDIMENTO!D:D),"")</f>
        <v>e530931d-0b04-e711-ac8b-80c16e075108</v>
      </c>
    </row>
    <row r="264" spans="1:21" hidden="1" x14ac:dyDescent="0.35">
      <c r="A264" s="28" t="str">
        <f>IFERROR(_xlfn.XLOOKUP(C264,[1]DIRETORIA!C:C,[1]DIRETORIA!A:A),"-")</f>
        <v>DIR. COM E CRED CO E AM</v>
      </c>
      <c r="B264" s="28" t="str">
        <f>IFERROR(_xlfn.XLOOKUP(C264,[1]DIRETORIA!C:C,[1]DIRETORIA!B:B),"-")</f>
        <v>GST. COM DF</v>
      </c>
      <c r="C264" s="28" t="str">
        <f>IFERROR(_xlfn.XLOOKUP(E264,[1]EMPREENDIMENTO!C:C,[1]EMPREENDIMENTO!A:A),"-")</f>
        <v>VALPARAÍSO DE GOIÁS</v>
      </c>
      <c r="D264" s="28" t="s">
        <v>29</v>
      </c>
      <c r="E264" s="28" t="s">
        <v>505</v>
      </c>
      <c r="F264" s="28" t="s">
        <v>39</v>
      </c>
      <c r="G264" s="28" t="s">
        <v>509</v>
      </c>
      <c r="H264" s="28">
        <v>19081</v>
      </c>
      <c r="I264" s="29">
        <f>IFERROR(_xlfn.XLOOKUP(E264,[1]EMPREENDIMENTO!C:C,[1]EMPREENDIMENTO!E:E),"0")</f>
        <v>400</v>
      </c>
      <c r="J264" s="30">
        <v>46720</v>
      </c>
      <c r="K264" s="28" t="s">
        <v>33</v>
      </c>
      <c r="L264" s="31">
        <v>46255</v>
      </c>
      <c r="M264" s="32">
        <v>87528160</v>
      </c>
      <c r="N264" s="32">
        <v>97528160</v>
      </c>
      <c r="O264" s="32">
        <v>88802070</v>
      </c>
      <c r="P264" s="28" t="s">
        <v>34</v>
      </c>
      <c r="Q264" s="28" t="s">
        <v>507</v>
      </c>
      <c r="R264" s="30">
        <v>46265</v>
      </c>
      <c r="S264" s="30">
        <v>46255</v>
      </c>
      <c r="T264" s="33"/>
      <c r="U264" s="34" t="str">
        <f>IFERROR(_xlfn.XLOOKUP(E264,[1]EMPREENDIMENTO!C:C,[1]EMPREENDIMENTO!D:D),"")</f>
        <v>e530931d-0b04-e711-ac8b-80c16e075108</v>
      </c>
    </row>
    <row r="265" spans="1:21" hidden="1" x14ac:dyDescent="0.35">
      <c r="A265" s="28" t="str">
        <f>IFERROR(_xlfn.XLOOKUP(C265,[1]DIRETORIA!C:C,[1]DIRETORIA!A:A),"-")</f>
        <v>DIR. COM E CRED CO E AM</v>
      </c>
      <c r="B265" s="28" t="str">
        <f>IFERROR(_xlfn.XLOOKUP(C265,[1]DIRETORIA!C:C,[1]DIRETORIA!B:B),"-")</f>
        <v>GST. COM DF</v>
      </c>
      <c r="C265" s="28" t="str">
        <f>IFERROR(_xlfn.XLOOKUP(E265,[1]EMPREENDIMENTO!C:C,[1]EMPREENDIMENTO!A:A),"-")</f>
        <v>VALPARAÍSO DE GOIÁS</v>
      </c>
      <c r="D265" s="28" t="s">
        <v>29</v>
      </c>
      <c r="E265" s="28" t="s">
        <v>505</v>
      </c>
      <c r="F265" s="28" t="s">
        <v>50</v>
      </c>
      <c r="G265" s="28" t="s">
        <v>510</v>
      </c>
      <c r="H265" s="28">
        <v>19082</v>
      </c>
      <c r="I265" s="29">
        <f>IFERROR(_xlfn.XLOOKUP(E265,[1]EMPREENDIMENTO!C:C,[1]EMPREENDIMENTO!E:E),"0")</f>
        <v>400</v>
      </c>
      <c r="J265" s="30">
        <v>46720</v>
      </c>
      <c r="K265" s="28" t="s">
        <v>33</v>
      </c>
      <c r="L265" s="31">
        <v>46255</v>
      </c>
      <c r="M265" s="32">
        <v>87528160</v>
      </c>
      <c r="N265" s="32">
        <v>97528160</v>
      </c>
      <c r="O265" s="32">
        <v>88802070</v>
      </c>
      <c r="P265" s="28" t="s">
        <v>34</v>
      </c>
      <c r="Q265" s="28" t="s">
        <v>507</v>
      </c>
      <c r="R265" s="30">
        <v>46265</v>
      </c>
      <c r="S265" s="30">
        <v>46255</v>
      </c>
      <c r="T265" s="33"/>
      <c r="U265" s="34" t="str">
        <f>IFERROR(_xlfn.XLOOKUP(E265,[1]EMPREENDIMENTO!C:C,[1]EMPREENDIMENTO!D:D),"")</f>
        <v>e530931d-0b04-e711-ac8b-80c16e075108</v>
      </c>
    </row>
    <row r="266" spans="1:21" x14ac:dyDescent="0.35">
      <c r="A266" s="28" t="str">
        <f>IFERROR(_xlfn.XLOOKUP(C266,[1]DIRETORIA!C:C,[1]DIRETORIA!A:A),"-")</f>
        <v>DIR. COM E CRED SPI</v>
      </c>
      <c r="B266" s="28" t="str">
        <f>IFERROR(_xlfn.XLOOKUP(C266,[1]DIRETORIA!C:C,[1]DIRETORIA!B:B),"-")</f>
        <v>GST. COM OP 2</v>
      </c>
      <c r="C266" s="28" t="str">
        <f>IFERROR(_xlfn.XLOOKUP(E266,[1]EMPREENDIMENTO!C:C,[1]EMPREENDIMENTO!A:A),"-")</f>
        <v>PRESIDENTE PRUDENTE</v>
      </c>
      <c r="D266" s="28" t="s">
        <v>85</v>
      </c>
      <c r="E266" s="28" t="s">
        <v>511</v>
      </c>
      <c r="F266" s="28" t="s">
        <v>42</v>
      </c>
      <c r="G266" s="28" t="s">
        <v>512</v>
      </c>
      <c r="H266" s="28">
        <v>34110</v>
      </c>
      <c r="I266" s="29">
        <f>IFERROR(_xlfn.XLOOKUP(E266,[1]EMPREENDIMENTO!C:C,[1]EMPREENDIMENTO!E:E),"0")</f>
        <v>0</v>
      </c>
      <c r="J266" s="30">
        <v>46593</v>
      </c>
      <c r="K266" s="28" t="s">
        <v>33</v>
      </c>
      <c r="L266" s="31">
        <v>45197</v>
      </c>
      <c r="M266" s="32">
        <v>40687000</v>
      </c>
      <c r="N266" s="32">
        <v>40978000</v>
      </c>
      <c r="O266" s="32">
        <v>40077000</v>
      </c>
      <c r="P266" s="28" t="s">
        <v>34</v>
      </c>
      <c r="Q266" s="28">
        <v>395229</v>
      </c>
      <c r="R266" s="30">
        <v>45212</v>
      </c>
      <c r="S266" s="30">
        <v>45197</v>
      </c>
      <c r="T266" s="33"/>
      <c r="U266" s="34" t="str">
        <f>IFERROR(_xlfn.XLOOKUP(E266,[1]EMPREENDIMENTO!C:C,[1]EMPREENDIMENTO!D:D),"")</f>
        <v>EA96915D-3C1F-E911-8C00-80C16E075108</v>
      </c>
    </row>
    <row r="267" spans="1:21" hidden="1" x14ac:dyDescent="0.35">
      <c r="A267" s="28" t="str">
        <f>IFERROR(_xlfn.XLOOKUP(C267,[1]DIRETORIA!C:C,[1]DIRETORIA!A:A),"-")</f>
        <v>DIR. COM E CRED RJ</v>
      </c>
      <c r="B267" s="28" t="str">
        <f>IFERROR(_xlfn.XLOOKUP(C267,[1]DIRETORIA!C:C,[1]DIRETORIA!B:B),"-")</f>
        <v>GST. COM RJ2</v>
      </c>
      <c r="C267" s="28" t="str">
        <f>IFERROR(_xlfn.XLOOKUP(E267,[1]EMPREENDIMENTO!C:C,[1]EMPREENDIMENTO!A:A),"-")</f>
        <v>SÃO GONÇALO</v>
      </c>
      <c r="D267" s="28" t="s">
        <v>29</v>
      </c>
      <c r="E267" s="28" t="s">
        <v>513</v>
      </c>
      <c r="F267" s="28" t="s">
        <v>31</v>
      </c>
      <c r="G267" s="28" t="s">
        <v>514</v>
      </c>
      <c r="H267" s="28">
        <v>32416</v>
      </c>
      <c r="I267" s="29">
        <f>IFERROR(_xlfn.XLOOKUP(E267,[1]EMPREENDIMENTO!C:C,[1]EMPREENDIMENTO!E:E),"0")</f>
        <v>612</v>
      </c>
      <c r="J267" s="30">
        <v>46692</v>
      </c>
      <c r="K267" s="28" t="s">
        <v>33</v>
      </c>
      <c r="L267" s="31">
        <v>46100</v>
      </c>
      <c r="M267" s="32">
        <v>170344000</v>
      </c>
      <c r="N267" s="32">
        <v>180979268</v>
      </c>
      <c r="O267" s="32">
        <v>179107849</v>
      </c>
      <c r="P267" s="28" t="s">
        <v>34</v>
      </c>
      <c r="Q267" s="28" t="s">
        <v>515</v>
      </c>
      <c r="R267" s="30">
        <v>46097</v>
      </c>
      <c r="S267" s="30">
        <v>46101</v>
      </c>
      <c r="T267" s="33"/>
      <c r="U267" s="34" t="str">
        <f>IFERROR(_xlfn.XLOOKUP(E267,[1]EMPREENDIMENTO!C:C,[1]EMPREENDIMENTO!D:D),"")</f>
        <v>634279e6-dd54-eb11-85d0-005056856875</v>
      </c>
    </row>
    <row r="268" spans="1:21" hidden="1" x14ac:dyDescent="0.35">
      <c r="A268" s="28" t="str">
        <f>IFERROR(_xlfn.XLOOKUP(C268,[1]DIRETORIA!C:C,[1]DIRETORIA!A:A),"-")</f>
        <v>DIR. COM E CRED RJ</v>
      </c>
      <c r="B268" s="28" t="str">
        <f>IFERROR(_xlfn.XLOOKUP(C268,[1]DIRETORIA!C:C,[1]DIRETORIA!B:B),"-")</f>
        <v>GST. COM RJ2</v>
      </c>
      <c r="C268" s="28" t="str">
        <f>IFERROR(_xlfn.XLOOKUP(E268,[1]EMPREENDIMENTO!C:C,[1]EMPREENDIMENTO!A:A),"-")</f>
        <v>SÃO GONÇALO</v>
      </c>
      <c r="D268" s="28" t="s">
        <v>29</v>
      </c>
      <c r="E268" s="28" t="s">
        <v>513</v>
      </c>
      <c r="F268" s="28" t="s">
        <v>36</v>
      </c>
      <c r="G268" s="28" t="s">
        <v>516</v>
      </c>
      <c r="H268" s="28">
        <v>35795</v>
      </c>
      <c r="I268" s="29">
        <f>IFERROR(_xlfn.XLOOKUP(E268,[1]EMPREENDIMENTO!C:C,[1]EMPREENDIMENTO!E:E),"0")</f>
        <v>612</v>
      </c>
      <c r="J268" s="30">
        <v>46692</v>
      </c>
      <c r="K268" s="28" t="s">
        <v>33</v>
      </c>
      <c r="L268" s="31">
        <v>46100</v>
      </c>
      <c r="M268" s="32">
        <v>170344000</v>
      </c>
      <c r="N268" s="32">
        <v>180979268</v>
      </c>
      <c r="O268" s="32">
        <v>179107849</v>
      </c>
      <c r="P268" s="28" t="s">
        <v>34</v>
      </c>
      <c r="Q268" s="28" t="s">
        <v>515</v>
      </c>
      <c r="R268" s="30">
        <v>46097</v>
      </c>
      <c r="S268" s="30">
        <v>46101</v>
      </c>
      <c r="T268" s="33"/>
      <c r="U268" s="34" t="str">
        <f>IFERROR(_xlfn.XLOOKUP(E268,[1]EMPREENDIMENTO!C:C,[1]EMPREENDIMENTO!D:D),"")</f>
        <v>634279e6-dd54-eb11-85d0-005056856875</v>
      </c>
    </row>
    <row r="269" spans="1:21" hidden="1" x14ac:dyDescent="0.35">
      <c r="A269" s="28" t="str">
        <f>IFERROR(_xlfn.XLOOKUP(C269,[1]DIRETORIA!C:C,[1]DIRETORIA!A:A),"-")</f>
        <v>DIR. COM E CRED RJ</v>
      </c>
      <c r="B269" s="28" t="str">
        <f>IFERROR(_xlfn.XLOOKUP(C269,[1]DIRETORIA!C:C,[1]DIRETORIA!B:B),"-")</f>
        <v>GST. COM RJ2</v>
      </c>
      <c r="C269" s="28" t="str">
        <f>IFERROR(_xlfn.XLOOKUP(E269,[1]EMPREENDIMENTO!C:C,[1]EMPREENDIMENTO!A:A),"-")</f>
        <v>SÃO GONÇALO</v>
      </c>
      <c r="D269" s="28" t="s">
        <v>29</v>
      </c>
      <c r="E269" s="28" t="s">
        <v>513</v>
      </c>
      <c r="F269" s="28" t="s">
        <v>39</v>
      </c>
      <c r="G269" s="28" t="s">
        <v>517</v>
      </c>
      <c r="H269" s="28">
        <v>35796</v>
      </c>
      <c r="I269" s="29">
        <f>IFERROR(_xlfn.XLOOKUP(E269,[1]EMPREENDIMENTO!C:C,[1]EMPREENDIMENTO!E:E),"0")</f>
        <v>612</v>
      </c>
      <c r="J269" s="30">
        <v>46692</v>
      </c>
      <c r="K269" s="28" t="s">
        <v>33</v>
      </c>
      <c r="L269" s="31">
        <v>46100</v>
      </c>
      <c r="M269" s="32">
        <v>170344000</v>
      </c>
      <c r="N269" s="32">
        <v>180979268</v>
      </c>
      <c r="O269" s="32">
        <v>179107849</v>
      </c>
      <c r="P269" s="28" t="s">
        <v>34</v>
      </c>
      <c r="Q269" s="28" t="s">
        <v>515</v>
      </c>
      <c r="R269" s="30">
        <v>46097</v>
      </c>
      <c r="S269" s="30">
        <v>46101</v>
      </c>
      <c r="T269" s="33"/>
      <c r="U269" s="34" t="str">
        <f>IFERROR(_xlfn.XLOOKUP(E269,[1]EMPREENDIMENTO!C:C,[1]EMPREENDIMENTO!D:D),"")</f>
        <v>634279e6-dd54-eb11-85d0-005056856875</v>
      </c>
    </row>
    <row r="270" spans="1:21" hidden="1" x14ac:dyDescent="0.35">
      <c r="A270" s="28" t="str">
        <f>IFERROR(_xlfn.XLOOKUP(C270,[1]DIRETORIA!C:C,[1]DIRETORIA!A:A),"-")</f>
        <v>DIR. COM E CRED CO E AM</v>
      </c>
      <c r="B270" s="28" t="str">
        <f>IFERROR(_xlfn.XLOOKUP(C270,[1]DIRETORIA!C:C,[1]DIRETORIA!B:B),"-")</f>
        <v>GST. COM AM</v>
      </c>
      <c r="C270" s="28" t="str">
        <f>IFERROR(_xlfn.XLOOKUP(E270,[1]EMPREENDIMENTO!C:C,[1]EMPREENDIMENTO!A:A),"-")</f>
        <v>MANAUS</v>
      </c>
      <c r="D270" s="28" t="s">
        <v>29</v>
      </c>
      <c r="E270" s="28" t="s">
        <v>518</v>
      </c>
      <c r="F270" s="28" t="s">
        <v>31</v>
      </c>
      <c r="G270" s="28" t="s">
        <v>519</v>
      </c>
      <c r="H270" s="28">
        <v>35090</v>
      </c>
      <c r="I270" s="29">
        <f>IFERROR(_xlfn.XLOOKUP(E270,[1]EMPREENDIMENTO!C:C,[1]EMPREENDIMENTO!E:E),"0")</f>
        <v>512</v>
      </c>
      <c r="J270" s="30">
        <v>46503</v>
      </c>
      <c r="K270" s="28" t="s">
        <v>33</v>
      </c>
      <c r="L270" s="31">
        <v>46091</v>
      </c>
      <c r="M270" s="32">
        <v>186526000</v>
      </c>
      <c r="N270" s="32">
        <v>210528240</v>
      </c>
      <c r="O270" s="32">
        <v>196238000</v>
      </c>
      <c r="P270" s="28" t="s">
        <v>34</v>
      </c>
      <c r="Q270" s="28" t="s">
        <v>520</v>
      </c>
      <c r="R270" s="30">
        <v>46220</v>
      </c>
      <c r="S270" s="30">
        <v>46213</v>
      </c>
      <c r="T270" s="33"/>
      <c r="U270" s="34" t="str">
        <f>IFERROR(_xlfn.XLOOKUP(E270,[1]EMPREENDIMENTO!C:C,[1]EMPREENDIMENTO!D:D),"")</f>
        <v>30a7d020-4eeb-ec11-ba45-005056890018</v>
      </c>
    </row>
    <row r="271" spans="1:21" hidden="1" x14ac:dyDescent="0.35">
      <c r="A271" s="28" t="str">
        <f>IFERROR(_xlfn.XLOOKUP(C271,[1]DIRETORIA!C:C,[1]DIRETORIA!A:A),"-")</f>
        <v>DIR. COM E CRED CO E AM</v>
      </c>
      <c r="B271" s="28" t="str">
        <f>IFERROR(_xlfn.XLOOKUP(C271,[1]DIRETORIA!C:C,[1]DIRETORIA!B:B),"-")</f>
        <v>GST. COM AM</v>
      </c>
      <c r="C271" s="28" t="str">
        <f>IFERROR(_xlfn.XLOOKUP(E271,[1]EMPREENDIMENTO!C:C,[1]EMPREENDIMENTO!A:A),"-")</f>
        <v>MANAUS</v>
      </c>
      <c r="D271" s="28" t="s">
        <v>29</v>
      </c>
      <c r="E271" s="28" t="s">
        <v>518</v>
      </c>
      <c r="F271" s="28" t="s">
        <v>36</v>
      </c>
      <c r="G271" s="28" t="s">
        <v>521</v>
      </c>
      <c r="H271" s="28">
        <v>38923</v>
      </c>
      <c r="I271" s="29">
        <f>IFERROR(_xlfn.XLOOKUP(E271,[1]EMPREENDIMENTO!C:C,[1]EMPREENDIMENTO!E:E),"0")</f>
        <v>512</v>
      </c>
      <c r="J271" s="30">
        <v>46503</v>
      </c>
      <c r="K271" s="28" t="s">
        <v>33</v>
      </c>
      <c r="L271" s="31">
        <v>46213</v>
      </c>
      <c r="M271" s="32">
        <v>186526000</v>
      </c>
      <c r="N271" s="32">
        <v>210528240</v>
      </c>
      <c r="O271" s="32">
        <v>196238000</v>
      </c>
      <c r="P271" s="28" t="s">
        <v>34</v>
      </c>
      <c r="Q271" s="28" t="s">
        <v>520</v>
      </c>
      <c r="R271" s="30">
        <v>46220</v>
      </c>
      <c r="S271" s="30">
        <v>46213</v>
      </c>
      <c r="T271" s="33"/>
      <c r="U271" s="34" t="str">
        <f>IFERROR(_xlfn.XLOOKUP(E271,[1]EMPREENDIMENTO!C:C,[1]EMPREENDIMENTO!D:D),"")</f>
        <v>30a7d020-4eeb-ec11-ba45-005056890018</v>
      </c>
    </row>
    <row r="272" spans="1:21" hidden="1" x14ac:dyDescent="0.35">
      <c r="A272" s="28" t="str">
        <f>IFERROR(_xlfn.XLOOKUP(C272,[1]DIRETORIA!C:C,[1]DIRETORIA!A:A),"-")</f>
        <v>DIR. COM E CRED CO E AM</v>
      </c>
      <c r="B272" s="28" t="str">
        <f>IFERROR(_xlfn.XLOOKUP(C272,[1]DIRETORIA!C:C,[1]DIRETORIA!B:B),"-")</f>
        <v>GST. COM AM</v>
      </c>
      <c r="C272" s="28" t="str">
        <f>IFERROR(_xlfn.XLOOKUP(E272,[1]EMPREENDIMENTO!C:C,[1]EMPREENDIMENTO!A:A),"-")</f>
        <v>MANAUS</v>
      </c>
      <c r="D272" s="28" t="s">
        <v>29</v>
      </c>
      <c r="E272" s="28" t="s">
        <v>518</v>
      </c>
      <c r="F272" s="28" t="s">
        <v>39</v>
      </c>
      <c r="G272" s="28" t="s">
        <v>522</v>
      </c>
      <c r="H272" s="28">
        <v>41925</v>
      </c>
      <c r="I272" s="29">
        <f>IFERROR(_xlfn.XLOOKUP(E272,[1]EMPREENDIMENTO!C:C,[1]EMPREENDIMENTO!E:E),"0")</f>
        <v>512</v>
      </c>
      <c r="J272" s="30">
        <v>46503</v>
      </c>
      <c r="K272" s="28" t="s">
        <v>33</v>
      </c>
      <c r="L272" s="31">
        <v>46213</v>
      </c>
      <c r="M272" s="32">
        <v>186526000</v>
      </c>
      <c r="N272" s="32">
        <v>210528240</v>
      </c>
      <c r="O272" s="32">
        <v>196238000</v>
      </c>
      <c r="P272" s="28" t="s">
        <v>34</v>
      </c>
      <c r="Q272" s="28" t="s">
        <v>520</v>
      </c>
      <c r="R272" s="30">
        <v>46220</v>
      </c>
      <c r="S272" s="30">
        <v>46213</v>
      </c>
      <c r="T272" s="33"/>
      <c r="U272" s="34" t="str">
        <f>IFERROR(_xlfn.XLOOKUP(E272,[1]EMPREENDIMENTO!C:C,[1]EMPREENDIMENTO!D:D),"")</f>
        <v>30a7d020-4eeb-ec11-ba45-005056890018</v>
      </c>
    </row>
    <row r="273" spans="1:21" hidden="1" x14ac:dyDescent="0.35">
      <c r="A273" s="28" t="str">
        <f>IFERROR(_xlfn.XLOOKUP(C273,[1]DIRETORIA!C:C,[1]DIRETORIA!A:A),"-")</f>
        <v>DIR. COM E CRED CO E AM</v>
      </c>
      <c r="B273" s="28" t="str">
        <f>IFERROR(_xlfn.XLOOKUP(C273,[1]DIRETORIA!C:C,[1]DIRETORIA!B:B),"-")</f>
        <v>GST. COM AM</v>
      </c>
      <c r="C273" s="28" t="str">
        <f>IFERROR(_xlfn.XLOOKUP(E273,[1]EMPREENDIMENTO!C:C,[1]EMPREENDIMENTO!A:A),"-")</f>
        <v>MANAUS</v>
      </c>
      <c r="D273" s="28" t="s">
        <v>29</v>
      </c>
      <c r="E273" s="28" t="s">
        <v>518</v>
      </c>
      <c r="F273" s="28" t="s">
        <v>50</v>
      </c>
      <c r="G273" s="28" t="s">
        <v>523</v>
      </c>
      <c r="H273" s="28">
        <v>44598</v>
      </c>
      <c r="I273" s="29">
        <f>IFERROR(_xlfn.XLOOKUP(E273,[1]EMPREENDIMENTO!C:C,[1]EMPREENDIMENTO!E:E),"0")</f>
        <v>512</v>
      </c>
      <c r="J273" s="30">
        <v>46503</v>
      </c>
      <c r="K273" s="28" t="s">
        <v>33</v>
      </c>
      <c r="L273" s="31">
        <v>46213</v>
      </c>
      <c r="M273" s="32">
        <v>186526000</v>
      </c>
      <c r="N273" s="32">
        <v>210528240</v>
      </c>
      <c r="O273" s="32">
        <v>196238000</v>
      </c>
      <c r="P273" s="28" t="s">
        <v>34</v>
      </c>
      <c r="Q273" s="28" t="s">
        <v>520</v>
      </c>
      <c r="R273" s="30">
        <v>46220</v>
      </c>
      <c r="S273" s="30">
        <v>46213</v>
      </c>
      <c r="T273" s="33"/>
      <c r="U273" s="34" t="str">
        <f>IFERROR(_xlfn.XLOOKUP(E273,[1]EMPREENDIMENTO!C:C,[1]EMPREENDIMENTO!D:D),"")</f>
        <v>30a7d020-4eeb-ec11-ba45-005056890018</v>
      </c>
    </row>
    <row r="274" spans="1:21" hidden="1" x14ac:dyDescent="0.35">
      <c r="A274" s="28" t="str">
        <f>IFERROR(_xlfn.XLOOKUP(C274,[1]DIRETORIA!C:C,[1]DIRETORIA!A:A),"-")</f>
        <v>DIR. COM E CRED NE</v>
      </c>
      <c r="B274" s="28" t="str">
        <f>IFERROR(_xlfn.XLOOKUP(C274,[1]DIRETORIA!C:C,[1]DIRETORIA!B:B),"-")</f>
        <v>GST. COM NE5 (RN+PB)</v>
      </c>
      <c r="C274" s="28" t="str">
        <f>IFERROR(_xlfn.XLOOKUP(E274,[1]EMPREENDIMENTO!C:C,[1]EMPREENDIMENTO!A:A),"-")</f>
        <v>NATAL</v>
      </c>
      <c r="D274" s="28" t="s">
        <v>29</v>
      </c>
      <c r="E274" s="28" t="s">
        <v>524</v>
      </c>
      <c r="F274" s="28" t="s">
        <v>31</v>
      </c>
      <c r="G274" s="28" t="s">
        <v>525</v>
      </c>
      <c r="H274" s="28">
        <v>23764</v>
      </c>
      <c r="I274" s="29">
        <f>IFERROR(_xlfn.XLOOKUP(E274,[1]EMPREENDIMENTO!C:C,[1]EMPREENDIMENTO!E:E),"0")</f>
        <v>792</v>
      </c>
      <c r="J274" s="30">
        <v>46412</v>
      </c>
      <c r="K274" s="28" t="s">
        <v>33</v>
      </c>
      <c r="L274" s="31">
        <v>45895</v>
      </c>
      <c r="M274" s="32">
        <v>175746105</v>
      </c>
      <c r="N274" s="32">
        <v>193062389</v>
      </c>
      <c r="O274" s="32">
        <v>183745935</v>
      </c>
      <c r="P274" s="28" t="s">
        <v>34</v>
      </c>
      <c r="Q274" s="28" t="s">
        <v>526</v>
      </c>
      <c r="R274" s="30">
        <v>45901</v>
      </c>
      <c r="S274" s="30">
        <v>45896</v>
      </c>
      <c r="T274" s="33"/>
      <c r="U274" s="34" t="str">
        <f>IFERROR(_xlfn.XLOOKUP(E274,[1]EMPREENDIMENTO!C:C,[1]EMPREENDIMENTO!D:D),"")</f>
        <v>20784643-3c21-e311-befc-80c16e075108</v>
      </c>
    </row>
    <row r="275" spans="1:21" hidden="1" x14ac:dyDescent="0.35">
      <c r="A275" s="28" t="str">
        <f>IFERROR(_xlfn.XLOOKUP(C275,[1]DIRETORIA!C:C,[1]DIRETORIA!A:A),"-")</f>
        <v>DIR. COM E CRED NE</v>
      </c>
      <c r="B275" s="28" t="str">
        <f>IFERROR(_xlfn.XLOOKUP(C275,[1]DIRETORIA!C:C,[1]DIRETORIA!B:B),"-")</f>
        <v>GST. COM NE5 (RN+PB)</v>
      </c>
      <c r="C275" s="28" t="str">
        <f>IFERROR(_xlfn.XLOOKUP(E275,[1]EMPREENDIMENTO!C:C,[1]EMPREENDIMENTO!A:A),"-")</f>
        <v>NATAL</v>
      </c>
      <c r="D275" s="28" t="s">
        <v>29</v>
      </c>
      <c r="E275" s="28" t="s">
        <v>524</v>
      </c>
      <c r="F275" s="28" t="s">
        <v>36</v>
      </c>
      <c r="G275" s="28" t="s">
        <v>527</v>
      </c>
      <c r="H275" s="28">
        <v>27604</v>
      </c>
      <c r="I275" s="29">
        <f>IFERROR(_xlfn.XLOOKUP(E275,[1]EMPREENDIMENTO!C:C,[1]EMPREENDIMENTO!E:E),"0")</f>
        <v>792</v>
      </c>
      <c r="J275" s="30">
        <v>46412</v>
      </c>
      <c r="K275" s="28" t="s">
        <v>33</v>
      </c>
      <c r="L275" s="31">
        <v>45895</v>
      </c>
      <c r="M275" s="32">
        <v>175746105</v>
      </c>
      <c r="N275" s="32">
        <v>193062389</v>
      </c>
      <c r="O275" s="32">
        <v>183745935</v>
      </c>
      <c r="P275" s="28" t="s">
        <v>34</v>
      </c>
      <c r="Q275" s="28" t="s">
        <v>526</v>
      </c>
      <c r="R275" s="30">
        <v>45901</v>
      </c>
      <c r="S275" s="30">
        <v>45896</v>
      </c>
      <c r="T275" s="33"/>
      <c r="U275" s="34" t="str">
        <f>IFERROR(_xlfn.XLOOKUP(E275,[1]EMPREENDIMENTO!C:C,[1]EMPREENDIMENTO!D:D),"")</f>
        <v>20784643-3c21-e311-befc-80c16e075108</v>
      </c>
    </row>
    <row r="276" spans="1:21" hidden="1" x14ac:dyDescent="0.35">
      <c r="A276" s="28" t="str">
        <f>IFERROR(_xlfn.XLOOKUP(C276,[1]DIRETORIA!C:C,[1]DIRETORIA!A:A),"-")</f>
        <v>DIR. COM E CRED NE</v>
      </c>
      <c r="B276" s="28" t="str">
        <f>IFERROR(_xlfn.XLOOKUP(C276,[1]DIRETORIA!C:C,[1]DIRETORIA!B:B),"-")</f>
        <v>GST. COM NE5 (RN+PB)</v>
      </c>
      <c r="C276" s="28" t="str">
        <f>IFERROR(_xlfn.XLOOKUP(E276,[1]EMPREENDIMENTO!C:C,[1]EMPREENDIMENTO!A:A),"-")</f>
        <v>NATAL</v>
      </c>
      <c r="D276" s="28" t="s">
        <v>29</v>
      </c>
      <c r="E276" s="28" t="s">
        <v>524</v>
      </c>
      <c r="F276" s="28" t="s">
        <v>39</v>
      </c>
      <c r="G276" s="28" t="s">
        <v>528</v>
      </c>
      <c r="H276" s="28">
        <v>27606</v>
      </c>
      <c r="I276" s="29">
        <f>IFERROR(_xlfn.XLOOKUP(E276,[1]EMPREENDIMENTO!C:C,[1]EMPREENDIMENTO!E:E),"0")</f>
        <v>792</v>
      </c>
      <c r="J276" s="30">
        <v>46412</v>
      </c>
      <c r="K276" s="28" t="s">
        <v>33</v>
      </c>
      <c r="L276" s="31">
        <v>45895</v>
      </c>
      <c r="M276" s="32">
        <v>175746105</v>
      </c>
      <c r="N276" s="32">
        <v>193062389</v>
      </c>
      <c r="O276" s="32">
        <v>183745935</v>
      </c>
      <c r="P276" s="28" t="s">
        <v>34</v>
      </c>
      <c r="Q276" s="28" t="s">
        <v>526</v>
      </c>
      <c r="R276" s="30">
        <v>45901</v>
      </c>
      <c r="S276" s="30">
        <v>45896</v>
      </c>
      <c r="T276" s="33"/>
      <c r="U276" s="34" t="str">
        <f>IFERROR(_xlfn.XLOOKUP(E276,[1]EMPREENDIMENTO!C:C,[1]EMPREENDIMENTO!D:D),"")</f>
        <v>20784643-3c21-e311-befc-80c16e075108</v>
      </c>
    </row>
    <row r="277" spans="1:21" hidden="1" x14ac:dyDescent="0.35">
      <c r="A277" s="28" t="str">
        <f>IFERROR(_xlfn.XLOOKUP(C277,[1]DIRETORIA!C:C,[1]DIRETORIA!A:A),"-")</f>
        <v>DIR. COM E CRED NE</v>
      </c>
      <c r="B277" s="28" t="str">
        <f>IFERROR(_xlfn.XLOOKUP(C277,[1]DIRETORIA!C:C,[1]DIRETORIA!B:B),"-")</f>
        <v>GST. COM NE5 (RN+PB)</v>
      </c>
      <c r="C277" s="28" t="str">
        <f>IFERROR(_xlfn.XLOOKUP(E277,[1]EMPREENDIMENTO!C:C,[1]EMPREENDIMENTO!A:A),"-")</f>
        <v>NATAL</v>
      </c>
      <c r="D277" s="28" t="s">
        <v>29</v>
      </c>
      <c r="E277" s="28" t="s">
        <v>524</v>
      </c>
      <c r="F277" s="28" t="s">
        <v>50</v>
      </c>
      <c r="G277" s="28" t="s">
        <v>529</v>
      </c>
      <c r="H277" s="28">
        <v>27607</v>
      </c>
      <c r="I277" s="29">
        <f>IFERROR(_xlfn.XLOOKUP(E277,[1]EMPREENDIMENTO!C:C,[1]EMPREENDIMENTO!E:E),"0")</f>
        <v>792</v>
      </c>
      <c r="J277" s="30">
        <v>46412</v>
      </c>
      <c r="K277" s="28" t="s">
        <v>33</v>
      </c>
      <c r="L277" s="31">
        <v>45895</v>
      </c>
      <c r="M277" s="32">
        <v>175746105</v>
      </c>
      <c r="N277" s="32">
        <v>193062389</v>
      </c>
      <c r="O277" s="32">
        <v>183745935</v>
      </c>
      <c r="P277" s="28" t="s">
        <v>34</v>
      </c>
      <c r="Q277" s="28" t="s">
        <v>526</v>
      </c>
      <c r="R277" s="30">
        <v>45901</v>
      </c>
      <c r="S277" s="30">
        <v>45896</v>
      </c>
      <c r="T277" s="33"/>
      <c r="U277" s="34" t="str">
        <f>IFERROR(_xlfn.XLOOKUP(E277,[1]EMPREENDIMENTO!C:C,[1]EMPREENDIMENTO!D:D),"")</f>
        <v>20784643-3c21-e311-befc-80c16e075108</v>
      </c>
    </row>
    <row r="278" spans="1:21" hidden="1" x14ac:dyDescent="0.35">
      <c r="A278" s="28" t="str">
        <f>IFERROR(_xlfn.XLOOKUP(C278,[1]DIRETORIA!C:C,[1]DIRETORIA!A:A),"-")</f>
        <v>DIR. COM E CRED NE</v>
      </c>
      <c r="B278" s="28" t="str">
        <f>IFERROR(_xlfn.XLOOKUP(C278,[1]DIRETORIA!C:C,[1]DIRETORIA!B:B),"-")</f>
        <v>GST. COM NE5 (RN+PB)</v>
      </c>
      <c r="C278" s="28" t="str">
        <f>IFERROR(_xlfn.XLOOKUP(E278,[1]EMPREENDIMENTO!C:C,[1]EMPREENDIMENTO!A:A),"-")</f>
        <v>NATAL</v>
      </c>
      <c r="D278" s="28" t="s">
        <v>29</v>
      </c>
      <c r="E278" s="28" t="s">
        <v>524</v>
      </c>
      <c r="F278" s="28" t="s">
        <v>57</v>
      </c>
      <c r="G278" s="28" t="s">
        <v>530</v>
      </c>
      <c r="H278" s="28">
        <v>27608</v>
      </c>
      <c r="I278" s="29">
        <f>IFERROR(_xlfn.XLOOKUP(E278,[1]EMPREENDIMENTO!C:C,[1]EMPREENDIMENTO!E:E),"0")</f>
        <v>792</v>
      </c>
      <c r="J278" s="30">
        <v>46412</v>
      </c>
      <c r="K278" s="28" t="s">
        <v>33</v>
      </c>
      <c r="L278" s="31">
        <v>45895</v>
      </c>
      <c r="M278" s="32">
        <v>175746105</v>
      </c>
      <c r="N278" s="32">
        <v>193062389</v>
      </c>
      <c r="O278" s="32">
        <v>183745935</v>
      </c>
      <c r="P278" s="28" t="s">
        <v>34</v>
      </c>
      <c r="Q278" s="28" t="s">
        <v>526</v>
      </c>
      <c r="R278" s="30">
        <v>45901</v>
      </c>
      <c r="S278" s="30">
        <v>45896</v>
      </c>
      <c r="T278" s="33"/>
      <c r="U278" s="34" t="str">
        <f>IFERROR(_xlfn.XLOOKUP(E278,[1]EMPREENDIMENTO!C:C,[1]EMPREENDIMENTO!D:D),"")</f>
        <v>20784643-3c21-e311-befc-80c16e075108</v>
      </c>
    </row>
    <row r="279" spans="1:21" hidden="1" x14ac:dyDescent="0.35">
      <c r="A279" s="28" t="str">
        <f>IFERROR(_xlfn.XLOOKUP(C279,[1]DIRETORIA!C:C,[1]DIRETORIA!A:A),"-")</f>
        <v>DIR. COM E CRED NE</v>
      </c>
      <c r="B279" s="28" t="str">
        <f>IFERROR(_xlfn.XLOOKUP(C279,[1]DIRETORIA!C:C,[1]DIRETORIA!B:B),"-")</f>
        <v>GST. COM NE5 (RN+PB)</v>
      </c>
      <c r="C279" s="28" t="str">
        <f>IFERROR(_xlfn.XLOOKUP(E279,[1]EMPREENDIMENTO!C:C,[1]EMPREENDIMENTO!A:A),"-")</f>
        <v>NATAL</v>
      </c>
      <c r="D279" s="28" t="s">
        <v>29</v>
      </c>
      <c r="E279" s="28" t="s">
        <v>524</v>
      </c>
      <c r="F279" s="28" t="s">
        <v>360</v>
      </c>
      <c r="G279" s="28" t="s">
        <v>531</v>
      </c>
      <c r="H279" s="28">
        <v>27609</v>
      </c>
      <c r="I279" s="29">
        <f>IFERROR(_xlfn.XLOOKUP(E279,[1]EMPREENDIMENTO!C:C,[1]EMPREENDIMENTO!E:E),"0")</f>
        <v>792</v>
      </c>
      <c r="J279" s="30">
        <v>46412</v>
      </c>
      <c r="K279" s="28" t="s">
        <v>33</v>
      </c>
      <c r="L279" s="31">
        <v>45895</v>
      </c>
      <c r="M279" s="32">
        <v>175746105</v>
      </c>
      <c r="N279" s="32">
        <v>193062389</v>
      </c>
      <c r="O279" s="32">
        <v>183745935</v>
      </c>
      <c r="P279" s="28" t="s">
        <v>34</v>
      </c>
      <c r="Q279" s="28" t="s">
        <v>526</v>
      </c>
      <c r="R279" s="30">
        <v>45901</v>
      </c>
      <c r="S279" s="30">
        <v>45896</v>
      </c>
      <c r="T279" s="33"/>
      <c r="U279" s="34" t="str">
        <f>IFERROR(_xlfn.XLOOKUP(E279,[1]EMPREENDIMENTO!C:C,[1]EMPREENDIMENTO!D:D),"")</f>
        <v>20784643-3c21-e311-befc-80c16e075108</v>
      </c>
    </row>
    <row r="280" spans="1:21" hidden="1" x14ac:dyDescent="0.35">
      <c r="A280" s="28" t="str">
        <f>IFERROR(_xlfn.XLOOKUP(C280,[1]DIRETORIA!C:C,[1]DIRETORIA!A:A),"-")</f>
        <v>DIR. COM E CRED NE</v>
      </c>
      <c r="B280" s="28" t="str">
        <f>IFERROR(_xlfn.XLOOKUP(C280,[1]DIRETORIA!C:C,[1]DIRETORIA!B:B),"-")</f>
        <v>GST. COM NE5 (RN+PB)</v>
      </c>
      <c r="C280" s="28" t="str">
        <f>IFERROR(_xlfn.XLOOKUP(E280,[1]EMPREENDIMENTO!C:C,[1]EMPREENDIMENTO!A:A),"-")</f>
        <v>JOÃO PESSOA</v>
      </c>
      <c r="D280" s="28" t="s">
        <v>29</v>
      </c>
      <c r="E280" s="28" t="s">
        <v>532</v>
      </c>
      <c r="F280" s="28" t="s">
        <v>31</v>
      </c>
      <c r="G280" s="28" t="s">
        <v>533</v>
      </c>
      <c r="H280" s="28">
        <v>28818</v>
      </c>
      <c r="I280" s="29">
        <f>IFERROR(_xlfn.XLOOKUP(E280,[1]EMPREENDIMENTO!C:C,[1]EMPREENDIMENTO!E:E),"0")</f>
        <v>408</v>
      </c>
      <c r="J280" s="30">
        <v>46280</v>
      </c>
      <c r="K280" s="28" t="s">
        <v>33</v>
      </c>
      <c r="L280" s="31">
        <v>45617</v>
      </c>
      <c r="M280" s="32">
        <v>96338100</v>
      </c>
      <c r="N280" s="32">
        <v>104498100</v>
      </c>
      <c r="O280" s="32">
        <v>104498100</v>
      </c>
      <c r="P280" s="28" t="s">
        <v>34</v>
      </c>
      <c r="Q280" s="28" t="s">
        <v>534</v>
      </c>
      <c r="R280" s="30">
        <v>45619</v>
      </c>
      <c r="S280" s="30">
        <v>45617</v>
      </c>
      <c r="T280" s="33"/>
      <c r="U280" s="34" t="str">
        <f>IFERROR(_xlfn.XLOOKUP(E280,[1]EMPREENDIMENTO!C:C,[1]EMPREENDIMENTO!D:D),"")</f>
        <v>be6dde93-cfbd-e911-a3f3-005056856b6c</v>
      </c>
    </row>
    <row r="281" spans="1:21" hidden="1" x14ac:dyDescent="0.35">
      <c r="A281" s="28" t="str">
        <f>IFERROR(_xlfn.XLOOKUP(C281,[1]DIRETORIA!C:C,[1]DIRETORIA!A:A),"-")</f>
        <v>DIR. COM E CRED NE</v>
      </c>
      <c r="B281" s="28" t="str">
        <f>IFERROR(_xlfn.XLOOKUP(C281,[1]DIRETORIA!C:C,[1]DIRETORIA!B:B),"-")</f>
        <v>GST. COM NE5 (RN+PB)</v>
      </c>
      <c r="C281" s="28" t="str">
        <f>IFERROR(_xlfn.XLOOKUP(E281,[1]EMPREENDIMENTO!C:C,[1]EMPREENDIMENTO!A:A),"-")</f>
        <v>JOÃO PESSOA</v>
      </c>
      <c r="D281" s="28" t="s">
        <v>29</v>
      </c>
      <c r="E281" s="28" t="s">
        <v>532</v>
      </c>
      <c r="F281" s="28" t="s">
        <v>36</v>
      </c>
      <c r="G281" s="28" t="s">
        <v>535</v>
      </c>
      <c r="H281" s="28">
        <v>33795</v>
      </c>
      <c r="I281" s="29">
        <f>IFERROR(_xlfn.XLOOKUP(E281,[1]EMPREENDIMENTO!C:C,[1]EMPREENDIMENTO!E:E),"0")</f>
        <v>408</v>
      </c>
      <c r="J281" s="30">
        <v>46280</v>
      </c>
      <c r="K281" s="28" t="s">
        <v>33</v>
      </c>
      <c r="L281" s="31">
        <v>45617</v>
      </c>
      <c r="M281" s="32">
        <v>96338100</v>
      </c>
      <c r="N281" s="32">
        <v>104498100</v>
      </c>
      <c r="O281" s="32">
        <v>104498100</v>
      </c>
      <c r="P281" s="28" t="s">
        <v>34</v>
      </c>
      <c r="Q281" s="28" t="s">
        <v>534</v>
      </c>
      <c r="R281" s="30">
        <v>45619</v>
      </c>
      <c r="S281" s="30">
        <v>45617</v>
      </c>
      <c r="T281" s="33"/>
      <c r="U281" s="34" t="str">
        <f>IFERROR(_xlfn.XLOOKUP(E281,[1]EMPREENDIMENTO!C:C,[1]EMPREENDIMENTO!D:D),"")</f>
        <v>be6dde93-cfbd-e911-a3f3-005056856b6c</v>
      </c>
    </row>
    <row r="282" spans="1:21" hidden="1" x14ac:dyDescent="0.35">
      <c r="A282" s="28" t="str">
        <f>IFERROR(_xlfn.XLOOKUP(C282,[1]DIRETORIA!C:C,[1]DIRETORIA!A:A),"-")</f>
        <v>DIR. COM E CRED NE</v>
      </c>
      <c r="B282" s="28" t="str">
        <f>IFERROR(_xlfn.XLOOKUP(C282,[1]DIRETORIA!C:C,[1]DIRETORIA!B:B),"-")</f>
        <v>GST. COM NE5 (RN+PB)</v>
      </c>
      <c r="C282" s="28" t="str">
        <f>IFERROR(_xlfn.XLOOKUP(E282,[1]EMPREENDIMENTO!C:C,[1]EMPREENDIMENTO!A:A),"-")</f>
        <v>JOÃO PESSOA</v>
      </c>
      <c r="D282" s="28" t="s">
        <v>29</v>
      </c>
      <c r="E282" s="28" t="s">
        <v>532</v>
      </c>
      <c r="F282" s="28" t="s">
        <v>39</v>
      </c>
      <c r="G282" s="28" t="s">
        <v>536</v>
      </c>
      <c r="H282" s="28">
        <v>33797</v>
      </c>
      <c r="I282" s="29">
        <f>IFERROR(_xlfn.XLOOKUP(E282,[1]EMPREENDIMENTO!C:C,[1]EMPREENDIMENTO!E:E),"0")</f>
        <v>408</v>
      </c>
      <c r="J282" s="30">
        <v>46280</v>
      </c>
      <c r="K282" s="28" t="s">
        <v>33</v>
      </c>
      <c r="L282" s="31">
        <v>45617</v>
      </c>
      <c r="M282" s="32">
        <v>96338100</v>
      </c>
      <c r="N282" s="32">
        <v>104498100</v>
      </c>
      <c r="O282" s="32">
        <v>104498100</v>
      </c>
      <c r="P282" s="28" t="s">
        <v>34</v>
      </c>
      <c r="Q282" s="28" t="s">
        <v>534</v>
      </c>
      <c r="R282" s="30">
        <v>45619</v>
      </c>
      <c r="S282" s="30">
        <v>45617</v>
      </c>
      <c r="T282" s="33"/>
      <c r="U282" s="34" t="str">
        <f>IFERROR(_xlfn.XLOOKUP(E282,[1]EMPREENDIMENTO!C:C,[1]EMPREENDIMENTO!D:D),"")</f>
        <v>be6dde93-cfbd-e911-a3f3-005056856b6c</v>
      </c>
    </row>
    <row r="283" spans="1:21" hidden="1" x14ac:dyDescent="0.35">
      <c r="A283" s="28" t="str">
        <f>IFERROR(_xlfn.XLOOKUP(C283,[1]DIRETORIA!C:C,[1]DIRETORIA!A:A),"-")</f>
        <v>DIR. COM E CRED SUL</v>
      </c>
      <c r="B283" s="28" t="str">
        <f>IFERROR(_xlfn.XLOOKUP(C283,[1]DIRETORIA!C:C,[1]DIRETORIA!B:B),"-")</f>
        <v>GST. COM RS SUL</v>
      </c>
      <c r="C283" s="28" t="str">
        <f>IFERROR(_xlfn.XLOOKUP(E283,[1]EMPREENDIMENTO!C:C,[1]EMPREENDIMENTO!A:A),"-")</f>
        <v>PORTO ALEGRE</v>
      </c>
      <c r="D283" s="28" t="s">
        <v>29</v>
      </c>
      <c r="E283" s="28" t="s">
        <v>537</v>
      </c>
      <c r="F283" s="28" t="s">
        <v>42</v>
      </c>
      <c r="G283" s="28" t="s">
        <v>538</v>
      </c>
      <c r="H283" s="28">
        <v>30667</v>
      </c>
      <c r="I283" s="29">
        <f>IFERROR(_xlfn.XLOOKUP(E283,[1]EMPREENDIMENTO!C:C,[1]EMPREENDIMENTO!E:E),"0")</f>
        <v>160</v>
      </c>
      <c r="J283" s="30">
        <v>46474</v>
      </c>
      <c r="K283" s="28" t="s">
        <v>33</v>
      </c>
      <c r="L283" s="31">
        <v>45904</v>
      </c>
      <c r="M283" s="32">
        <v>34409100</v>
      </c>
      <c r="N283" s="32">
        <v>34409100</v>
      </c>
      <c r="O283" s="32">
        <v>37023000</v>
      </c>
      <c r="P283" s="28" t="s">
        <v>34</v>
      </c>
      <c r="Q283" s="28" t="s">
        <v>539</v>
      </c>
      <c r="R283" s="30">
        <v>45919</v>
      </c>
      <c r="S283" s="30">
        <v>45904</v>
      </c>
      <c r="T283" s="33"/>
      <c r="U283" s="34" t="str">
        <f>IFERROR(_xlfn.XLOOKUP(E283,[1]EMPREENDIMENTO!C:C,[1]EMPREENDIMENTO!D:D),"")</f>
        <v>ba76ca74-11e7-e711-b989-80c16e075108</v>
      </c>
    </row>
    <row r="284" spans="1:21" x14ac:dyDescent="0.35">
      <c r="A284" s="28" t="str">
        <f>IFERROR(_xlfn.XLOOKUP(C284,[1]DIRETORIA!C:C,[1]DIRETORIA!A:A),"-")</f>
        <v>DIR. COM E CRED SPI</v>
      </c>
      <c r="B284" s="28" t="str">
        <f>IFERROR(_xlfn.XLOOKUP(C284,[1]DIRETORIA!C:C,[1]DIRETORIA!B:B),"-")</f>
        <v>GST. COM OP 2</v>
      </c>
      <c r="C284" s="28" t="str">
        <f>IFERROR(_xlfn.XLOOKUP(E284,[1]EMPREENDIMENTO!C:C,[1]EMPREENDIMENTO!A:A),"-")</f>
        <v>BAURU</v>
      </c>
      <c r="D284" s="28" t="s">
        <v>29</v>
      </c>
      <c r="E284" s="28" t="s">
        <v>540</v>
      </c>
      <c r="F284" s="28" t="s">
        <v>42</v>
      </c>
      <c r="G284" s="28" t="s">
        <v>541</v>
      </c>
      <c r="H284" s="28">
        <v>45129</v>
      </c>
      <c r="I284" s="29">
        <f>IFERROR(_xlfn.XLOOKUP(E284,[1]EMPREENDIMENTO!C:C,[1]EMPREENDIMENTO!E:E),"0")</f>
        <v>136</v>
      </c>
      <c r="J284" s="30">
        <v>46593</v>
      </c>
      <c r="K284" s="28" t="s">
        <v>33</v>
      </c>
      <c r="L284" s="31">
        <v>45687</v>
      </c>
      <c r="M284" s="32">
        <v>41953600</v>
      </c>
      <c r="N284" s="32">
        <v>48046900</v>
      </c>
      <c r="O284" s="32">
        <v>48027000</v>
      </c>
      <c r="P284" s="28" t="s">
        <v>34</v>
      </c>
      <c r="Q284" s="28" t="s">
        <v>542</v>
      </c>
      <c r="R284" s="30">
        <v>45712</v>
      </c>
      <c r="S284" s="30">
        <v>45688</v>
      </c>
      <c r="T284" s="33"/>
      <c r="U284" s="34" t="str">
        <f>IFERROR(_xlfn.XLOOKUP(E284,[1]EMPREENDIMENTO!C:C,[1]EMPREENDIMENTO!D:D),"")</f>
        <v>3e6b04b7-973b-e911-810a-80c16e075108</v>
      </c>
    </row>
    <row r="285" spans="1:21" x14ac:dyDescent="0.35">
      <c r="A285" s="28" t="str">
        <f>IFERROR(_xlfn.XLOOKUP(C285,[1]DIRETORIA!C:C,[1]DIRETORIA!A:A),"-")</f>
        <v>DIR. COM E CRED SPI CP</v>
      </c>
      <c r="B285" s="28" t="str">
        <f>IFERROR(_xlfn.XLOOKUP(C285,[1]DIRETORIA!C:C,[1]DIRETORIA!B:B),"-")</f>
        <v>GST. COM CP3</v>
      </c>
      <c r="C285" s="28" t="str">
        <f>IFERROR(_xlfn.XLOOKUP(E285,[1]EMPREENDIMENTO!C:C,[1]EMPREENDIMENTO!A:A),"-")</f>
        <v>LIMEIRA</v>
      </c>
      <c r="D285" s="28" t="s">
        <v>29</v>
      </c>
      <c r="E285" s="28" t="s">
        <v>543</v>
      </c>
      <c r="F285" s="28" t="s">
        <v>31</v>
      </c>
      <c r="G285" s="28" t="s">
        <v>544</v>
      </c>
      <c r="H285" s="28">
        <v>32998</v>
      </c>
      <c r="I285" s="29">
        <f>IFERROR(_xlfn.XLOOKUP(E285,[1]EMPREENDIMENTO!C:C,[1]EMPREENDIMENTO!E:E),"0")</f>
        <v>500</v>
      </c>
      <c r="J285" s="30">
        <v>46201</v>
      </c>
      <c r="K285" s="28" t="s">
        <v>33</v>
      </c>
      <c r="L285" s="31">
        <v>45014</v>
      </c>
      <c r="M285" s="32">
        <v>107243300</v>
      </c>
      <c r="N285" s="32">
        <v>126504197</v>
      </c>
      <c r="O285" s="32">
        <v>118987900</v>
      </c>
      <c r="P285" s="28" t="s">
        <v>34</v>
      </c>
      <c r="Q285" s="28"/>
      <c r="R285" s="30"/>
      <c r="S285" s="30">
        <v>45020</v>
      </c>
      <c r="T285" s="33"/>
      <c r="U285" s="34" t="str">
        <f>IFERROR(_xlfn.XLOOKUP(E285,[1]EMPREENDIMENTO!C:C,[1]EMPREENDIMENTO!D:D),"")</f>
        <v>e7d5cf23-3585-eb11-8864-0050568aa20f</v>
      </c>
    </row>
    <row r="286" spans="1:21" x14ac:dyDescent="0.35">
      <c r="A286" s="28" t="str">
        <f>IFERROR(_xlfn.XLOOKUP(C286,[1]DIRETORIA!C:C,[1]DIRETORIA!A:A),"-")</f>
        <v>DIR. COM E CRED SPI CP</v>
      </c>
      <c r="B286" s="28" t="str">
        <f>IFERROR(_xlfn.XLOOKUP(C286,[1]DIRETORIA!C:C,[1]DIRETORIA!B:B),"-")</f>
        <v>GST. COM CP3</v>
      </c>
      <c r="C286" s="28" t="str">
        <f>IFERROR(_xlfn.XLOOKUP(E286,[1]EMPREENDIMENTO!C:C,[1]EMPREENDIMENTO!A:A),"-")</f>
        <v>LIMEIRA</v>
      </c>
      <c r="D286" s="28" t="s">
        <v>29</v>
      </c>
      <c r="E286" s="28" t="s">
        <v>543</v>
      </c>
      <c r="F286" s="28" t="s">
        <v>36</v>
      </c>
      <c r="G286" s="28" t="s">
        <v>545</v>
      </c>
      <c r="H286" s="28">
        <v>35635</v>
      </c>
      <c r="I286" s="29">
        <f>IFERROR(_xlfn.XLOOKUP(E286,[1]EMPREENDIMENTO!C:C,[1]EMPREENDIMENTO!E:E),"0")</f>
        <v>500</v>
      </c>
      <c r="J286" s="30">
        <v>46201</v>
      </c>
      <c r="K286" s="28" t="s">
        <v>33</v>
      </c>
      <c r="L286" s="31">
        <v>45014</v>
      </c>
      <c r="M286" s="32">
        <v>107243300</v>
      </c>
      <c r="N286" s="32">
        <v>126504197</v>
      </c>
      <c r="O286" s="32">
        <v>118987900</v>
      </c>
      <c r="P286" s="28" t="s">
        <v>34</v>
      </c>
      <c r="Q286" s="28"/>
      <c r="R286" s="30"/>
      <c r="S286" s="30">
        <v>45020</v>
      </c>
      <c r="T286" s="33"/>
      <c r="U286" s="34" t="str">
        <f>IFERROR(_xlfn.XLOOKUP(E286,[1]EMPREENDIMENTO!C:C,[1]EMPREENDIMENTO!D:D),"")</f>
        <v>e7d5cf23-3585-eb11-8864-0050568aa20f</v>
      </c>
    </row>
    <row r="287" spans="1:21" x14ac:dyDescent="0.35">
      <c r="A287" s="28" t="str">
        <f>IFERROR(_xlfn.XLOOKUP(C287,[1]DIRETORIA!C:C,[1]DIRETORIA!A:A),"-")</f>
        <v>DIR. COM E CRED SPI CP</v>
      </c>
      <c r="B287" s="28" t="str">
        <f>IFERROR(_xlfn.XLOOKUP(C287,[1]DIRETORIA!C:C,[1]DIRETORIA!B:B),"-")</f>
        <v>GST. COM CP3</v>
      </c>
      <c r="C287" s="28" t="str">
        <f>IFERROR(_xlfn.XLOOKUP(E287,[1]EMPREENDIMENTO!C:C,[1]EMPREENDIMENTO!A:A),"-")</f>
        <v>LIMEIRA</v>
      </c>
      <c r="D287" s="28" t="s">
        <v>29</v>
      </c>
      <c r="E287" s="28" t="s">
        <v>543</v>
      </c>
      <c r="F287" s="28" t="s">
        <v>39</v>
      </c>
      <c r="G287" s="28" t="s">
        <v>546</v>
      </c>
      <c r="H287" s="28">
        <v>35636</v>
      </c>
      <c r="I287" s="29">
        <f>IFERROR(_xlfn.XLOOKUP(E287,[1]EMPREENDIMENTO!C:C,[1]EMPREENDIMENTO!E:E),"0")</f>
        <v>500</v>
      </c>
      <c r="J287" s="30">
        <v>46201</v>
      </c>
      <c r="K287" s="28" t="s">
        <v>33</v>
      </c>
      <c r="L287" s="31">
        <v>45014</v>
      </c>
      <c r="M287" s="32">
        <v>107243300</v>
      </c>
      <c r="N287" s="32">
        <v>126504197</v>
      </c>
      <c r="O287" s="32">
        <v>118987900</v>
      </c>
      <c r="P287" s="28" t="s">
        <v>34</v>
      </c>
      <c r="Q287" s="28"/>
      <c r="R287" s="30">
        <v>45001</v>
      </c>
      <c r="S287" s="30">
        <v>45020</v>
      </c>
      <c r="T287" s="33"/>
      <c r="U287" s="34" t="str">
        <f>IFERROR(_xlfn.XLOOKUP(E287,[1]EMPREENDIMENTO!C:C,[1]EMPREENDIMENTO!D:D),"")</f>
        <v>e7d5cf23-3585-eb11-8864-0050568aa20f</v>
      </c>
    </row>
    <row r="288" spans="1:21" x14ac:dyDescent="0.35">
      <c r="A288" s="28" t="str">
        <f>IFERROR(_xlfn.XLOOKUP(C288,[1]DIRETORIA!C:C,[1]DIRETORIA!A:A),"-")</f>
        <v>DIR. COM E CRED SPI CP</v>
      </c>
      <c r="B288" s="28" t="str">
        <f>IFERROR(_xlfn.XLOOKUP(C288,[1]DIRETORIA!C:C,[1]DIRETORIA!B:B),"-")</f>
        <v>GST. COM CP3</v>
      </c>
      <c r="C288" s="28" t="str">
        <f>IFERROR(_xlfn.XLOOKUP(E288,[1]EMPREENDIMENTO!C:C,[1]EMPREENDIMENTO!A:A),"-")</f>
        <v>LIMEIRA</v>
      </c>
      <c r="D288" s="28" t="s">
        <v>29</v>
      </c>
      <c r="E288" s="28" t="s">
        <v>543</v>
      </c>
      <c r="F288" s="28" t="s">
        <v>50</v>
      </c>
      <c r="G288" s="28" t="s">
        <v>547</v>
      </c>
      <c r="H288" s="28">
        <v>35637</v>
      </c>
      <c r="I288" s="29">
        <f>IFERROR(_xlfn.XLOOKUP(E288,[1]EMPREENDIMENTO!C:C,[1]EMPREENDIMENTO!E:E),"0")</f>
        <v>500</v>
      </c>
      <c r="J288" s="30">
        <v>46201</v>
      </c>
      <c r="K288" s="28" t="s">
        <v>33</v>
      </c>
      <c r="L288" s="31">
        <v>45014</v>
      </c>
      <c r="M288" s="32">
        <v>107243300</v>
      </c>
      <c r="N288" s="32">
        <v>126504197</v>
      </c>
      <c r="O288" s="32">
        <v>118987900</v>
      </c>
      <c r="P288" s="28" t="s">
        <v>34</v>
      </c>
      <c r="Q288" s="28"/>
      <c r="R288" s="30">
        <v>45001</v>
      </c>
      <c r="S288" s="30">
        <v>45020</v>
      </c>
      <c r="T288" s="33"/>
      <c r="U288" s="34" t="str">
        <f>IFERROR(_xlfn.XLOOKUP(E288,[1]EMPREENDIMENTO!C:C,[1]EMPREENDIMENTO!D:D),"")</f>
        <v>e7d5cf23-3585-eb11-8864-0050568aa20f</v>
      </c>
    </row>
    <row r="289" spans="1:21" x14ac:dyDescent="0.35">
      <c r="A289" s="28" t="str">
        <f>IFERROR(_xlfn.XLOOKUP(C289,[1]DIRETORIA!C:C,[1]DIRETORIA!A:A),"-")</f>
        <v>DIR. COM E CRED SPI CP</v>
      </c>
      <c r="B289" s="28" t="str">
        <f>IFERROR(_xlfn.XLOOKUP(C289,[1]DIRETORIA!C:C,[1]DIRETORIA!B:B),"-")</f>
        <v>GST. COM CP2</v>
      </c>
      <c r="C289" s="28" t="str">
        <f>IFERROR(_xlfn.XLOOKUP(E289,[1]EMPREENDIMENTO!C:C,[1]EMPREENDIMENTO!A:A),"-")</f>
        <v>JUNDIAÍ</v>
      </c>
      <c r="D289" s="28" t="s">
        <v>29</v>
      </c>
      <c r="E289" s="28" t="s">
        <v>548</v>
      </c>
      <c r="F289" s="28" t="s">
        <v>42</v>
      </c>
      <c r="G289" s="28" t="s">
        <v>549</v>
      </c>
      <c r="H289" s="28">
        <v>30999</v>
      </c>
      <c r="I289" s="29">
        <f>IFERROR(_xlfn.XLOOKUP(E289,[1]EMPREENDIMENTO!C:C,[1]EMPREENDIMENTO!E:E),"0")</f>
        <v>192</v>
      </c>
      <c r="J289" s="30"/>
      <c r="K289" s="28" t="s">
        <v>33</v>
      </c>
      <c r="L289" s="31">
        <v>44966</v>
      </c>
      <c r="M289" s="32">
        <v>48021900</v>
      </c>
      <c r="N289" s="32">
        <v>51487283</v>
      </c>
      <c r="O289" s="32">
        <v>50540904</v>
      </c>
      <c r="P289" s="28" t="s">
        <v>34</v>
      </c>
      <c r="Q289" s="28" t="s">
        <v>550</v>
      </c>
      <c r="R289" s="30">
        <v>44974</v>
      </c>
      <c r="S289" s="30">
        <v>44966</v>
      </c>
      <c r="T289" s="33"/>
      <c r="U289" s="34" t="str">
        <f>IFERROR(_xlfn.XLOOKUP(E289,[1]EMPREENDIMENTO!C:C,[1]EMPREENDIMENTO!D:D),"")</f>
        <v>DBC1538A-F6BE-EB11-94B3-005056856875</v>
      </c>
    </row>
    <row r="290" spans="1:21" hidden="1" x14ac:dyDescent="0.35">
      <c r="A290" s="28" t="str">
        <f>IFERROR(_xlfn.XLOOKUP(C290,[1]DIRETORIA!C:C,[1]DIRETORIA!A:A),"-")</f>
        <v>DIR. COM E CRED NE</v>
      </c>
      <c r="B290" s="28" t="str">
        <f>IFERROR(_xlfn.XLOOKUP(C290,[1]DIRETORIA!C:C,[1]DIRETORIA!B:B),"-")</f>
        <v>GST. COM NE1 (BA 1)</v>
      </c>
      <c r="C290" s="28" t="str">
        <f>IFERROR(_xlfn.XLOOKUP(E290,[1]EMPREENDIMENTO!C:C,[1]EMPREENDIMENTO!A:A),"-")</f>
        <v>SALVADOR</v>
      </c>
      <c r="D290" s="28" t="s">
        <v>29</v>
      </c>
      <c r="E290" s="28" t="s">
        <v>551</v>
      </c>
      <c r="F290" s="28" t="s">
        <v>42</v>
      </c>
      <c r="G290" s="28" t="s">
        <v>552</v>
      </c>
      <c r="H290" s="28">
        <v>37262</v>
      </c>
      <c r="I290" s="29">
        <f>IFERROR(_xlfn.XLOOKUP(E290,[1]EMPREENDIMENTO!C:C,[1]EMPREENDIMENTO!E:E),"0")</f>
        <v>352</v>
      </c>
      <c r="J290" s="30">
        <v>46503</v>
      </c>
      <c r="K290" s="28" t="s">
        <v>148</v>
      </c>
      <c r="L290" s="31">
        <v>46581</v>
      </c>
      <c r="M290" s="32">
        <v>88460500</v>
      </c>
      <c r="N290" s="32">
        <v>111809288</v>
      </c>
      <c r="O290" s="32">
        <v>111809288</v>
      </c>
      <c r="P290" s="28" t="s">
        <v>34</v>
      </c>
      <c r="Q290" s="28" t="s">
        <v>553</v>
      </c>
      <c r="R290" s="30">
        <v>46220</v>
      </c>
      <c r="S290" s="30">
        <v>46216</v>
      </c>
      <c r="T290" s="33"/>
      <c r="U290" s="34" t="str">
        <f>IFERROR(_xlfn.XLOOKUP(E290,[1]EMPREENDIMENTO!C:C,[1]EMPREENDIMENTO!D:D),"")</f>
        <v>7fc315a9-4e7e-e911-aaf3-009c02b0cb58</v>
      </c>
    </row>
    <row r="291" spans="1:21" x14ac:dyDescent="0.35">
      <c r="A291" s="28" t="str">
        <f>IFERROR(_xlfn.XLOOKUP(C291,[1]DIRETORIA!C:C,[1]DIRETORIA!A:A),"-")</f>
        <v>DIR. COM E CRED SPI</v>
      </c>
      <c r="B291" s="28" t="str">
        <f>IFERROR(_xlfn.XLOOKUP(C291,[1]DIRETORIA!C:C,[1]DIRETORIA!B:B),"-")</f>
        <v>GST. COM RP 1</v>
      </c>
      <c r="C291" s="28" t="str">
        <f>IFERROR(_xlfn.XLOOKUP(E291,[1]EMPREENDIMENTO!C:C,[1]EMPREENDIMENTO!A:A),"-")</f>
        <v>RIBEIRÃO PRETO</v>
      </c>
      <c r="D291" s="28" t="s">
        <v>29</v>
      </c>
      <c r="E291" s="28" t="s">
        <v>554</v>
      </c>
      <c r="F291" s="28" t="s">
        <v>31</v>
      </c>
      <c r="G291" s="28" t="s">
        <v>555</v>
      </c>
      <c r="H291" s="28">
        <v>18864</v>
      </c>
      <c r="I291" s="29">
        <f>IFERROR(_xlfn.XLOOKUP(E291,[1]EMPREENDIMENTO!C:C,[1]EMPREENDIMENTO!E:E),"0")</f>
        <v>340</v>
      </c>
      <c r="J291" s="30">
        <v>46348</v>
      </c>
      <c r="K291" s="28" t="s">
        <v>33</v>
      </c>
      <c r="L291" s="31">
        <v>45511</v>
      </c>
      <c r="M291" s="32">
        <v>73463376</v>
      </c>
      <c r="N291" s="32">
        <v>75756976</v>
      </c>
      <c r="O291" s="32">
        <v>75521376</v>
      </c>
      <c r="P291" s="28" t="s">
        <v>34</v>
      </c>
      <c r="Q291" s="28" t="s">
        <v>556</v>
      </c>
      <c r="R291" s="30">
        <v>45523</v>
      </c>
      <c r="S291" s="30">
        <v>45511</v>
      </c>
      <c r="T291" s="33"/>
      <c r="U291" s="34" t="str">
        <f>IFERROR(_xlfn.XLOOKUP(E291,[1]EMPREENDIMENTO!C:C,[1]EMPREENDIMENTO!D:D),"")</f>
        <v>53048677-9723-e811-bcac-80c16e075108</v>
      </c>
    </row>
    <row r="292" spans="1:21" x14ac:dyDescent="0.35">
      <c r="A292" s="28" t="str">
        <f>IFERROR(_xlfn.XLOOKUP(C292,[1]DIRETORIA!C:C,[1]DIRETORIA!A:A),"-")</f>
        <v>DIR. COM E CRED SPI</v>
      </c>
      <c r="B292" s="28" t="str">
        <f>IFERROR(_xlfn.XLOOKUP(C292,[1]DIRETORIA!C:C,[1]DIRETORIA!B:B),"-")</f>
        <v>GST. COM RP 1</v>
      </c>
      <c r="C292" s="28" t="str">
        <f>IFERROR(_xlfn.XLOOKUP(E292,[1]EMPREENDIMENTO!C:C,[1]EMPREENDIMENTO!A:A),"-")</f>
        <v>RIBEIRÃO PRETO</v>
      </c>
      <c r="D292" s="28" t="s">
        <v>29</v>
      </c>
      <c r="E292" s="28" t="s">
        <v>554</v>
      </c>
      <c r="F292" s="28" t="s">
        <v>36</v>
      </c>
      <c r="G292" s="28" t="s">
        <v>557</v>
      </c>
      <c r="H292" s="28">
        <v>19125</v>
      </c>
      <c r="I292" s="29">
        <f>IFERROR(_xlfn.XLOOKUP(E292,[1]EMPREENDIMENTO!C:C,[1]EMPREENDIMENTO!E:E),"0")</f>
        <v>340</v>
      </c>
      <c r="J292" s="30">
        <v>46348</v>
      </c>
      <c r="K292" s="28" t="s">
        <v>33</v>
      </c>
      <c r="L292" s="31">
        <v>45511</v>
      </c>
      <c r="M292" s="32">
        <v>73463376</v>
      </c>
      <c r="N292" s="32">
        <v>75756976</v>
      </c>
      <c r="O292" s="32">
        <v>75521376</v>
      </c>
      <c r="P292" s="28" t="s">
        <v>34</v>
      </c>
      <c r="Q292" s="28" t="s">
        <v>556</v>
      </c>
      <c r="R292" s="30">
        <v>45523</v>
      </c>
      <c r="S292" s="30">
        <v>45511</v>
      </c>
      <c r="T292" s="33"/>
      <c r="U292" s="34" t="str">
        <f>IFERROR(_xlfn.XLOOKUP(E292,[1]EMPREENDIMENTO!C:C,[1]EMPREENDIMENTO!D:D),"")</f>
        <v>53048677-9723-e811-bcac-80c16e075108</v>
      </c>
    </row>
    <row r="293" spans="1:21" x14ac:dyDescent="0.35">
      <c r="A293" s="28" t="str">
        <f>IFERROR(_xlfn.XLOOKUP(C293,[1]DIRETORIA!C:C,[1]DIRETORIA!A:A),"-")</f>
        <v>DIR. COM E CRED SPI</v>
      </c>
      <c r="B293" s="28" t="str">
        <f>IFERROR(_xlfn.XLOOKUP(C293,[1]DIRETORIA!C:C,[1]DIRETORIA!B:B),"-")</f>
        <v>GST. COM RP 1</v>
      </c>
      <c r="C293" s="28" t="str">
        <f>IFERROR(_xlfn.XLOOKUP(E293,[1]EMPREENDIMENTO!C:C,[1]EMPREENDIMENTO!A:A),"-")</f>
        <v>RIBEIRÃO PRETO</v>
      </c>
      <c r="D293" s="28" t="s">
        <v>29</v>
      </c>
      <c r="E293" s="28" t="s">
        <v>554</v>
      </c>
      <c r="F293" s="28" t="s">
        <v>39</v>
      </c>
      <c r="G293" s="28" t="s">
        <v>558</v>
      </c>
      <c r="H293" s="28">
        <v>19131</v>
      </c>
      <c r="I293" s="29">
        <f>IFERROR(_xlfn.XLOOKUP(E293,[1]EMPREENDIMENTO!C:C,[1]EMPREENDIMENTO!E:E),"0")</f>
        <v>340</v>
      </c>
      <c r="J293" s="30">
        <v>46348</v>
      </c>
      <c r="K293" s="28" t="s">
        <v>33</v>
      </c>
      <c r="L293" s="31">
        <v>45511</v>
      </c>
      <c r="M293" s="32">
        <v>73463376</v>
      </c>
      <c r="N293" s="32">
        <v>75756976</v>
      </c>
      <c r="O293" s="32">
        <v>75521376</v>
      </c>
      <c r="P293" s="28" t="s">
        <v>34</v>
      </c>
      <c r="Q293" s="28" t="s">
        <v>556</v>
      </c>
      <c r="R293" s="30">
        <v>45523</v>
      </c>
      <c r="S293" s="30">
        <v>45511</v>
      </c>
      <c r="T293" s="33"/>
      <c r="U293" s="34" t="str">
        <f>IFERROR(_xlfn.XLOOKUP(E293,[1]EMPREENDIMENTO!C:C,[1]EMPREENDIMENTO!D:D),"")</f>
        <v>53048677-9723-e811-bcac-80c16e075108</v>
      </c>
    </row>
    <row r="294" spans="1:21" x14ac:dyDescent="0.35">
      <c r="A294" s="28" t="str">
        <f>IFERROR(_xlfn.XLOOKUP(C294,[1]DIRETORIA!C:C,[1]DIRETORIA!A:A),"-")</f>
        <v>DIR. COM E CRED SPI</v>
      </c>
      <c r="B294" s="28" t="str">
        <f>IFERROR(_xlfn.XLOOKUP(C294,[1]DIRETORIA!C:C,[1]DIRETORIA!B:B),"-")</f>
        <v>GST. COM RP 1</v>
      </c>
      <c r="C294" s="28" t="str">
        <f>IFERROR(_xlfn.XLOOKUP(E294,[1]EMPREENDIMENTO!C:C,[1]EMPREENDIMENTO!A:A),"-")</f>
        <v>RIBEIRÃO PRETO</v>
      </c>
      <c r="D294" s="28" t="s">
        <v>29</v>
      </c>
      <c r="E294" s="28" t="s">
        <v>559</v>
      </c>
      <c r="F294" s="28" t="s">
        <v>31</v>
      </c>
      <c r="G294" s="28" t="s">
        <v>560</v>
      </c>
      <c r="H294" s="28">
        <v>28182</v>
      </c>
      <c r="I294" s="29">
        <f>IFERROR(_xlfn.XLOOKUP(E294,[1]EMPREENDIMENTO!C:C,[1]EMPREENDIMENTO!E:E),"0")</f>
        <v>238</v>
      </c>
      <c r="J294" s="30">
        <v>46559</v>
      </c>
      <c r="K294" s="28" t="s">
        <v>33</v>
      </c>
      <c r="L294" s="31">
        <v>45709</v>
      </c>
      <c r="M294" s="32">
        <v>68248150</v>
      </c>
      <c r="N294" s="32">
        <v>80114700</v>
      </c>
      <c r="O294" s="32">
        <v>72154950</v>
      </c>
      <c r="P294" s="28" t="s">
        <v>34</v>
      </c>
      <c r="Q294" s="28" t="s">
        <v>561</v>
      </c>
      <c r="R294" s="30">
        <v>45715</v>
      </c>
      <c r="S294" s="30">
        <v>45712</v>
      </c>
      <c r="T294" s="33"/>
      <c r="U294" s="34" t="str">
        <f>IFERROR(_xlfn.XLOOKUP(E294,[1]EMPREENDIMENTO!C:C,[1]EMPREENDIMENTO!D:D),"")</f>
        <v>2532c45a-c255-e311-8efb-009c02b0cb58</v>
      </c>
    </row>
    <row r="295" spans="1:21" x14ac:dyDescent="0.35">
      <c r="A295" s="28" t="str">
        <f>IFERROR(_xlfn.XLOOKUP(C295,[1]DIRETORIA!C:C,[1]DIRETORIA!A:A),"-")</f>
        <v>DIR. COM E CRED SPI</v>
      </c>
      <c r="B295" s="28" t="str">
        <f>IFERROR(_xlfn.XLOOKUP(C295,[1]DIRETORIA!C:C,[1]DIRETORIA!B:B),"-")</f>
        <v>GST. COM RP 1</v>
      </c>
      <c r="C295" s="28" t="str">
        <f>IFERROR(_xlfn.XLOOKUP(E295,[1]EMPREENDIMENTO!C:C,[1]EMPREENDIMENTO!A:A),"-")</f>
        <v>RIBEIRÃO PRETO</v>
      </c>
      <c r="D295" s="28" t="s">
        <v>29</v>
      </c>
      <c r="E295" s="28" t="s">
        <v>559</v>
      </c>
      <c r="F295" s="28" t="s">
        <v>36</v>
      </c>
      <c r="G295" s="28" t="s">
        <v>562</v>
      </c>
      <c r="H295" s="28">
        <v>36721</v>
      </c>
      <c r="I295" s="29">
        <f>IFERROR(_xlfn.XLOOKUP(E295,[1]EMPREENDIMENTO!C:C,[1]EMPREENDIMENTO!E:E),"0")</f>
        <v>238</v>
      </c>
      <c r="J295" s="30">
        <v>46559</v>
      </c>
      <c r="K295" s="28" t="s">
        <v>33</v>
      </c>
      <c r="L295" s="31">
        <v>45709</v>
      </c>
      <c r="M295" s="32">
        <v>68248150</v>
      </c>
      <c r="N295" s="32">
        <v>80114700</v>
      </c>
      <c r="O295" s="32">
        <v>72154950</v>
      </c>
      <c r="P295" s="28" t="s">
        <v>34</v>
      </c>
      <c r="Q295" s="28" t="s">
        <v>561</v>
      </c>
      <c r="R295" s="30">
        <v>45715</v>
      </c>
      <c r="S295" s="30">
        <v>45712</v>
      </c>
      <c r="T295" s="33"/>
      <c r="U295" s="34" t="str">
        <f>IFERROR(_xlfn.XLOOKUP(E295,[1]EMPREENDIMENTO!C:C,[1]EMPREENDIMENTO!D:D),"")</f>
        <v>2532c45a-c255-e311-8efb-009c02b0cb58</v>
      </c>
    </row>
    <row r="296" spans="1:21" x14ac:dyDescent="0.35">
      <c r="A296" s="28" t="str">
        <f>IFERROR(_xlfn.XLOOKUP(C296,[1]DIRETORIA!C:C,[1]DIRETORIA!A:A),"-")</f>
        <v>DIR. COM E CRED SPI</v>
      </c>
      <c r="B296" s="28" t="str">
        <f>IFERROR(_xlfn.XLOOKUP(C296,[1]DIRETORIA!C:C,[1]DIRETORIA!B:B),"-")</f>
        <v>GST. COM RP 1</v>
      </c>
      <c r="C296" s="28" t="str">
        <f>IFERROR(_xlfn.XLOOKUP(E296,[1]EMPREENDIMENTO!C:C,[1]EMPREENDIMENTO!A:A),"-")</f>
        <v>RIBEIRÃO PRETO</v>
      </c>
      <c r="D296" s="28" t="s">
        <v>29</v>
      </c>
      <c r="E296" s="28" t="s">
        <v>559</v>
      </c>
      <c r="F296" s="28" t="s">
        <v>39</v>
      </c>
      <c r="G296" s="28" t="s">
        <v>563</v>
      </c>
      <c r="H296" s="28">
        <v>40880</v>
      </c>
      <c r="I296" s="29">
        <f>IFERROR(_xlfn.XLOOKUP(E296,[1]EMPREENDIMENTO!C:C,[1]EMPREENDIMENTO!E:E),"0")</f>
        <v>238</v>
      </c>
      <c r="J296" s="30">
        <v>46559</v>
      </c>
      <c r="K296" s="28" t="s">
        <v>33</v>
      </c>
      <c r="L296" s="31">
        <v>45709</v>
      </c>
      <c r="M296" s="32">
        <v>68248150</v>
      </c>
      <c r="N296" s="32">
        <v>80114700</v>
      </c>
      <c r="O296" s="32">
        <v>72154950</v>
      </c>
      <c r="P296" s="28" t="s">
        <v>34</v>
      </c>
      <c r="Q296" s="28" t="s">
        <v>561</v>
      </c>
      <c r="R296" s="30">
        <v>45715</v>
      </c>
      <c r="S296" s="30">
        <v>45712</v>
      </c>
      <c r="T296" s="33"/>
      <c r="U296" s="34" t="str">
        <f>IFERROR(_xlfn.XLOOKUP(E296,[1]EMPREENDIMENTO!C:C,[1]EMPREENDIMENTO!D:D),"")</f>
        <v>2532c45a-c255-e311-8efb-009c02b0cb58</v>
      </c>
    </row>
    <row r="297" spans="1:21" hidden="1" x14ac:dyDescent="0.35">
      <c r="A297" s="28" t="str">
        <f>IFERROR(_xlfn.XLOOKUP(C297,[1]DIRETORIA!C:C,[1]DIRETORIA!A:A),"-")</f>
        <v>DIR. COM E CRED CO E AM</v>
      </c>
      <c r="B297" s="28" t="str">
        <f>IFERROR(_xlfn.XLOOKUP(C297,[1]DIRETORIA!C:C,[1]DIRETORIA!B:B),"-")</f>
        <v>GST. COM MT</v>
      </c>
      <c r="C297" s="28" t="str">
        <f>IFERROR(_xlfn.XLOOKUP(E297,[1]EMPREENDIMENTO!C:C,[1]EMPREENDIMENTO!A:A),"-")</f>
        <v>VÁRZEA GRANDE</v>
      </c>
      <c r="D297" s="28" t="s">
        <v>29</v>
      </c>
      <c r="E297" s="28" t="s">
        <v>564</v>
      </c>
      <c r="F297" s="28" t="s">
        <v>31</v>
      </c>
      <c r="G297" s="28" t="s">
        <v>565</v>
      </c>
      <c r="H297" s="28">
        <v>25448</v>
      </c>
      <c r="I297" s="29">
        <f>IFERROR(_xlfn.XLOOKUP(E297,[1]EMPREENDIMENTO!C:C,[1]EMPREENDIMENTO!E:E),"0")</f>
        <v>496</v>
      </c>
      <c r="J297" s="30">
        <v>46783</v>
      </c>
      <c r="K297" s="28" t="s">
        <v>33</v>
      </c>
      <c r="L297" s="31">
        <v>45957</v>
      </c>
      <c r="M297" s="32">
        <v>111159428</v>
      </c>
      <c r="N297" s="32">
        <v>122275371</v>
      </c>
      <c r="O297" s="32">
        <v>117685500</v>
      </c>
      <c r="P297" s="28" t="s">
        <v>34</v>
      </c>
      <c r="Q297" s="28" t="s">
        <v>566</v>
      </c>
      <c r="R297" s="30">
        <v>45964</v>
      </c>
      <c r="S297" s="30">
        <v>45958</v>
      </c>
      <c r="T297" s="33"/>
      <c r="U297" s="34" t="str">
        <f>IFERROR(_xlfn.XLOOKUP(E297,[1]EMPREENDIMENTO!C:C,[1]EMPREENDIMENTO!D:D),"")</f>
        <v>85230f94-7e1b-ea11-ba0a-0050568aa20f</v>
      </c>
    </row>
    <row r="298" spans="1:21" hidden="1" x14ac:dyDescent="0.35">
      <c r="A298" s="28" t="str">
        <f>IFERROR(_xlfn.XLOOKUP(C298,[1]DIRETORIA!C:C,[1]DIRETORIA!A:A),"-")</f>
        <v>DIR. COM E CRED CO E AM</v>
      </c>
      <c r="B298" s="28" t="str">
        <f>IFERROR(_xlfn.XLOOKUP(C298,[1]DIRETORIA!C:C,[1]DIRETORIA!B:B),"-")</f>
        <v>GST. COM MT</v>
      </c>
      <c r="C298" s="28" t="str">
        <f>IFERROR(_xlfn.XLOOKUP(E298,[1]EMPREENDIMENTO!C:C,[1]EMPREENDIMENTO!A:A),"-")</f>
        <v>VÁRZEA GRANDE</v>
      </c>
      <c r="D298" s="28" t="s">
        <v>29</v>
      </c>
      <c r="E298" s="28" t="s">
        <v>564</v>
      </c>
      <c r="F298" s="28" t="s">
        <v>36</v>
      </c>
      <c r="G298" s="28" t="s">
        <v>567</v>
      </c>
      <c r="H298" s="28">
        <v>41251</v>
      </c>
      <c r="I298" s="29">
        <f>IFERROR(_xlfn.XLOOKUP(E298,[1]EMPREENDIMENTO!C:C,[1]EMPREENDIMENTO!E:E),"0")</f>
        <v>496</v>
      </c>
      <c r="J298" s="30">
        <v>46783</v>
      </c>
      <c r="K298" s="28" t="s">
        <v>33</v>
      </c>
      <c r="L298" s="31">
        <v>45957</v>
      </c>
      <c r="M298" s="32">
        <v>111159428</v>
      </c>
      <c r="N298" s="32">
        <v>122275371</v>
      </c>
      <c r="O298" s="32">
        <v>117685500</v>
      </c>
      <c r="P298" s="28" t="s">
        <v>34</v>
      </c>
      <c r="Q298" s="28" t="s">
        <v>566</v>
      </c>
      <c r="R298" s="30">
        <v>45964</v>
      </c>
      <c r="S298" s="30">
        <v>45958</v>
      </c>
      <c r="T298" s="33"/>
      <c r="U298" s="34" t="str">
        <f>IFERROR(_xlfn.XLOOKUP(E298,[1]EMPREENDIMENTO!C:C,[1]EMPREENDIMENTO!D:D),"")</f>
        <v>85230f94-7e1b-ea11-ba0a-0050568aa20f</v>
      </c>
    </row>
    <row r="299" spans="1:21" hidden="1" x14ac:dyDescent="0.35">
      <c r="A299" s="28" t="str">
        <f>IFERROR(_xlfn.XLOOKUP(C299,[1]DIRETORIA!C:C,[1]DIRETORIA!A:A),"-")</f>
        <v>DIR. COM E CRED CO E AM</v>
      </c>
      <c r="B299" s="28" t="str">
        <f>IFERROR(_xlfn.XLOOKUP(C299,[1]DIRETORIA!C:C,[1]DIRETORIA!B:B),"-")</f>
        <v>GST. COM MT</v>
      </c>
      <c r="C299" s="28" t="str">
        <f>IFERROR(_xlfn.XLOOKUP(E299,[1]EMPREENDIMENTO!C:C,[1]EMPREENDIMENTO!A:A),"-")</f>
        <v>VÁRZEA GRANDE</v>
      </c>
      <c r="D299" s="28" t="s">
        <v>29</v>
      </c>
      <c r="E299" s="28" t="s">
        <v>564</v>
      </c>
      <c r="F299" s="28" t="s">
        <v>39</v>
      </c>
      <c r="G299" s="28" t="s">
        <v>568</v>
      </c>
      <c r="H299" s="28">
        <v>44358</v>
      </c>
      <c r="I299" s="29">
        <f>IFERROR(_xlfn.XLOOKUP(E299,[1]EMPREENDIMENTO!C:C,[1]EMPREENDIMENTO!E:E),"0")</f>
        <v>496</v>
      </c>
      <c r="J299" s="30">
        <v>46783</v>
      </c>
      <c r="K299" s="28" t="s">
        <v>33</v>
      </c>
      <c r="L299" s="31">
        <v>45957</v>
      </c>
      <c r="M299" s="32">
        <v>111159428</v>
      </c>
      <c r="N299" s="32">
        <v>122275371</v>
      </c>
      <c r="O299" s="32">
        <v>117685500</v>
      </c>
      <c r="P299" s="28" t="s">
        <v>34</v>
      </c>
      <c r="Q299" s="28" t="s">
        <v>566</v>
      </c>
      <c r="R299" s="30">
        <v>45964</v>
      </c>
      <c r="S299" s="30">
        <v>45958</v>
      </c>
      <c r="T299" s="33"/>
      <c r="U299" s="34" t="str">
        <f>IFERROR(_xlfn.XLOOKUP(E299,[1]EMPREENDIMENTO!C:C,[1]EMPREENDIMENTO!D:D),"")</f>
        <v>85230f94-7e1b-ea11-ba0a-0050568aa20f</v>
      </c>
    </row>
    <row r="300" spans="1:21" hidden="1" x14ac:dyDescent="0.35">
      <c r="A300" s="28" t="str">
        <f>IFERROR(_xlfn.XLOOKUP(C300,[1]DIRETORIA!C:C,[1]DIRETORIA!A:A),"-")</f>
        <v>DIR. COM E CRED CO E AM</v>
      </c>
      <c r="B300" s="28" t="str">
        <f>IFERROR(_xlfn.XLOOKUP(C300,[1]DIRETORIA!C:C,[1]DIRETORIA!B:B),"-")</f>
        <v>GST. COM MT</v>
      </c>
      <c r="C300" s="28" t="str">
        <f>IFERROR(_xlfn.XLOOKUP(E300,[1]EMPREENDIMENTO!C:C,[1]EMPREENDIMENTO!A:A),"-")</f>
        <v>VÁRZEA GRANDE</v>
      </c>
      <c r="D300" s="28" t="s">
        <v>29</v>
      </c>
      <c r="E300" s="28" t="s">
        <v>564</v>
      </c>
      <c r="F300" s="28" t="s">
        <v>50</v>
      </c>
      <c r="G300" s="28" t="s">
        <v>569</v>
      </c>
      <c r="H300" s="28">
        <v>46157</v>
      </c>
      <c r="I300" s="29">
        <f>IFERROR(_xlfn.XLOOKUP(E300,[1]EMPREENDIMENTO!C:C,[1]EMPREENDIMENTO!E:E),"0")</f>
        <v>496</v>
      </c>
      <c r="J300" s="30">
        <v>46783</v>
      </c>
      <c r="K300" s="28" t="s">
        <v>33</v>
      </c>
      <c r="L300" s="31">
        <v>45957</v>
      </c>
      <c r="M300" s="32">
        <v>111159428</v>
      </c>
      <c r="N300" s="32">
        <v>122275371</v>
      </c>
      <c r="O300" s="32">
        <v>117685500</v>
      </c>
      <c r="P300" s="28" t="s">
        <v>34</v>
      </c>
      <c r="Q300" s="28" t="s">
        <v>566</v>
      </c>
      <c r="R300" s="30">
        <v>45964</v>
      </c>
      <c r="S300" s="30">
        <v>45958</v>
      </c>
      <c r="T300" s="33"/>
      <c r="U300" s="34" t="str">
        <f>IFERROR(_xlfn.XLOOKUP(E300,[1]EMPREENDIMENTO!C:C,[1]EMPREENDIMENTO!D:D),"")</f>
        <v>85230f94-7e1b-ea11-ba0a-0050568aa20f</v>
      </c>
    </row>
    <row r="301" spans="1:21" hidden="1" x14ac:dyDescent="0.35">
      <c r="A301" s="28" t="str">
        <f>IFERROR(_xlfn.XLOOKUP(C301,[1]DIRETORIA!C:C,[1]DIRETORIA!A:A),"-")</f>
        <v>DIR. COM E CRED NE</v>
      </c>
      <c r="B301" s="28" t="str">
        <f>IFERROR(_xlfn.XLOOKUP(C301,[1]DIRETORIA!C:C,[1]DIRETORIA!B:B),"-")</f>
        <v>GST. COM NE1 (BA 1)</v>
      </c>
      <c r="C301" s="28" t="str">
        <f>IFERROR(_xlfn.XLOOKUP(E301,[1]EMPREENDIMENTO!C:C,[1]EMPREENDIMENTO!A:A),"-")</f>
        <v>SALVADOR</v>
      </c>
      <c r="D301" s="28" t="s">
        <v>29</v>
      </c>
      <c r="E301" s="28" t="s">
        <v>570</v>
      </c>
      <c r="F301" s="28" t="s">
        <v>31</v>
      </c>
      <c r="G301" s="28" t="s">
        <v>571</v>
      </c>
      <c r="H301" s="28">
        <v>33591</v>
      </c>
      <c r="I301" s="29">
        <f>IFERROR(_xlfn.XLOOKUP(E301,[1]EMPREENDIMENTO!C:C,[1]EMPREENDIMENTO!E:E),"0")</f>
        <v>408</v>
      </c>
      <c r="J301" s="30">
        <v>46691</v>
      </c>
      <c r="K301" s="28" t="s">
        <v>33</v>
      </c>
      <c r="L301" s="31">
        <v>45656</v>
      </c>
      <c r="M301" s="32">
        <v>102144576.64</v>
      </c>
      <c r="N301" s="32">
        <v>109201891</v>
      </c>
      <c r="O301" s="32">
        <v>107548026</v>
      </c>
      <c r="P301" s="28" t="s">
        <v>6</v>
      </c>
      <c r="Q301" s="28" t="s">
        <v>572</v>
      </c>
      <c r="R301" s="30">
        <v>46258</v>
      </c>
      <c r="S301" s="30">
        <v>46253</v>
      </c>
      <c r="T301" s="33"/>
      <c r="U301" s="34" t="str">
        <f>IFERROR(_xlfn.XLOOKUP(E301,[1]EMPREENDIMENTO!C:C,[1]EMPREENDIMENTO!D:D),"")</f>
        <v>852733e0-ca10-ec11-b501-005056856b6c</v>
      </c>
    </row>
    <row r="302" spans="1:21" hidden="1" x14ac:dyDescent="0.35">
      <c r="A302" s="28" t="str">
        <f>IFERROR(_xlfn.XLOOKUP(C302,[1]DIRETORIA!C:C,[1]DIRETORIA!A:A),"-")</f>
        <v>DIR. COM E CRED NE</v>
      </c>
      <c r="B302" s="28" t="str">
        <f>IFERROR(_xlfn.XLOOKUP(C302,[1]DIRETORIA!C:C,[1]DIRETORIA!B:B),"-")</f>
        <v>GST. COM NE1 (BA 1)</v>
      </c>
      <c r="C302" s="28" t="str">
        <f>IFERROR(_xlfn.XLOOKUP(E302,[1]EMPREENDIMENTO!C:C,[1]EMPREENDIMENTO!A:A),"-")</f>
        <v>SALVADOR</v>
      </c>
      <c r="D302" s="28" t="s">
        <v>29</v>
      </c>
      <c r="E302" s="28" t="s">
        <v>570</v>
      </c>
      <c r="F302" s="28" t="s">
        <v>36</v>
      </c>
      <c r="G302" s="28" t="s">
        <v>573</v>
      </c>
      <c r="H302" s="28">
        <v>57589</v>
      </c>
      <c r="I302" s="29">
        <f>IFERROR(_xlfn.XLOOKUP(E302,[1]EMPREENDIMENTO!C:C,[1]EMPREENDIMENTO!E:E),"0")</f>
        <v>408</v>
      </c>
      <c r="J302" s="30">
        <v>46691</v>
      </c>
      <c r="K302" s="28" t="s">
        <v>33</v>
      </c>
      <c r="L302" s="31">
        <v>45656</v>
      </c>
      <c r="M302" s="32">
        <v>102144576.64</v>
      </c>
      <c r="N302" s="32">
        <v>109201891</v>
      </c>
      <c r="O302" s="32">
        <v>107548026</v>
      </c>
      <c r="P302" s="28" t="s">
        <v>6</v>
      </c>
      <c r="Q302" s="28" t="s">
        <v>572</v>
      </c>
      <c r="R302" s="30">
        <v>46258</v>
      </c>
      <c r="S302" s="30">
        <v>46253</v>
      </c>
      <c r="T302" s="33"/>
      <c r="U302" s="34" t="str">
        <f>IFERROR(_xlfn.XLOOKUP(E302,[1]EMPREENDIMENTO!C:C,[1]EMPREENDIMENTO!D:D),"")</f>
        <v>852733e0-ca10-ec11-b501-005056856b6c</v>
      </c>
    </row>
    <row r="303" spans="1:21" hidden="1" x14ac:dyDescent="0.35">
      <c r="A303" s="28" t="str">
        <f>IFERROR(_xlfn.XLOOKUP(C303,[1]DIRETORIA!C:C,[1]DIRETORIA!A:A),"-")</f>
        <v>DIR. COM E CRED CO E AM</v>
      </c>
      <c r="B303" s="28" t="str">
        <f>IFERROR(_xlfn.XLOOKUP(C303,[1]DIRETORIA!C:C,[1]DIRETORIA!B:B),"-")</f>
        <v>GST. COM MS</v>
      </c>
      <c r="C303" s="28" t="str">
        <f>IFERROR(_xlfn.XLOOKUP(E303,[1]EMPREENDIMENTO!C:C,[1]EMPREENDIMENTO!A:A),"-")</f>
        <v>CAMPO GRANDE</v>
      </c>
      <c r="D303" s="28" t="s">
        <v>29</v>
      </c>
      <c r="E303" s="28" t="s">
        <v>574</v>
      </c>
      <c r="F303" s="28" t="s">
        <v>31</v>
      </c>
      <c r="G303" s="28" t="s">
        <v>575</v>
      </c>
      <c r="H303" s="28">
        <v>37297</v>
      </c>
      <c r="I303" s="29">
        <f>IFERROR(_xlfn.XLOOKUP(E303,[1]EMPREENDIMENTO!C:C,[1]EMPREENDIMENTO!E:E),"0")</f>
        <v>240</v>
      </c>
      <c r="J303" s="30">
        <v>46420</v>
      </c>
      <c r="K303" s="28" t="s">
        <v>33</v>
      </c>
      <c r="L303" s="31">
        <v>45902</v>
      </c>
      <c r="M303" s="32">
        <v>56252166</v>
      </c>
      <c r="N303" s="32">
        <v>58372166</v>
      </c>
      <c r="O303" s="32">
        <v>57805700</v>
      </c>
      <c r="P303" s="28" t="s">
        <v>34</v>
      </c>
      <c r="Q303" s="28" t="s">
        <v>576</v>
      </c>
      <c r="R303" s="30">
        <v>45904</v>
      </c>
      <c r="S303" s="30">
        <v>45903</v>
      </c>
      <c r="T303" s="33"/>
      <c r="U303" s="34" t="str">
        <f>IFERROR(_xlfn.XLOOKUP(E303,[1]EMPREENDIMENTO!C:C,[1]EMPREENDIMENTO!D:D),"")</f>
        <v>55a2fda2-ea95-ea11-beeb-005056856875</v>
      </c>
    </row>
    <row r="304" spans="1:21" hidden="1" x14ac:dyDescent="0.35">
      <c r="A304" s="28" t="str">
        <f>IFERROR(_xlfn.XLOOKUP(C304,[1]DIRETORIA!C:C,[1]DIRETORIA!A:A),"-")</f>
        <v>DIR. COM E CRED CO E AM</v>
      </c>
      <c r="B304" s="28" t="str">
        <f>IFERROR(_xlfn.XLOOKUP(C304,[1]DIRETORIA!C:C,[1]DIRETORIA!B:B),"-")</f>
        <v>GST. COM MS</v>
      </c>
      <c r="C304" s="28" t="str">
        <f>IFERROR(_xlfn.XLOOKUP(E304,[1]EMPREENDIMENTO!C:C,[1]EMPREENDIMENTO!A:A),"-")</f>
        <v>CAMPO GRANDE</v>
      </c>
      <c r="D304" s="28" t="s">
        <v>29</v>
      </c>
      <c r="E304" s="28" t="s">
        <v>574</v>
      </c>
      <c r="F304" s="28" t="s">
        <v>36</v>
      </c>
      <c r="G304" s="28" t="s">
        <v>577</v>
      </c>
      <c r="H304" s="28">
        <v>42508</v>
      </c>
      <c r="I304" s="29">
        <f>IFERROR(_xlfn.XLOOKUP(E304,[1]EMPREENDIMENTO!C:C,[1]EMPREENDIMENTO!E:E),"0")</f>
        <v>240</v>
      </c>
      <c r="J304" s="30">
        <v>46420</v>
      </c>
      <c r="K304" s="28" t="s">
        <v>33</v>
      </c>
      <c r="L304" s="31">
        <v>45902</v>
      </c>
      <c r="M304" s="32">
        <v>56252166</v>
      </c>
      <c r="N304" s="32">
        <v>58372166</v>
      </c>
      <c r="O304" s="32">
        <v>57805700</v>
      </c>
      <c r="P304" s="28" t="s">
        <v>34</v>
      </c>
      <c r="Q304" s="28" t="s">
        <v>576</v>
      </c>
      <c r="R304" s="30">
        <v>45904</v>
      </c>
      <c r="S304" s="30">
        <v>45903</v>
      </c>
      <c r="T304" s="33"/>
      <c r="U304" s="34" t="str">
        <f>IFERROR(_xlfn.XLOOKUP(E304,[1]EMPREENDIMENTO!C:C,[1]EMPREENDIMENTO!D:D),"")</f>
        <v>55a2fda2-ea95-ea11-beeb-005056856875</v>
      </c>
    </row>
    <row r="305" spans="1:21" hidden="1" x14ac:dyDescent="0.35">
      <c r="A305" s="28" t="str">
        <f>IFERROR(_xlfn.XLOOKUP(C305,[1]DIRETORIA!C:C,[1]DIRETORIA!A:A),"-")</f>
        <v>DIR. COM E CRED SUL</v>
      </c>
      <c r="B305" s="28" t="str">
        <f>IFERROR(_xlfn.XLOOKUP(C305,[1]DIRETORIA!C:C,[1]DIRETORIA!B:B),"-")</f>
        <v>GST. COM CURITIBA</v>
      </c>
      <c r="C305" s="28" t="str">
        <f>IFERROR(_xlfn.XLOOKUP(E305,[1]EMPREENDIMENTO!C:C,[1]EMPREENDIMENTO!A:A),"-")</f>
        <v>ARAUCÁRIA</v>
      </c>
      <c r="D305" s="28" t="s">
        <v>29</v>
      </c>
      <c r="E305" s="28" t="s">
        <v>578</v>
      </c>
      <c r="F305" s="28" t="s">
        <v>31</v>
      </c>
      <c r="G305" s="28" t="s">
        <v>579</v>
      </c>
      <c r="H305" s="28">
        <v>31318</v>
      </c>
      <c r="I305" s="29">
        <f>IFERROR(_xlfn.XLOOKUP(E305,[1]EMPREENDIMENTO!C:C,[1]EMPREENDIMENTO!E:E),"0")</f>
        <v>256</v>
      </c>
      <c r="J305" s="30">
        <v>46322</v>
      </c>
      <c r="K305" s="28" t="s">
        <v>33</v>
      </c>
      <c r="L305" s="31">
        <v>45324</v>
      </c>
      <c r="M305" s="32">
        <v>58194600</v>
      </c>
      <c r="N305" s="32">
        <v>61717096</v>
      </c>
      <c r="O305" s="32">
        <v>61164736</v>
      </c>
      <c r="P305" s="28" t="s">
        <v>34</v>
      </c>
      <c r="Q305" s="28" t="s">
        <v>580</v>
      </c>
      <c r="R305" s="30">
        <v>45351</v>
      </c>
      <c r="S305" s="30">
        <v>45324</v>
      </c>
      <c r="T305" s="33"/>
      <c r="U305" s="34" t="str">
        <f>IFERROR(_xlfn.XLOOKUP(E305,[1]EMPREENDIMENTO!C:C,[1]EMPREENDIMENTO!D:D),"")</f>
        <v>1e5fb8ed-1ab8-eb11-9465-0050568aa20f</v>
      </c>
    </row>
    <row r="306" spans="1:21" hidden="1" x14ac:dyDescent="0.35">
      <c r="A306" s="28" t="str">
        <f>IFERROR(_xlfn.XLOOKUP(C306,[1]DIRETORIA!C:C,[1]DIRETORIA!A:A),"-")</f>
        <v>DIR. COM E CRED SUL</v>
      </c>
      <c r="B306" s="28" t="str">
        <f>IFERROR(_xlfn.XLOOKUP(C306,[1]DIRETORIA!C:C,[1]DIRETORIA!B:B),"-")</f>
        <v>GST. COM CURITIBA</v>
      </c>
      <c r="C306" s="28" t="str">
        <f>IFERROR(_xlfn.XLOOKUP(E306,[1]EMPREENDIMENTO!C:C,[1]EMPREENDIMENTO!A:A),"-")</f>
        <v>ARAUCÁRIA</v>
      </c>
      <c r="D306" s="28" t="s">
        <v>29</v>
      </c>
      <c r="E306" s="28" t="s">
        <v>578</v>
      </c>
      <c r="F306" s="28" t="s">
        <v>36</v>
      </c>
      <c r="G306" s="28" t="s">
        <v>581</v>
      </c>
      <c r="H306" s="28">
        <v>40135</v>
      </c>
      <c r="I306" s="29">
        <f>IFERROR(_xlfn.XLOOKUP(E306,[1]EMPREENDIMENTO!C:C,[1]EMPREENDIMENTO!E:E),"0")</f>
        <v>256</v>
      </c>
      <c r="J306" s="30">
        <v>46322</v>
      </c>
      <c r="K306" s="28" t="s">
        <v>33</v>
      </c>
      <c r="L306" s="31">
        <v>45324</v>
      </c>
      <c r="M306" s="32">
        <v>58194600</v>
      </c>
      <c r="N306" s="32">
        <v>61717096</v>
      </c>
      <c r="O306" s="32">
        <v>61164736</v>
      </c>
      <c r="P306" s="28" t="s">
        <v>34</v>
      </c>
      <c r="Q306" s="28" t="s">
        <v>580</v>
      </c>
      <c r="R306" s="30">
        <v>45351</v>
      </c>
      <c r="S306" s="30">
        <v>45324</v>
      </c>
      <c r="T306" s="33"/>
      <c r="U306" s="34" t="str">
        <f>IFERROR(_xlfn.XLOOKUP(E306,[1]EMPREENDIMENTO!C:C,[1]EMPREENDIMENTO!D:D),"")</f>
        <v>1e5fb8ed-1ab8-eb11-9465-0050568aa20f</v>
      </c>
    </row>
    <row r="307" spans="1:21" hidden="1" x14ac:dyDescent="0.35">
      <c r="A307" s="28" t="str">
        <f>IFERROR(_xlfn.XLOOKUP(C307,[1]DIRETORIA!C:C,[1]DIRETORIA!A:A),"-")</f>
        <v>DIR. COM E CRED NE</v>
      </c>
      <c r="B307" s="28" t="str">
        <f>IFERROR(_xlfn.XLOOKUP(C307,[1]DIRETORIA!C:C,[1]DIRETORIA!B:B),"-")</f>
        <v>GST. COM NE 7 (PI+MA)</v>
      </c>
      <c r="C307" s="28" t="str">
        <f>IFERROR(_xlfn.XLOOKUP(E307,[1]EMPREENDIMENTO!C:C,[1]EMPREENDIMENTO!A:A),"-")</f>
        <v>SÃO LUÍS</v>
      </c>
      <c r="D307" s="28" t="s">
        <v>29</v>
      </c>
      <c r="E307" s="28" t="s">
        <v>582</v>
      </c>
      <c r="F307" s="28" t="s">
        <v>31</v>
      </c>
      <c r="G307" s="28" t="s">
        <v>583</v>
      </c>
      <c r="H307" s="28">
        <v>18941</v>
      </c>
      <c r="I307" s="29">
        <f>IFERROR(_xlfn.XLOOKUP(E307,[1]EMPREENDIMENTO!C:C,[1]EMPREENDIMENTO!E:E),"0")</f>
        <v>384</v>
      </c>
      <c r="J307" s="30">
        <v>46294</v>
      </c>
      <c r="K307" s="28" t="s">
        <v>33</v>
      </c>
      <c r="L307" s="31">
        <v>45568</v>
      </c>
      <c r="M307" s="32">
        <v>80348148</v>
      </c>
      <c r="N307" s="32">
        <v>90031308</v>
      </c>
      <c r="O307" s="32">
        <v>88222870</v>
      </c>
      <c r="P307" s="28" t="s">
        <v>34</v>
      </c>
      <c r="Q307" s="28" t="s">
        <v>584</v>
      </c>
      <c r="R307" s="30">
        <v>45569</v>
      </c>
      <c r="S307" s="30">
        <v>45569</v>
      </c>
      <c r="T307" s="33"/>
      <c r="U307" s="34" t="str">
        <f>IFERROR(_xlfn.XLOOKUP(E307,[1]EMPREENDIMENTO!C:C,[1]EMPREENDIMENTO!D:D),"")</f>
        <v>9e7a22fb-dd7e-e911-a3a8-0050568aa20f</v>
      </c>
    </row>
    <row r="308" spans="1:21" hidden="1" x14ac:dyDescent="0.35">
      <c r="A308" s="28" t="str">
        <f>IFERROR(_xlfn.XLOOKUP(C308,[1]DIRETORIA!C:C,[1]DIRETORIA!A:A),"-")</f>
        <v>DIR. COM E CRED NE</v>
      </c>
      <c r="B308" s="28" t="str">
        <f>IFERROR(_xlfn.XLOOKUP(C308,[1]DIRETORIA!C:C,[1]DIRETORIA!B:B),"-")</f>
        <v>GST. COM NE 7 (PI+MA)</v>
      </c>
      <c r="C308" s="28" t="str">
        <f>IFERROR(_xlfn.XLOOKUP(E308,[1]EMPREENDIMENTO!C:C,[1]EMPREENDIMENTO!A:A),"-")</f>
        <v>SÃO LUÍS</v>
      </c>
      <c r="D308" s="28" t="s">
        <v>29</v>
      </c>
      <c r="E308" s="28" t="s">
        <v>582</v>
      </c>
      <c r="F308" s="28" t="s">
        <v>36</v>
      </c>
      <c r="G308" s="28" t="s">
        <v>585</v>
      </c>
      <c r="H308" s="28">
        <v>37345</v>
      </c>
      <c r="I308" s="29">
        <f>IFERROR(_xlfn.XLOOKUP(E308,[1]EMPREENDIMENTO!C:C,[1]EMPREENDIMENTO!E:E),"0")</f>
        <v>384</v>
      </c>
      <c r="J308" s="30">
        <v>46294</v>
      </c>
      <c r="K308" s="28" t="s">
        <v>33</v>
      </c>
      <c r="L308" s="31">
        <v>45568</v>
      </c>
      <c r="M308" s="32">
        <v>80348148</v>
      </c>
      <c r="N308" s="32">
        <v>90031308</v>
      </c>
      <c r="O308" s="32">
        <v>88222870</v>
      </c>
      <c r="P308" s="28" t="s">
        <v>34</v>
      </c>
      <c r="Q308" s="28" t="s">
        <v>584</v>
      </c>
      <c r="R308" s="30">
        <v>45569</v>
      </c>
      <c r="S308" s="30">
        <v>45569</v>
      </c>
      <c r="T308" s="33"/>
      <c r="U308" s="34" t="str">
        <f>IFERROR(_xlfn.XLOOKUP(E308,[1]EMPREENDIMENTO!C:C,[1]EMPREENDIMENTO!D:D),"")</f>
        <v>9e7a22fb-dd7e-e911-a3a8-0050568aa20f</v>
      </c>
    </row>
    <row r="309" spans="1:21" hidden="1" x14ac:dyDescent="0.35">
      <c r="A309" s="28" t="str">
        <f>IFERROR(_xlfn.XLOOKUP(C309,[1]DIRETORIA!C:C,[1]DIRETORIA!A:A),"-")</f>
        <v>DIR. COM E CRED NE</v>
      </c>
      <c r="B309" s="28" t="str">
        <f>IFERROR(_xlfn.XLOOKUP(C309,[1]DIRETORIA!C:C,[1]DIRETORIA!B:B),"-")</f>
        <v>GST. COM NE 7 (PI+MA)</v>
      </c>
      <c r="C309" s="28" t="str">
        <f>IFERROR(_xlfn.XLOOKUP(E309,[1]EMPREENDIMENTO!C:C,[1]EMPREENDIMENTO!A:A),"-")</f>
        <v>SÃO LUÍS</v>
      </c>
      <c r="D309" s="28" t="s">
        <v>29</v>
      </c>
      <c r="E309" s="28" t="s">
        <v>582</v>
      </c>
      <c r="F309" s="28" t="s">
        <v>39</v>
      </c>
      <c r="G309" s="28" t="s">
        <v>586</v>
      </c>
      <c r="H309" s="28">
        <v>38758</v>
      </c>
      <c r="I309" s="29">
        <f>IFERROR(_xlfn.XLOOKUP(E309,[1]EMPREENDIMENTO!C:C,[1]EMPREENDIMENTO!E:E),"0")</f>
        <v>384</v>
      </c>
      <c r="J309" s="30">
        <v>46294</v>
      </c>
      <c r="K309" s="28" t="s">
        <v>33</v>
      </c>
      <c r="L309" s="31">
        <v>45568</v>
      </c>
      <c r="M309" s="32">
        <v>80348148</v>
      </c>
      <c r="N309" s="32">
        <v>90031308</v>
      </c>
      <c r="O309" s="32">
        <v>88222870</v>
      </c>
      <c r="P309" s="28" t="s">
        <v>34</v>
      </c>
      <c r="Q309" s="28" t="s">
        <v>584</v>
      </c>
      <c r="R309" s="30">
        <v>45569</v>
      </c>
      <c r="S309" s="30">
        <v>45569</v>
      </c>
      <c r="T309" s="33"/>
      <c r="U309" s="34" t="str">
        <f>IFERROR(_xlfn.XLOOKUP(E309,[1]EMPREENDIMENTO!C:C,[1]EMPREENDIMENTO!D:D),"")</f>
        <v>9e7a22fb-dd7e-e911-a3a8-0050568aa20f</v>
      </c>
    </row>
    <row r="310" spans="1:21" hidden="1" x14ac:dyDescent="0.35">
      <c r="A310" s="28" t="str">
        <f>IFERROR(_xlfn.XLOOKUP(C310,[1]DIRETORIA!C:C,[1]DIRETORIA!A:A),"-")</f>
        <v>DIR. COM E CRED NE</v>
      </c>
      <c r="B310" s="28" t="str">
        <f>IFERROR(_xlfn.XLOOKUP(C310,[1]DIRETORIA!C:C,[1]DIRETORIA!B:B),"-")</f>
        <v>GST. COM NE1 (BA 1)</v>
      </c>
      <c r="C310" s="28" t="str">
        <f>IFERROR(_xlfn.XLOOKUP(E310,[1]EMPREENDIMENTO!C:C,[1]EMPREENDIMENTO!A:A),"-")</f>
        <v>SALVADOR</v>
      </c>
      <c r="D310" s="28" t="s">
        <v>29</v>
      </c>
      <c r="E310" s="28" t="s">
        <v>587</v>
      </c>
      <c r="F310" s="28" t="s">
        <v>31</v>
      </c>
      <c r="G310" s="28" t="s">
        <v>588</v>
      </c>
      <c r="H310" s="28">
        <v>28493</v>
      </c>
      <c r="I310" s="29">
        <f>IFERROR(_xlfn.XLOOKUP(E310,[1]EMPREENDIMENTO!C:C,[1]EMPREENDIMENTO!E:E),"0")</f>
        <v>512</v>
      </c>
      <c r="J310" s="30">
        <v>46660</v>
      </c>
      <c r="K310" s="28" t="s">
        <v>164</v>
      </c>
      <c r="L310" s="31">
        <v>46037</v>
      </c>
      <c r="M310" s="32">
        <v>147280446</v>
      </c>
      <c r="N310" s="32">
        <v>170604374</v>
      </c>
      <c r="O310" s="32">
        <v>151071900</v>
      </c>
      <c r="P310" s="28" t="s">
        <v>2</v>
      </c>
      <c r="Q310" s="28" t="s">
        <v>589</v>
      </c>
      <c r="R310" s="30">
        <v>46282</v>
      </c>
      <c r="S310" s="30"/>
      <c r="T310" s="33"/>
      <c r="U310" s="34" t="str">
        <f>IFERROR(_xlfn.XLOOKUP(E310,[1]EMPREENDIMENTO!C:C,[1]EMPREENDIMENTO!D:D),"")</f>
        <v>3c919314-2bde-e911-a6a0-005056856875</v>
      </c>
    </row>
    <row r="311" spans="1:21" hidden="1" x14ac:dyDescent="0.35">
      <c r="A311" s="28" t="str">
        <f>IFERROR(_xlfn.XLOOKUP(C311,[1]DIRETORIA!C:C,[1]DIRETORIA!A:A),"-")</f>
        <v>DIR. COM E CRED NE</v>
      </c>
      <c r="B311" s="28" t="str">
        <f>IFERROR(_xlfn.XLOOKUP(C311,[1]DIRETORIA!C:C,[1]DIRETORIA!B:B),"-")</f>
        <v>GST. COM NE1 (BA 1)</v>
      </c>
      <c r="C311" s="28" t="str">
        <f>IFERROR(_xlfn.XLOOKUP(E311,[1]EMPREENDIMENTO!C:C,[1]EMPREENDIMENTO!A:A),"-")</f>
        <v>SALVADOR</v>
      </c>
      <c r="D311" s="28" t="s">
        <v>29</v>
      </c>
      <c r="E311" s="28" t="s">
        <v>587</v>
      </c>
      <c r="F311" s="28" t="s">
        <v>36</v>
      </c>
      <c r="G311" s="28" t="s">
        <v>590</v>
      </c>
      <c r="H311" s="28">
        <v>57588</v>
      </c>
      <c r="I311" s="29">
        <f>IFERROR(_xlfn.XLOOKUP(E311,[1]EMPREENDIMENTO!C:C,[1]EMPREENDIMENTO!E:E),"0")</f>
        <v>512</v>
      </c>
      <c r="J311" s="30">
        <v>46660</v>
      </c>
      <c r="K311" s="28" t="s">
        <v>164</v>
      </c>
      <c r="L311" s="31">
        <v>46037</v>
      </c>
      <c r="M311" s="32">
        <v>147280446</v>
      </c>
      <c r="N311" s="32">
        <v>170604374</v>
      </c>
      <c r="O311" s="32">
        <v>151071900</v>
      </c>
      <c r="P311" s="28" t="s">
        <v>2</v>
      </c>
      <c r="Q311" s="28" t="s">
        <v>589</v>
      </c>
      <c r="R311" s="30">
        <v>46282</v>
      </c>
      <c r="S311" s="30"/>
      <c r="T311" s="33"/>
      <c r="U311" s="34" t="str">
        <f>IFERROR(_xlfn.XLOOKUP(E311,[1]EMPREENDIMENTO!C:C,[1]EMPREENDIMENTO!D:D),"")</f>
        <v>3c919314-2bde-e911-a6a0-005056856875</v>
      </c>
    </row>
    <row r="312" spans="1:21" hidden="1" x14ac:dyDescent="0.35">
      <c r="A312" s="28" t="str">
        <f>IFERROR(_xlfn.XLOOKUP(C312,[1]DIRETORIA!C:C,[1]DIRETORIA!A:A),"-")</f>
        <v>DIR. COM E CRED CO E AM</v>
      </c>
      <c r="B312" s="28" t="str">
        <f>IFERROR(_xlfn.XLOOKUP(C312,[1]DIRETORIA!C:C,[1]DIRETORIA!B:B),"-")</f>
        <v>GST. COM MS</v>
      </c>
      <c r="C312" s="28" t="str">
        <f>IFERROR(_xlfn.XLOOKUP(E312,[1]EMPREENDIMENTO!C:C,[1]EMPREENDIMENTO!A:A),"-")</f>
        <v>CAMPO GRANDE</v>
      </c>
      <c r="D312" s="28" t="s">
        <v>29</v>
      </c>
      <c r="E312" s="28" t="s">
        <v>591</v>
      </c>
      <c r="F312" s="28" t="s">
        <v>31</v>
      </c>
      <c r="G312" s="28" t="s">
        <v>592</v>
      </c>
      <c r="H312" s="28">
        <v>37296</v>
      </c>
      <c r="I312" s="29">
        <f>IFERROR(_xlfn.XLOOKUP(E312,[1]EMPREENDIMENTO!C:C,[1]EMPREENDIMENTO!E:E),"0")</f>
        <v>240</v>
      </c>
      <c r="J312" s="30">
        <v>46783</v>
      </c>
      <c r="K312" s="28" t="s">
        <v>33</v>
      </c>
      <c r="L312" s="31">
        <v>46205</v>
      </c>
      <c r="M312" s="32">
        <v>105383394</v>
      </c>
      <c r="N312" s="32">
        <v>112820276</v>
      </c>
      <c r="O312" s="32">
        <v>111512190</v>
      </c>
      <c r="P312" s="28" t="s">
        <v>34</v>
      </c>
      <c r="Q312" s="28" t="s">
        <v>593</v>
      </c>
      <c r="R312" s="30">
        <v>46205</v>
      </c>
      <c r="S312" s="30">
        <v>46206</v>
      </c>
      <c r="T312" s="33"/>
      <c r="U312" s="34" t="str">
        <f>IFERROR(_xlfn.XLOOKUP(E312,[1]EMPREENDIMENTO!C:C,[1]EMPREENDIMENTO!D:D),"")</f>
        <v>f600bbfb-77e9-e611-abb6-80c16e075108</v>
      </c>
    </row>
    <row r="313" spans="1:21" hidden="1" x14ac:dyDescent="0.35">
      <c r="A313" s="28" t="str">
        <f>IFERROR(_xlfn.XLOOKUP(C313,[1]DIRETORIA!C:C,[1]DIRETORIA!A:A),"-")</f>
        <v>DIR. COM E CRED CO E AM</v>
      </c>
      <c r="B313" s="28" t="str">
        <f>IFERROR(_xlfn.XLOOKUP(C313,[1]DIRETORIA!C:C,[1]DIRETORIA!B:B),"-")</f>
        <v>GST. COM MS</v>
      </c>
      <c r="C313" s="28" t="str">
        <f>IFERROR(_xlfn.XLOOKUP(E313,[1]EMPREENDIMENTO!C:C,[1]EMPREENDIMENTO!A:A),"-")</f>
        <v>CAMPO GRANDE</v>
      </c>
      <c r="D313" s="28" t="s">
        <v>85</v>
      </c>
      <c r="E313" s="28" t="s">
        <v>591</v>
      </c>
      <c r="F313" s="28" t="s">
        <v>36</v>
      </c>
      <c r="G313" s="28" t="s">
        <v>594</v>
      </c>
      <c r="H313" s="28">
        <v>53620</v>
      </c>
      <c r="I313" s="29">
        <f>IFERROR(_xlfn.XLOOKUP(E313,[1]EMPREENDIMENTO!C:C,[1]EMPREENDIMENTO!E:E),"0")</f>
        <v>240</v>
      </c>
      <c r="J313" s="30">
        <v>46783</v>
      </c>
      <c r="K313" s="28" t="s">
        <v>33</v>
      </c>
      <c r="L313" s="31">
        <v>46205</v>
      </c>
      <c r="M313" s="32">
        <v>105383394</v>
      </c>
      <c r="N313" s="32">
        <v>112820276</v>
      </c>
      <c r="O313" s="32">
        <v>111512190</v>
      </c>
      <c r="P313" s="28" t="s">
        <v>34</v>
      </c>
      <c r="Q313" s="28" t="s">
        <v>593</v>
      </c>
      <c r="R313" s="30">
        <v>46205</v>
      </c>
      <c r="S313" s="30">
        <v>46206</v>
      </c>
      <c r="T313" s="33"/>
      <c r="U313" s="34" t="str">
        <f>IFERROR(_xlfn.XLOOKUP(E313,[1]EMPREENDIMENTO!C:C,[1]EMPREENDIMENTO!D:D),"")</f>
        <v>f600bbfb-77e9-e611-abb6-80c16e075108</v>
      </c>
    </row>
    <row r="314" spans="1:21" x14ac:dyDescent="0.35">
      <c r="A314" s="28" t="str">
        <f>IFERROR(_xlfn.XLOOKUP(C314,[1]DIRETORIA!C:C,[1]DIRETORIA!A:A),"-")</f>
        <v>DIR. COM E CRED SPI CP</v>
      </c>
      <c r="B314" s="28" t="str">
        <f>IFERROR(_xlfn.XLOOKUP(C314,[1]DIRETORIA!C:C,[1]DIRETORIA!B:B),"-")</f>
        <v>GST. COM CP3</v>
      </c>
      <c r="C314" s="28" t="str">
        <f>IFERROR(_xlfn.XLOOKUP(E314,[1]EMPREENDIMENTO!C:C,[1]EMPREENDIMENTO!A:A),"-")</f>
        <v>LIMEIRA</v>
      </c>
      <c r="D314" s="28" t="s">
        <v>29</v>
      </c>
      <c r="E314" s="28" t="s">
        <v>595</v>
      </c>
      <c r="F314" s="28" t="s">
        <v>31</v>
      </c>
      <c r="G314" s="28" t="s">
        <v>596</v>
      </c>
      <c r="H314" s="28">
        <v>35559</v>
      </c>
      <c r="I314" s="29">
        <f>IFERROR(_xlfn.XLOOKUP(E314,[1]EMPREENDIMENTO!C:C,[1]EMPREENDIMENTO!E:E),"0")</f>
        <v>552</v>
      </c>
      <c r="J314" s="30">
        <v>46629</v>
      </c>
      <c r="K314" s="28" t="s">
        <v>33</v>
      </c>
      <c r="L314" s="31">
        <v>45441</v>
      </c>
      <c r="M314" s="32">
        <v>127777800</v>
      </c>
      <c r="N314" s="32">
        <v>136916808</v>
      </c>
      <c r="O314" s="32">
        <v>136785308</v>
      </c>
      <c r="P314" s="28" t="s">
        <v>34</v>
      </c>
      <c r="Q314" s="28" t="s">
        <v>597</v>
      </c>
      <c r="R314" s="30">
        <v>45441</v>
      </c>
      <c r="S314" s="30">
        <v>45441</v>
      </c>
      <c r="T314" s="33"/>
      <c r="U314" s="34" t="str">
        <f>IFERROR(_xlfn.XLOOKUP(E314,[1]EMPREENDIMENTO!C:C,[1]EMPREENDIMENTO!D:D),"")</f>
        <v>ee6f95a6-3985-eb11-8864-0050568aa20f</v>
      </c>
    </row>
    <row r="315" spans="1:21" x14ac:dyDescent="0.35">
      <c r="A315" s="28" t="str">
        <f>IFERROR(_xlfn.XLOOKUP(C315,[1]DIRETORIA!C:C,[1]DIRETORIA!A:A),"-")</f>
        <v>DIR. COM E CRED SPI CP</v>
      </c>
      <c r="B315" s="28" t="str">
        <f>IFERROR(_xlfn.XLOOKUP(C315,[1]DIRETORIA!C:C,[1]DIRETORIA!B:B),"-")</f>
        <v>GST. COM CP3</v>
      </c>
      <c r="C315" s="28" t="str">
        <f>IFERROR(_xlfn.XLOOKUP(E315,[1]EMPREENDIMENTO!C:C,[1]EMPREENDIMENTO!A:A),"-")</f>
        <v>LIMEIRA</v>
      </c>
      <c r="D315" s="28" t="s">
        <v>29</v>
      </c>
      <c r="E315" s="28" t="s">
        <v>595</v>
      </c>
      <c r="F315" s="28" t="s">
        <v>36</v>
      </c>
      <c r="G315" s="28" t="s">
        <v>598</v>
      </c>
      <c r="H315" s="28">
        <v>39690</v>
      </c>
      <c r="I315" s="29">
        <f>IFERROR(_xlfn.XLOOKUP(E315,[1]EMPREENDIMENTO!C:C,[1]EMPREENDIMENTO!E:E),"0")</f>
        <v>552</v>
      </c>
      <c r="J315" s="30">
        <v>46629</v>
      </c>
      <c r="K315" s="28" t="s">
        <v>33</v>
      </c>
      <c r="L315" s="31">
        <v>45441</v>
      </c>
      <c r="M315" s="32">
        <v>127777800</v>
      </c>
      <c r="N315" s="32">
        <v>136916808</v>
      </c>
      <c r="O315" s="32">
        <v>136785308</v>
      </c>
      <c r="P315" s="28" t="s">
        <v>34</v>
      </c>
      <c r="Q315" s="28" t="s">
        <v>597</v>
      </c>
      <c r="R315" s="30">
        <v>45441</v>
      </c>
      <c r="S315" s="30">
        <v>45441</v>
      </c>
      <c r="T315" s="33"/>
      <c r="U315" s="34" t="str">
        <f>IFERROR(_xlfn.XLOOKUP(E315,[1]EMPREENDIMENTO!C:C,[1]EMPREENDIMENTO!D:D),"")</f>
        <v>ee6f95a6-3985-eb11-8864-0050568aa20f</v>
      </c>
    </row>
    <row r="316" spans="1:21" x14ac:dyDescent="0.35">
      <c r="A316" s="28" t="str">
        <f>IFERROR(_xlfn.XLOOKUP(C316,[1]DIRETORIA!C:C,[1]DIRETORIA!A:A),"-")</f>
        <v>DIR. COM E CRED SPI CP</v>
      </c>
      <c r="B316" s="28" t="str">
        <f>IFERROR(_xlfn.XLOOKUP(C316,[1]DIRETORIA!C:C,[1]DIRETORIA!B:B),"-")</f>
        <v>GST. COM CP3</v>
      </c>
      <c r="C316" s="28" t="str">
        <f>IFERROR(_xlfn.XLOOKUP(E316,[1]EMPREENDIMENTO!C:C,[1]EMPREENDIMENTO!A:A),"-")</f>
        <v>LIMEIRA</v>
      </c>
      <c r="D316" s="28" t="s">
        <v>29</v>
      </c>
      <c r="E316" s="28" t="s">
        <v>595</v>
      </c>
      <c r="F316" s="28" t="s">
        <v>39</v>
      </c>
      <c r="G316" s="28" t="s">
        <v>599</v>
      </c>
      <c r="H316" s="28">
        <v>40148</v>
      </c>
      <c r="I316" s="29">
        <f>IFERROR(_xlfn.XLOOKUP(E316,[1]EMPREENDIMENTO!C:C,[1]EMPREENDIMENTO!E:E),"0")</f>
        <v>552</v>
      </c>
      <c r="J316" s="30">
        <v>46629</v>
      </c>
      <c r="K316" s="28" t="s">
        <v>33</v>
      </c>
      <c r="L316" s="31">
        <v>45441</v>
      </c>
      <c r="M316" s="32">
        <v>127777800</v>
      </c>
      <c r="N316" s="32">
        <v>136916808</v>
      </c>
      <c r="O316" s="32">
        <v>136785308</v>
      </c>
      <c r="P316" s="28" t="s">
        <v>34</v>
      </c>
      <c r="Q316" s="28" t="s">
        <v>597</v>
      </c>
      <c r="R316" s="30">
        <v>45441</v>
      </c>
      <c r="S316" s="30">
        <v>45441</v>
      </c>
      <c r="T316" s="33"/>
      <c r="U316" s="34" t="str">
        <f>IFERROR(_xlfn.XLOOKUP(E316,[1]EMPREENDIMENTO!C:C,[1]EMPREENDIMENTO!D:D),"")</f>
        <v>ee6f95a6-3985-eb11-8864-0050568aa20f</v>
      </c>
    </row>
    <row r="317" spans="1:21" x14ac:dyDescent="0.35">
      <c r="A317" s="28" t="str">
        <f>IFERROR(_xlfn.XLOOKUP(C317,[1]DIRETORIA!C:C,[1]DIRETORIA!A:A),"-")</f>
        <v>DIR. COM E CRED SPI CP</v>
      </c>
      <c r="B317" s="28" t="str">
        <f>IFERROR(_xlfn.XLOOKUP(C317,[1]DIRETORIA!C:C,[1]DIRETORIA!B:B),"-")</f>
        <v>GST. COM CP3</v>
      </c>
      <c r="C317" s="28" t="str">
        <f>IFERROR(_xlfn.XLOOKUP(E317,[1]EMPREENDIMENTO!C:C,[1]EMPREENDIMENTO!A:A),"-")</f>
        <v>LIMEIRA</v>
      </c>
      <c r="D317" s="28" t="s">
        <v>29</v>
      </c>
      <c r="E317" s="28" t="s">
        <v>595</v>
      </c>
      <c r="F317" s="28" t="s">
        <v>50</v>
      </c>
      <c r="G317" s="28" t="s">
        <v>600</v>
      </c>
      <c r="H317" s="28">
        <v>40117</v>
      </c>
      <c r="I317" s="29">
        <f>IFERROR(_xlfn.XLOOKUP(E317,[1]EMPREENDIMENTO!C:C,[1]EMPREENDIMENTO!E:E),"0")</f>
        <v>552</v>
      </c>
      <c r="J317" s="30">
        <v>46629</v>
      </c>
      <c r="K317" s="28" t="s">
        <v>33</v>
      </c>
      <c r="L317" s="31">
        <v>45441</v>
      </c>
      <c r="M317" s="32">
        <v>127777800</v>
      </c>
      <c r="N317" s="32">
        <v>136916808</v>
      </c>
      <c r="O317" s="32">
        <v>136785308</v>
      </c>
      <c r="P317" s="28" t="s">
        <v>34</v>
      </c>
      <c r="Q317" s="28" t="s">
        <v>597</v>
      </c>
      <c r="R317" s="30">
        <v>45441</v>
      </c>
      <c r="S317" s="30">
        <v>45441</v>
      </c>
      <c r="T317" s="33"/>
      <c r="U317" s="34" t="str">
        <f>IFERROR(_xlfn.XLOOKUP(E317,[1]EMPREENDIMENTO!C:C,[1]EMPREENDIMENTO!D:D),"")</f>
        <v>ee6f95a6-3985-eb11-8864-0050568aa20f</v>
      </c>
    </row>
    <row r="318" spans="1:21" x14ac:dyDescent="0.35">
      <c r="A318" s="28" t="str">
        <f>IFERROR(_xlfn.XLOOKUP(C318,[1]DIRETORIA!C:C,[1]DIRETORIA!A:A),"-")</f>
        <v>DIR. COM E CRED SPI CP</v>
      </c>
      <c r="B318" s="28" t="str">
        <f>IFERROR(_xlfn.XLOOKUP(C318,[1]DIRETORIA!C:C,[1]DIRETORIA!B:B),"-")</f>
        <v>GST. COM CP3</v>
      </c>
      <c r="C318" s="28" t="str">
        <f>IFERROR(_xlfn.XLOOKUP(E318,[1]EMPREENDIMENTO!C:C,[1]EMPREENDIMENTO!A:A),"-")</f>
        <v>LIMEIRA</v>
      </c>
      <c r="D318" s="28" t="s">
        <v>29</v>
      </c>
      <c r="E318" s="28" t="s">
        <v>595</v>
      </c>
      <c r="F318" s="28" t="s">
        <v>57</v>
      </c>
      <c r="G318" s="28" t="s">
        <v>601</v>
      </c>
      <c r="H318" s="28">
        <v>40121</v>
      </c>
      <c r="I318" s="29">
        <f>IFERROR(_xlfn.XLOOKUP(E318,[1]EMPREENDIMENTO!C:C,[1]EMPREENDIMENTO!E:E),"0")</f>
        <v>552</v>
      </c>
      <c r="J318" s="30">
        <v>46629</v>
      </c>
      <c r="K318" s="28" t="s">
        <v>33</v>
      </c>
      <c r="L318" s="31">
        <v>45441</v>
      </c>
      <c r="M318" s="32">
        <v>127777800</v>
      </c>
      <c r="N318" s="32">
        <v>136916808</v>
      </c>
      <c r="O318" s="32">
        <v>136785308</v>
      </c>
      <c r="P318" s="28" t="s">
        <v>34</v>
      </c>
      <c r="Q318" s="28" t="s">
        <v>597</v>
      </c>
      <c r="R318" s="30">
        <v>45441</v>
      </c>
      <c r="S318" s="30">
        <v>45441</v>
      </c>
      <c r="T318" s="33"/>
      <c r="U318" s="34" t="str">
        <f>IFERROR(_xlfn.XLOOKUP(E318,[1]EMPREENDIMENTO!C:C,[1]EMPREENDIMENTO!D:D),"")</f>
        <v>ee6f95a6-3985-eb11-8864-0050568aa20f</v>
      </c>
    </row>
    <row r="319" spans="1:21" x14ac:dyDescent="0.35">
      <c r="A319" s="28" t="str">
        <f>IFERROR(_xlfn.XLOOKUP(C319,[1]DIRETORIA!C:C,[1]DIRETORIA!A:A),"-")</f>
        <v>DIR. COM E CRED SPI CP</v>
      </c>
      <c r="B319" s="28" t="str">
        <f>IFERROR(_xlfn.XLOOKUP(C319,[1]DIRETORIA!C:C,[1]DIRETORIA!B:B),"-")</f>
        <v>GST. COM CP3</v>
      </c>
      <c r="C319" s="28" t="str">
        <f>IFERROR(_xlfn.XLOOKUP(E319,[1]EMPREENDIMENTO!C:C,[1]EMPREENDIMENTO!A:A),"-")</f>
        <v>LIMEIRA</v>
      </c>
      <c r="D319" s="28" t="s">
        <v>29</v>
      </c>
      <c r="E319" s="28" t="s">
        <v>595</v>
      </c>
      <c r="F319" s="28" t="s">
        <v>360</v>
      </c>
      <c r="G319" s="28" t="s">
        <v>602</v>
      </c>
      <c r="H319" s="28">
        <v>40138</v>
      </c>
      <c r="I319" s="29">
        <f>IFERROR(_xlfn.XLOOKUP(E319,[1]EMPREENDIMENTO!C:C,[1]EMPREENDIMENTO!E:E),"0")</f>
        <v>552</v>
      </c>
      <c r="J319" s="30">
        <v>46629</v>
      </c>
      <c r="K319" s="28" t="s">
        <v>33</v>
      </c>
      <c r="L319" s="31">
        <v>45441</v>
      </c>
      <c r="M319" s="32">
        <v>127777800</v>
      </c>
      <c r="N319" s="32">
        <v>136916808</v>
      </c>
      <c r="O319" s="32">
        <v>136785308</v>
      </c>
      <c r="P319" s="28" t="s">
        <v>34</v>
      </c>
      <c r="Q319" s="28" t="s">
        <v>597</v>
      </c>
      <c r="R319" s="30">
        <v>45441</v>
      </c>
      <c r="S319" s="30">
        <v>45441</v>
      </c>
      <c r="T319" s="33"/>
      <c r="U319" s="34" t="str">
        <f>IFERROR(_xlfn.XLOOKUP(E319,[1]EMPREENDIMENTO!C:C,[1]EMPREENDIMENTO!D:D),"")</f>
        <v>ee6f95a6-3985-eb11-8864-0050568aa20f</v>
      </c>
    </row>
    <row r="320" spans="1:21" hidden="1" x14ac:dyDescent="0.35">
      <c r="A320" s="28" t="str">
        <f>IFERROR(_xlfn.XLOOKUP(C320,[1]DIRETORIA!C:C,[1]DIRETORIA!A:A),"-")</f>
        <v>DIR. COM E CRED CO E AM</v>
      </c>
      <c r="B320" s="28" t="str">
        <f>IFERROR(_xlfn.XLOOKUP(C320,[1]DIRETORIA!C:C,[1]DIRETORIA!B:B),"-")</f>
        <v>GST. COM GO</v>
      </c>
      <c r="C320" s="28" t="str">
        <f>IFERROR(_xlfn.XLOOKUP(E320,[1]EMPREENDIMENTO!C:C,[1]EMPREENDIMENTO!A:A),"-")</f>
        <v>GOIÂNIA</v>
      </c>
      <c r="D320" s="28" t="s">
        <v>29</v>
      </c>
      <c r="E320" s="28" t="s">
        <v>603</v>
      </c>
      <c r="F320" s="28" t="s">
        <v>31</v>
      </c>
      <c r="G320" s="28" t="s">
        <v>604</v>
      </c>
      <c r="H320" s="28">
        <v>33279</v>
      </c>
      <c r="I320" s="29">
        <f>IFERROR(_xlfn.XLOOKUP(E320,[1]EMPREENDIMENTO!C:C,[1]EMPREENDIMENTO!E:E),"0")</f>
        <v>384</v>
      </c>
      <c r="J320" s="30">
        <v>46737</v>
      </c>
      <c r="K320" s="28" t="s">
        <v>33</v>
      </c>
      <c r="L320" s="31">
        <v>45964</v>
      </c>
      <c r="M320" s="32">
        <v>92720683</v>
      </c>
      <c r="N320" s="32">
        <v>98480683</v>
      </c>
      <c r="O320" s="32">
        <v>93508925</v>
      </c>
      <c r="P320" s="28" t="s">
        <v>34</v>
      </c>
      <c r="Q320" s="28" t="s">
        <v>605</v>
      </c>
      <c r="R320" s="30">
        <v>45978</v>
      </c>
      <c r="S320" s="30">
        <v>45965</v>
      </c>
      <c r="T320" s="33"/>
      <c r="U320" s="34" t="str">
        <f>IFERROR(_xlfn.XLOOKUP(E320,[1]EMPREENDIMENTO!C:C,[1]EMPREENDIMENTO!D:D),"")</f>
        <v>686cce5c-455d-e911-90bb-80c16e075108</v>
      </c>
    </row>
    <row r="321" spans="1:21" hidden="1" x14ac:dyDescent="0.35">
      <c r="A321" s="28" t="str">
        <f>IFERROR(_xlfn.XLOOKUP(C321,[1]DIRETORIA!C:C,[1]DIRETORIA!A:A),"-")</f>
        <v>DIR. COM E CRED CO E AM</v>
      </c>
      <c r="B321" s="28" t="str">
        <f>IFERROR(_xlfn.XLOOKUP(C321,[1]DIRETORIA!C:C,[1]DIRETORIA!B:B),"-")</f>
        <v>GST. COM GO</v>
      </c>
      <c r="C321" s="28" t="str">
        <f>IFERROR(_xlfn.XLOOKUP(E321,[1]EMPREENDIMENTO!C:C,[1]EMPREENDIMENTO!A:A),"-")</f>
        <v>GOIÂNIA</v>
      </c>
      <c r="D321" s="28" t="s">
        <v>29</v>
      </c>
      <c r="E321" s="28" t="s">
        <v>603</v>
      </c>
      <c r="F321" s="28" t="s">
        <v>36</v>
      </c>
      <c r="G321" s="28" t="s">
        <v>606</v>
      </c>
      <c r="H321" s="28">
        <v>44376</v>
      </c>
      <c r="I321" s="29">
        <f>IFERROR(_xlfn.XLOOKUP(E321,[1]EMPREENDIMENTO!C:C,[1]EMPREENDIMENTO!E:E),"0")</f>
        <v>384</v>
      </c>
      <c r="J321" s="30">
        <v>46737</v>
      </c>
      <c r="K321" s="28" t="s">
        <v>33</v>
      </c>
      <c r="L321" s="31">
        <v>45964</v>
      </c>
      <c r="M321" s="32">
        <v>92720683</v>
      </c>
      <c r="N321" s="32">
        <v>98480683</v>
      </c>
      <c r="O321" s="32">
        <v>93508925</v>
      </c>
      <c r="P321" s="28" t="s">
        <v>34</v>
      </c>
      <c r="Q321" s="28" t="s">
        <v>605</v>
      </c>
      <c r="R321" s="30">
        <v>45978</v>
      </c>
      <c r="S321" s="30">
        <v>45965</v>
      </c>
      <c r="T321" s="33"/>
      <c r="U321" s="34" t="str">
        <f>IFERROR(_xlfn.XLOOKUP(E321,[1]EMPREENDIMENTO!C:C,[1]EMPREENDIMENTO!D:D),"")</f>
        <v>686cce5c-455d-e911-90bb-80c16e075108</v>
      </c>
    </row>
    <row r="322" spans="1:21" hidden="1" x14ac:dyDescent="0.35">
      <c r="A322" s="28" t="str">
        <f>IFERROR(_xlfn.XLOOKUP(C322,[1]DIRETORIA!C:C,[1]DIRETORIA!A:A),"-")</f>
        <v>DIR. COM E CRED CO E AM</v>
      </c>
      <c r="B322" s="28" t="str">
        <f>IFERROR(_xlfn.XLOOKUP(C322,[1]DIRETORIA!C:C,[1]DIRETORIA!B:B),"-")</f>
        <v>GST. COM GO</v>
      </c>
      <c r="C322" s="28" t="str">
        <f>IFERROR(_xlfn.XLOOKUP(E322,[1]EMPREENDIMENTO!C:C,[1]EMPREENDIMENTO!A:A),"-")</f>
        <v>GOIÂNIA</v>
      </c>
      <c r="D322" s="28" t="s">
        <v>29</v>
      </c>
      <c r="E322" s="28" t="s">
        <v>603</v>
      </c>
      <c r="F322" s="28" t="s">
        <v>39</v>
      </c>
      <c r="G322" s="28" t="s">
        <v>607</v>
      </c>
      <c r="H322" s="28">
        <v>50772</v>
      </c>
      <c r="I322" s="29">
        <f>IFERROR(_xlfn.XLOOKUP(E322,[1]EMPREENDIMENTO!C:C,[1]EMPREENDIMENTO!E:E),"0")</f>
        <v>384</v>
      </c>
      <c r="J322" s="30">
        <v>46737</v>
      </c>
      <c r="K322" s="28" t="s">
        <v>33</v>
      </c>
      <c r="L322" s="31">
        <v>45964</v>
      </c>
      <c r="M322" s="32">
        <v>92720683</v>
      </c>
      <c r="N322" s="32">
        <v>98480683</v>
      </c>
      <c r="O322" s="32">
        <v>93508925</v>
      </c>
      <c r="P322" s="28" t="s">
        <v>34</v>
      </c>
      <c r="Q322" s="28" t="s">
        <v>605</v>
      </c>
      <c r="R322" s="30">
        <v>45978</v>
      </c>
      <c r="S322" s="30">
        <v>45965</v>
      </c>
      <c r="T322" s="33"/>
      <c r="U322" s="34" t="str">
        <f>IFERROR(_xlfn.XLOOKUP(E322,[1]EMPREENDIMENTO!C:C,[1]EMPREENDIMENTO!D:D),"")</f>
        <v>686cce5c-455d-e911-90bb-80c16e075108</v>
      </c>
    </row>
    <row r="323" spans="1:21" x14ac:dyDescent="0.35">
      <c r="A323" s="28" t="str">
        <f>IFERROR(_xlfn.XLOOKUP(C323,[1]DIRETORIA!C:C,[1]DIRETORIA!A:A),"-")</f>
        <v>DIR. COM E CRED SPI CP</v>
      </c>
      <c r="B323" s="28" t="str">
        <f>IFERROR(_xlfn.XLOOKUP(C323,[1]DIRETORIA!C:C,[1]DIRETORIA!B:B),"-")</f>
        <v>GST. COM CP1</v>
      </c>
      <c r="C323" s="28" t="str">
        <f>IFERROR(_xlfn.XLOOKUP(E323,[1]EMPREENDIMENTO!C:C,[1]EMPREENDIMENTO!A:A),"-")</f>
        <v>CAMPINAS</v>
      </c>
      <c r="D323" s="28" t="s">
        <v>29</v>
      </c>
      <c r="E323" s="28" t="s">
        <v>608</v>
      </c>
      <c r="F323" s="28" t="s">
        <v>42</v>
      </c>
      <c r="G323" s="28" t="s">
        <v>609</v>
      </c>
      <c r="H323" s="28">
        <v>37543</v>
      </c>
      <c r="I323" s="29">
        <f>IFERROR(_xlfn.XLOOKUP(E323,[1]EMPREENDIMENTO!C:C,[1]EMPREENDIMENTO!E:E),"0")</f>
        <v>108</v>
      </c>
      <c r="J323" s="30">
        <v>46871</v>
      </c>
      <c r="K323" s="28" t="s">
        <v>33</v>
      </c>
      <c r="L323" s="31">
        <v>46164</v>
      </c>
      <c r="M323" s="32">
        <v>77033000</v>
      </c>
      <c r="N323" s="32">
        <v>81207500</v>
      </c>
      <c r="O323" s="32">
        <v>78398100</v>
      </c>
      <c r="P323" s="28" t="s">
        <v>34</v>
      </c>
      <c r="Q323" s="28" t="s">
        <v>610</v>
      </c>
      <c r="R323" s="30">
        <v>46181</v>
      </c>
      <c r="S323" s="30">
        <v>46164</v>
      </c>
      <c r="T323" s="33"/>
      <c r="U323" s="34" t="str">
        <f>IFERROR(_xlfn.XLOOKUP(E323,[1]EMPREENDIMENTO!C:C,[1]EMPREENDIMENTO!D:D),"")</f>
        <v>812bc8ee-6c1f-eb11-9d23-005056856b6c</v>
      </c>
    </row>
    <row r="324" spans="1:21" hidden="1" x14ac:dyDescent="0.35">
      <c r="A324" s="28" t="str">
        <f>IFERROR(_xlfn.XLOOKUP(C324,[1]DIRETORIA!C:C,[1]DIRETORIA!A:A),"-")</f>
        <v>DIR. COM E CRED MG E ES</v>
      </c>
      <c r="B324" s="28" t="str">
        <f>IFERROR(_xlfn.XLOOKUP(C324,[1]DIRETORIA!C:C,[1]DIRETORIA!B:B),"-")</f>
        <v>GST. COM TM</v>
      </c>
      <c r="C324" s="28" t="str">
        <f>IFERROR(_xlfn.XLOOKUP(E324,[1]EMPREENDIMENTO!C:C,[1]EMPREENDIMENTO!A:A),"-")</f>
        <v>UBERLÂNDIA</v>
      </c>
      <c r="D324" s="28" t="s">
        <v>29</v>
      </c>
      <c r="E324" s="28" t="s">
        <v>611</v>
      </c>
      <c r="F324" s="28" t="s">
        <v>42</v>
      </c>
      <c r="G324" s="28" t="s">
        <v>612</v>
      </c>
      <c r="H324" s="28">
        <v>34181</v>
      </c>
      <c r="I324" s="29">
        <f>IFERROR(_xlfn.XLOOKUP(E324,[1]EMPREENDIMENTO!C:C,[1]EMPREENDIMENTO!E:E),"0")</f>
        <v>288</v>
      </c>
      <c r="J324" s="30">
        <v>46660</v>
      </c>
      <c r="K324" s="28" t="s">
        <v>33</v>
      </c>
      <c r="L324" s="31">
        <v>46191</v>
      </c>
      <c r="M324" s="32">
        <v>115340533</v>
      </c>
      <c r="N324" s="32">
        <v>130054006</v>
      </c>
      <c r="O324" s="32">
        <v>121542400</v>
      </c>
      <c r="P324" s="28" t="s">
        <v>34</v>
      </c>
      <c r="Q324" s="28" t="s">
        <v>613</v>
      </c>
      <c r="R324" s="30">
        <v>46195</v>
      </c>
      <c r="S324" s="30">
        <v>46192</v>
      </c>
      <c r="T324" s="33"/>
      <c r="U324" s="34" t="str">
        <f>IFERROR(_xlfn.XLOOKUP(E324,[1]EMPREENDIMENTO!C:C,[1]EMPREENDIMENTO!D:D),"")</f>
        <v>a9b5eaf6-57c8-ea11-beeb-005056856875</v>
      </c>
    </row>
    <row r="325" spans="1:21" x14ac:dyDescent="0.35">
      <c r="A325" s="28" t="str">
        <f>IFERROR(_xlfn.XLOOKUP(C325,[1]DIRETORIA!C:C,[1]DIRETORIA!A:A),"-")</f>
        <v>DIR. COM E CRED SPI</v>
      </c>
      <c r="B325" s="28" t="str">
        <f>IFERROR(_xlfn.XLOOKUP(C325,[1]DIRETORIA!C:C,[1]DIRETORIA!B:B),"-")</f>
        <v>GST. COM OP 2</v>
      </c>
      <c r="C325" s="28" t="str">
        <f>IFERROR(_xlfn.XLOOKUP(E325,[1]EMPREENDIMENTO!C:C,[1]EMPREENDIMENTO!A:A),"-")</f>
        <v>BAURU</v>
      </c>
      <c r="D325" s="28" t="s">
        <v>29</v>
      </c>
      <c r="E325" s="28" t="s">
        <v>614</v>
      </c>
      <c r="F325" s="28" t="s">
        <v>31</v>
      </c>
      <c r="G325" s="28" t="s">
        <v>615</v>
      </c>
      <c r="H325" s="28">
        <v>29440</v>
      </c>
      <c r="I325" s="29">
        <f>IFERROR(_xlfn.XLOOKUP(E325,[1]EMPREENDIMENTO!C:C,[1]EMPREENDIMENTO!E:E),"0")</f>
        <v>440</v>
      </c>
      <c r="J325" s="30">
        <v>45593</v>
      </c>
      <c r="K325" s="28" t="s">
        <v>33</v>
      </c>
      <c r="L325" s="31">
        <v>45357</v>
      </c>
      <c r="M325" s="32">
        <v>83453650</v>
      </c>
      <c r="N325" s="32">
        <v>97466000</v>
      </c>
      <c r="O325" s="32">
        <v>97229800</v>
      </c>
      <c r="P325" s="28" t="s">
        <v>34</v>
      </c>
      <c r="Q325" s="28" t="s">
        <v>616</v>
      </c>
      <c r="R325" s="30">
        <v>45358</v>
      </c>
      <c r="S325" s="30">
        <v>45357</v>
      </c>
      <c r="T325" s="33"/>
      <c r="U325" s="34" t="str">
        <f>IFERROR(_xlfn.XLOOKUP(E325,[1]EMPREENDIMENTO!C:C,[1]EMPREENDIMENTO!D:D),"")</f>
        <v>DD357870-12A5-EA11-88C0-0050568AA20F</v>
      </c>
    </row>
    <row r="326" spans="1:21" x14ac:dyDescent="0.35">
      <c r="A326" s="28" t="str">
        <f>IFERROR(_xlfn.XLOOKUP(C326,[1]DIRETORIA!C:C,[1]DIRETORIA!A:A),"-")</f>
        <v>DIR. COM E CRED SPI</v>
      </c>
      <c r="B326" s="28" t="str">
        <f>IFERROR(_xlfn.XLOOKUP(C326,[1]DIRETORIA!C:C,[1]DIRETORIA!B:B),"-")</f>
        <v>GST. COM OP 2</v>
      </c>
      <c r="C326" s="28" t="str">
        <f>IFERROR(_xlfn.XLOOKUP(E326,[1]EMPREENDIMENTO!C:C,[1]EMPREENDIMENTO!A:A),"-")</f>
        <v>BAURU</v>
      </c>
      <c r="D326" s="28" t="s">
        <v>29</v>
      </c>
      <c r="E326" s="28" t="s">
        <v>614</v>
      </c>
      <c r="F326" s="28" t="s">
        <v>36</v>
      </c>
      <c r="G326" s="28" t="s">
        <v>617</v>
      </c>
      <c r="H326" s="28">
        <v>33876</v>
      </c>
      <c r="I326" s="29">
        <f>IFERROR(_xlfn.XLOOKUP(E326,[1]EMPREENDIMENTO!C:C,[1]EMPREENDIMENTO!E:E),"0")</f>
        <v>440</v>
      </c>
      <c r="J326" s="30">
        <v>45593</v>
      </c>
      <c r="K326" s="28" t="s">
        <v>33</v>
      </c>
      <c r="L326" s="31">
        <v>45357</v>
      </c>
      <c r="M326" s="32">
        <v>83453650</v>
      </c>
      <c r="N326" s="32">
        <v>97466000</v>
      </c>
      <c r="O326" s="32">
        <v>97229800</v>
      </c>
      <c r="P326" s="28" t="s">
        <v>34</v>
      </c>
      <c r="Q326" s="28" t="s">
        <v>616</v>
      </c>
      <c r="R326" s="30">
        <v>45358</v>
      </c>
      <c r="S326" s="30">
        <v>45357</v>
      </c>
      <c r="T326" s="33"/>
      <c r="U326" s="34" t="str">
        <f>IFERROR(_xlfn.XLOOKUP(E326,[1]EMPREENDIMENTO!C:C,[1]EMPREENDIMENTO!D:D),"")</f>
        <v>DD357870-12A5-EA11-88C0-0050568AA20F</v>
      </c>
    </row>
    <row r="327" spans="1:21" x14ac:dyDescent="0.35">
      <c r="A327" s="28" t="str">
        <f>IFERROR(_xlfn.XLOOKUP(C327,[1]DIRETORIA!C:C,[1]DIRETORIA!A:A),"-")</f>
        <v>DIR. COM E CRED SPI</v>
      </c>
      <c r="B327" s="28" t="str">
        <f>IFERROR(_xlfn.XLOOKUP(C327,[1]DIRETORIA!C:C,[1]DIRETORIA!B:B),"-")</f>
        <v>GST. COM OP 2</v>
      </c>
      <c r="C327" s="28" t="str">
        <f>IFERROR(_xlfn.XLOOKUP(E327,[1]EMPREENDIMENTO!C:C,[1]EMPREENDIMENTO!A:A),"-")</f>
        <v>BAURU</v>
      </c>
      <c r="D327" s="28" t="s">
        <v>29</v>
      </c>
      <c r="E327" s="28" t="s">
        <v>614</v>
      </c>
      <c r="F327" s="28" t="s">
        <v>39</v>
      </c>
      <c r="G327" s="28" t="s">
        <v>618</v>
      </c>
      <c r="H327" s="28">
        <v>33877</v>
      </c>
      <c r="I327" s="29">
        <f>IFERROR(_xlfn.XLOOKUP(E327,[1]EMPREENDIMENTO!C:C,[1]EMPREENDIMENTO!E:E),"0")</f>
        <v>440</v>
      </c>
      <c r="J327" s="30">
        <v>45593</v>
      </c>
      <c r="K327" s="28" t="s">
        <v>33</v>
      </c>
      <c r="L327" s="31">
        <v>45357</v>
      </c>
      <c r="M327" s="32">
        <v>83453650</v>
      </c>
      <c r="N327" s="32">
        <v>97466000</v>
      </c>
      <c r="O327" s="32">
        <v>97229800</v>
      </c>
      <c r="P327" s="28" t="s">
        <v>34</v>
      </c>
      <c r="Q327" s="28" t="s">
        <v>616</v>
      </c>
      <c r="R327" s="30">
        <v>45358</v>
      </c>
      <c r="S327" s="30">
        <v>45357</v>
      </c>
      <c r="T327" s="33"/>
      <c r="U327" s="34" t="str">
        <f>IFERROR(_xlfn.XLOOKUP(E327,[1]EMPREENDIMENTO!C:C,[1]EMPREENDIMENTO!D:D),"")</f>
        <v>DD357870-12A5-EA11-88C0-0050568AA20F</v>
      </c>
    </row>
    <row r="328" spans="1:21" x14ac:dyDescent="0.35">
      <c r="A328" s="28" t="str">
        <f>IFERROR(_xlfn.XLOOKUP(C328,[1]DIRETORIA!C:C,[1]DIRETORIA!A:A),"-")</f>
        <v>DIR. COM E CRED SPI</v>
      </c>
      <c r="B328" s="28" t="str">
        <f>IFERROR(_xlfn.XLOOKUP(C328,[1]DIRETORIA!C:C,[1]DIRETORIA!B:B),"-")</f>
        <v>GST. COM OP 2</v>
      </c>
      <c r="C328" s="28" t="str">
        <f>IFERROR(_xlfn.XLOOKUP(E328,[1]EMPREENDIMENTO!C:C,[1]EMPREENDIMENTO!A:A),"-")</f>
        <v>MARÍLIA</v>
      </c>
      <c r="D328" s="28" t="s">
        <v>29</v>
      </c>
      <c r="E328" s="28" t="s">
        <v>619</v>
      </c>
      <c r="F328" s="28" t="s">
        <v>31</v>
      </c>
      <c r="G328" s="28" t="s">
        <v>620</v>
      </c>
      <c r="H328" s="28">
        <v>27304</v>
      </c>
      <c r="I328" s="29">
        <f>IFERROR(_xlfn.XLOOKUP(E328,[1]EMPREENDIMENTO!C:C,[1]EMPREENDIMENTO!E:E),"0")</f>
        <v>212</v>
      </c>
      <c r="J328" s="30">
        <v>45552</v>
      </c>
      <c r="K328" s="28" t="s">
        <v>33</v>
      </c>
      <c r="L328" s="31">
        <v>45198</v>
      </c>
      <c r="M328" s="32">
        <v>40894500</v>
      </c>
      <c r="N328" s="32">
        <v>45610000</v>
      </c>
      <c r="O328" s="32">
        <v>45549000</v>
      </c>
      <c r="P328" s="28" t="s">
        <v>34</v>
      </c>
      <c r="Q328" s="28" t="s">
        <v>621</v>
      </c>
      <c r="R328" s="30"/>
      <c r="S328" s="30">
        <v>45198</v>
      </c>
      <c r="T328" s="33"/>
      <c r="U328" s="34" t="str">
        <f>IFERROR(_xlfn.XLOOKUP(E328,[1]EMPREENDIMENTO!C:C,[1]EMPREENDIMENTO!D:D),"")</f>
        <v>ce2bb74f-5224-eb11-9d23-005056856b6c</v>
      </c>
    </row>
    <row r="329" spans="1:21" x14ac:dyDescent="0.35">
      <c r="A329" s="28" t="str">
        <f>IFERROR(_xlfn.XLOOKUP(C329,[1]DIRETORIA!C:C,[1]DIRETORIA!A:A),"-")</f>
        <v>DIR. COM E CRED SPI</v>
      </c>
      <c r="B329" s="28" t="str">
        <f>IFERROR(_xlfn.XLOOKUP(C329,[1]DIRETORIA!C:C,[1]DIRETORIA!B:B),"-")</f>
        <v>GST. COM OP 2</v>
      </c>
      <c r="C329" s="28" t="str">
        <f>IFERROR(_xlfn.XLOOKUP(E329,[1]EMPREENDIMENTO!C:C,[1]EMPREENDIMENTO!A:A),"-")</f>
        <v>MARÍLIA</v>
      </c>
      <c r="D329" s="28" t="s">
        <v>29</v>
      </c>
      <c r="E329" s="28" t="s">
        <v>619</v>
      </c>
      <c r="F329" s="28" t="s">
        <v>36</v>
      </c>
      <c r="G329" s="28" t="s">
        <v>622</v>
      </c>
      <c r="H329" s="28">
        <v>31364</v>
      </c>
      <c r="I329" s="29">
        <f>IFERROR(_xlfn.XLOOKUP(E329,[1]EMPREENDIMENTO!C:C,[1]EMPREENDIMENTO!E:E),"0")</f>
        <v>212</v>
      </c>
      <c r="J329" s="30">
        <v>45552</v>
      </c>
      <c r="K329" s="28" t="s">
        <v>33</v>
      </c>
      <c r="L329" s="31">
        <v>45198</v>
      </c>
      <c r="M329" s="32">
        <v>40894500</v>
      </c>
      <c r="N329" s="32">
        <v>45610000</v>
      </c>
      <c r="O329" s="32">
        <v>45549000</v>
      </c>
      <c r="P329" s="28" t="s">
        <v>34</v>
      </c>
      <c r="Q329" s="28" t="s">
        <v>621</v>
      </c>
      <c r="R329" s="30"/>
      <c r="S329" s="30">
        <v>45198</v>
      </c>
      <c r="T329" s="33"/>
      <c r="U329" s="34" t="str">
        <f>IFERROR(_xlfn.XLOOKUP(E329,[1]EMPREENDIMENTO!C:C,[1]EMPREENDIMENTO!D:D),"")</f>
        <v>ce2bb74f-5224-eb11-9d23-005056856b6c</v>
      </c>
    </row>
    <row r="330" spans="1:21" x14ac:dyDescent="0.35">
      <c r="A330" s="28" t="str">
        <f>IFERROR(_xlfn.XLOOKUP(C330,[1]DIRETORIA!C:C,[1]DIRETORIA!A:A),"-")</f>
        <v>DIR. COM E CRED SPI</v>
      </c>
      <c r="B330" s="28" t="str">
        <f>IFERROR(_xlfn.XLOOKUP(C330,[1]DIRETORIA!C:C,[1]DIRETORIA!B:B),"-")</f>
        <v>GST. COM OP 2</v>
      </c>
      <c r="C330" s="28" t="str">
        <f>IFERROR(_xlfn.XLOOKUP(E330,[1]EMPREENDIMENTO!C:C,[1]EMPREENDIMENTO!A:A),"-")</f>
        <v>BAURU</v>
      </c>
      <c r="D330" s="28" t="s">
        <v>29</v>
      </c>
      <c r="E330" s="28" t="s">
        <v>623</v>
      </c>
      <c r="F330" s="28" t="s">
        <v>31</v>
      </c>
      <c r="G330" s="28" t="s">
        <v>624</v>
      </c>
      <c r="H330" s="28">
        <v>26157</v>
      </c>
      <c r="I330" s="29">
        <f>IFERROR(_xlfn.XLOOKUP(E330,[1]EMPREENDIMENTO!C:C,[1]EMPREENDIMENTO!E:E),"0")</f>
        <v>240</v>
      </c>
      <c r="J330" s="30">
        <v>45579</v>
      </c>
      <c r="K330" s="28" t="s">
        <v>33</v>
      </c>
      <c r="L330" s="31">
        <v>45548</v>
      </c>
      <c r="M330" s="32">
        <v>49773300</v>
      </c>
      <c r="N330" s="32">
        <v>54350200</v>
      </c>
      <c r="O330" s="32">
        <v>50342900</v>
      </c>
      <c r="P330" s="28" t="s">
        <v>34</v>
      </c>
      <c r="Q330" s="28" t="s">
        <v>625</v>
      </c>
      <c r="R330" s="30">
        <v>45547</v>
      </c>
      <c r="S330" s="30">
        <v>45551</v>
      </c>
      <c r="T330" s="33"/>
      <c r="U330" s="34" t="str">
        <f>IFERROR(_xlfn.XLOOKUP(E330,[1]EMPREENDIMENTO!C:C,[1]EMPREENDIMENTO!D:D),"")</f>
        <v>1204ebac-dc40-e911-810a-80c16e075108</v>
      </c>
    </row>
    <row r="331" spans="1:21" x14ac:dyDescent="0.35">
      <c r="A331" s="28" t="str">
        <f>IFERROR(_xlfn.XLOOKUP(C331,[1]DIRETORIA!C:C,[1]DIRETORIA!A:A),"-")</f>
        <v>DIR. COM E CRED SPI</v>
      </c>
      <c r="B331" s="28" t="str">
        <f>IFERROR(_xlfn.XLOOKUP(C331,[1]DIRETORIA!C:C,[1]DIRETORIA!B:B),"-")</f>
        <v>GST. COM OP 2</v>
      </c>
      <c r="C331" s="28" t="str">
        <f>IFERROR(_xlfn.XLOOKUP(E331,[1]EMPREENDIMENTO!C:C,[1]EMPREENDIMENTO!A:A),"-")</f>
        <v>BAURU</v>
      </c>
      <c r="D331" s="28" t="s">
        <v>29</v>
      </c>
      <c r="E331" s="28" t="s">
        <v>623</v>
      </c>
      <c r="F331" s="28" t="s">
        <v>36</v>
      </c>
      <c r="G331" s="28" t="s">
        <v>626</v>
      </c>
      <c r="H331" s="28">
        <v>37169</v>
      </c>
      <c r="I331" s="29">
        <f>IFERROR(_xlfn.XLOOKUP(E331,[1]EMPREENDIMENTO!C:C,[1]EMPREENDIMENTO!E:E),"0")</f>
        <v>240</v>
      </c>
      <c r="J331" s="30">
        <v>45579</v>
      </c>
      <c r="K331" s="28" t="s">
        <v>33</v>
      </c>
      <c r="L331" s="31">
        <v>45548</v>
      </c>
      <c r="M331" s="32">
        <v>49773300</v>
      </c>
      <c r="N331" s="32">
        <v>54350200</v>
      </c>
      <c r="O331" s="32">
        <v>50342900</v>
      </c>
      <c r="P331" s="28" t="s">
        <v>34</v>
      </c>
      <c r="Q331" s="28" t="s">
        <v>625</v>
      </c>
      <c r="R331" s="30">
        <v>45547</v>
      </c>
      <c r="S331" s="30">
        <v>45551</v>
      </c>
      <c r="T331" s="33"/>
      <c r="U331" s="34" t="str">
        <f>IFERROR(_xlfn.XLOOKUP(E331,[1]EMPREENDIMENTO!C:C,[1]EMPREENDIMENTO!D:D),"")</f>
        <v>1204ebac-dc40-e911-810a-80c16e075108</v>
      </c>
    </row>
    <row r="332" spans="1:21" x14ac:dyDescent="0.35">
      <c r="A332" s="28" t="str">
        <f>IFERROR(_xlfn.XLOOKUP(C332,[1]DIRETORIA!C:C,[1]DIRETORIA!A:A),"-")</f>
        <v>DIR. COM E CRED SPI</v>
      </c>
      <c r="B332" s="28" t="str">
        <f>IFERROR(_xlfn.XLOOKUP(C332,[1]DIRETORIA!C:C,[1]DIRETORIA!B:B),"-")</f>
        <v>GST. COM OP 2</v>
      </c>
      <c r="C332" s="28" t="str">
        <f>IFERROR(_xlfn.XLOOKUP(E332,[1]EMPREENDIMENTO!C:C,[1]EMPREENDIMENTO!A:A),"-")</f>
        <v>BAURU</v>
      </c>
      <c r="D332" s="28" t="s">
        <v>29</v>
      </c>
      <c r="E332" s="28" t="s">
        <v>623</v>
      </c>
      <c r="F332" s="28" t="s">
        <v>39</v>
      </c>
      <c r="G332" s="28" t="s">
        <v>627</v>
      </c>
      <c r="H332" s="28">
        <v>42507</v>
      </c>
      <c r="I332" s="29">
        <f>IFERROR(_xlfn.XLOOKUP(E332,[1]EMPREENDIMENTO!C:C,[1]EMPREENDIMENTO!E:E),"0")</f>
        <v>240</v>
      </c>
      <c r="J332" s="30">
        <v>45579</v>
      </c>
      <c r="K332" s="28" t="s">
        <v>33</v>
      </c>
      <c r="L332" s="31">
        <v>45548</v>
      </c>
      <c r="M332" s="32">
        <v>49773300</v>
      </c>
      <c r="N332" s="32">
        <v>54350200</v>
      </c>
      <c r="O332" s="32">
        <v>50342900</v>
      </c>
      <c r="P332" s="28" t="s">
        <v>34</v>
      </c>
      <c r="Q332" s="28" t="s">
        <v>625</v>
      </c>
      <c r="R332" s="30">
        <v>45547</v>
      </c>
      <c r="S332" s="30">
        <v>45551</v>
      </c>
      <c r="T332" s="33"/>
      <c r="U332" s="34" t="str">
        <f>IFERROR(_xlfn.XLOOKUP(E332,[1]EMPREENDIMENTO!C:C,[1]EMPREENDIMENTO!D:D),"")</f>
        <v>1204ebac-dc40-e911-810a-80c16e075108</v>
      </c>
    </row>
    <row r="333" spans="1:21" x14ac:dyDescent="0.35">
      <c r="A333" s="28" t="str">
        <f>IFERROR(_xlfn.XLOOKUP(C333,[1]DIRETORIA!C:C,[1]DIRETORIA!A:A),"-")</f>
        <v>DIR. COM E CRED SPI</v>
      </c>
      <c r="B333" s="28" t="str">
        <f>IFERROR(_xlfn.XLOOKUP(C333,[1]DIRETORIA!C:C,[1]DIRETORIA!B:B),"-")</f>
        <v>GST. COM OP 1</v>
      </c>
      <c r="C333" s="28" t="str">
        <f>IFERROR(_xlfn.XLOOKUP(E333,[1]EMPREENDIMENTO!C:C,[1]EMPREENDIMENTO!A:A),"-")</f>
        <v>SÃO JOSÉ DO RIO PRETO</v>
      </c>
      <c r="D333" s="28" t="s">
        <v>29</v>
      </c>
      <c r="E333" s="28" t="s">
        <v>628</v>
      </c>
      <c r="F333" s="28" t="s">
        <v>42</v>
      </c>
      <c r="G333" s="28" t="s">
        <v>629</v>
      </c>
      <c r="H333" s="28">
        <v>43673</v>
      </c>
      <c r="I333" s="29">
        <f>IFERROR(_xlfn.XLOOKUP(E333,[1]EMPREENDIMENTO!C:C,[1]EMPREENDIMENTO!E:E),"0")</f>
        <v>136</v>
      </c>
      <c r="J333" s="30">
        <v>46474</v>
      </c>
      <c r="K333" s="28" t="s">
        <v>33</v>
      </c>
      <c r="L333" s="31">
        <v>45902</v>
      </c>
      <c r="M333" s="32">
        <v>43424000</v>
      </c>
      <c r="N333" s="32">
        <v>45685600</v>
      </c>
      <c r="O333" s="32">
        <v>44999000</v>
      </c>
      <c r="P333" s="28" t="s">
        <v>34</v>
      </c>
      <c r="Q333" s="28" t="s">
        <v>630</v>
      </c>
      <c r="R333" s="30">
        <v>45922</v>
      </c>
      <c r="S333" s="30">
        <v>45902</v>
      </c>
      <c r="T333" s="33"/>
      <c r="U333" s="34" t="str">
        <f>IFERROR(_xlfn.XLOOKUP(E333,[1]EMPREENDIMENTO!C:C,[1]EMPREENDIMENTO!D:D),"")</f>
        <v>0d0c8001-eab5-ec11-a74f-005056890018</v>
      </c>
    </row>
    <row r="334" spans="1:21" x14ac:dyDescent="0.35">
      <c r="A334" s="28" t="str">
        <f>IFERROR(_xlfn.XLOOKUP(C334,[1]DIRETORIA!C:C,[1]DIRETORIA!A:A),"-")</f>
        <v>DIR. COM E CRED SPI</v>
      </c>
      <c r="B334" s="28" t="str">
        <f>IFERROR(_xlfn.XLOOKUP(C334,[1]DIRETORIA!C:C,[1]DIRETORIA!B:B),"-")</f>
        <v>GST. COM OP 1</v>
      </c>
      <c r="C334" s="28" t="str">
        <f>IFERROR(_xlfn.XLOOKUP(E334,[1]EMPREENDIMENTO!C:C,[1]EMPREENDIMENTO!A:A),"-")</f>
        <v>SÃO JOSÉ DO RIO PRETO</v>
      </c>
      <c r="D334" s="28" t="s">
        <v>29</v>
      </c>
      <c r="E334" s="28" t="s">
        <v>631</v>
      </c>
      <c r="F334" s="28" t="s">
        <v>42</v>
      </c>
      <c r="G334" s="28" t="s">
        <v>632</v>
      </c>
      <c r="H334" s="28">
        <v>36262</v>
      </c>
      <c r="I334" s="29">
        <f>IFERROR(_xlfn.XLOOKUP(E334,[1]EMPREENDIMENTO!C:C,[1]EMPREENDIMENTO!E:E),"0")</f>
        <v>150</v>
      </c>
      <c r="J334" s="30">
        <v>46691</v>
      </c>
      <c r="K334" s="28" t="s">
        <v>33</v>
      </c>
      <c r="L334" s="31">
        <v>45966</v>
      </c>
      <c r="M334" s="32">
        <v>47854000</v>
      </c>
      <c r="N334" s="32">
        <v>51500500</v>
      </c>
      <c r="O334" s="32">
        <v>45164000</v>
      </c>
      <c r="P334" s="28" t="s">
        <v>34</v>
      </c>
      <c r="Q334" s="28" t="s">
        <v>633</v>
      </c>
      <c r="R334" s="30">
        <v>45985</v>
      </c>
      <c r="S334" s="30">
        <v>45966</v>
      </c>
      <c r="T334" s="33"/>
      <c r="U334" s="34" t="str">
        <f>IFERROR(_xlfn.XLOOKUP(E334,[1]EMPREENDIMENTO!C:C,[1]EMPREENDIMENTO!D:D),"")</f>
        <v>ab010688-4d76-ed11-98d9-009c02b0cb58</v>
      </c>
    </row>
    <row r="335" spans="1:21" x14ac:dyDescent="0.35">
      <c r="A335" s="28" t="str">
        <f>IFERROR(_xlfn.XLOOKUP(C335,[1]DIRETORIA!C:C,[1]DIRETORIA!A:A),"-")</f>
        <v>DIR. COM E CRED SPI</v>
      </c>
      <c r="B335" s="28" t="str">
        <f>IFERROR(_xlfn.XLOOKUP(C335,[1]DIRETORIA!C:C,[1]DIRETORIA!B:B),"-")</f>
        <v>GST. COM OP 1</v>
      </c>
      <c r="C335" s="28" t="str">
        <f>IFERROR(_xlfn.XLOOKUP(E335,[1]EMPREENDIMENTO!C:C,[1]EMPREENDIMENTO!A:A),"-")</f>
        <v>SÃO JOSÉ DO RIO PRETO</v>
      </c>
      <c r="D335" s="28" t="s">
        <v>29</v>
      </c>
      <c r="E335" s="28" t="s">
        <v>634</v>
      </c>
      <c r="F335" s="28" t="s">
        <v>42</v>
      </c>
      <c r="G335" s="28" t="s">
        <v>635</v>
      </c>
      <c r="H335" s="28">
        <v>57973</v>
      </c>
      <c r="I335" s="29">
        <f>IFERROR(_xlfn.XLOOKUP(E335,[1]EMPREENDIMENTO!C:C,[1]EMPREENDIMENTO!E:E),"0")</f>
        <v>205</v>
      </c>
      <c r="J335" s="30">
        <v>46691</v>
      </c>
      <c r="K335" s="28" t="s">
        <v>33</v>
      </c>
      <c r="L335" s="31">
        <v>46087</v>
      </c>
      <c r="M335" s="32">
        <v>50661000</v>
      </c>
      <c r="N335" s="32">
        <v>54130000</v>
      </c>
      <c r="O335" s="32">
        <v>51478000</v>
      </c>
      <c r="P335" s="28" t="s">
        <v>34</v>
      </c>
      <c r="Q335" s="28" t="s">
        <v>636</v>
      </c>
      <c r="R335" s="30">
        <v>46114</v>
      </c>
      <c r="S335" s="30">
        <v>46090</v>
      </c>
      <c r="T335" s="33"/>
      <c r="U335" s="34" t="str">
        <f>IFERROR(_xlfn.XLOOKUP(E335,[1]EMPREENDIMENTO!C:C,[1]EMPREENDIMENTO!D:D),"")</f>
        <v>8e843533-4e76-ed11-98d9-009c02b0cb58</v>
      </c>
    </row>
    <row r="336" spans="1:21" x14ac:dyDescent="0.35">
      <c r="A336" s="28" t="str">
        <f>IFERROR(_xlfn.XLOOKUP(C336,[1]DIRETORIA!C:C,[1]DIRETORIA!A:A),"-")</f>
        <v>DIR. COM E CRED SPI CP</v>
      </c>
      <c r="B336" s="28" t="str">
        <f>IFERROR(_xlfn.XLOOKUP(C336,[1]DIRETORIA!C:C,[1]DIRETORIA!B:B),"-")</f>
        <v>GST. COM CP2</v>
      </c>
      <c r="C336" s="28" t="str">
        <f>IFERROR(_xlfn.XLOOKUP(E336,[1]EMPREENDIMENTO!C:C,[1]EMPREENDIMENTO!A:A),"-")</f>
        <v>SOROCABA</v>
      </c>
      <c r="D336" s="28" t="s">
        <v>29</v>
      </c>
      <c r="E336" s="28" t="s">
        <v>637</v>
      </c>
      <c r="F336" s="28" t="s">
        <v>42</v>
      </c>
      <c r="G336" s="28" t="s">
        <v>638</v>
      </c>
      <c r="H336" s="28">
        <v>37548</v>
      </c>
      <c r="I336" s="29">
        <f>IFERROR(_xlfn.XLOOKUP(E336,[1]EMPREENDIMENTO!C:C,[1]EMPREENDIMENTO!E:E),"0")</f>
        <v>192</v>
      </c>
      <c r="J336" s="30">
        <v>46804</v>
      </c>
      <c r="K336" s="28" t="s">
        <v>33</v>
      </c>
      <c r="L336" s="31">
        <v>46210</v>
      </c>
      <c r="M336" s="32">
        <v>56110200</v>
      </c>
      <c r="N336" s="32">
        <v>61086000</v>
      </c>
      <c r="O336" s="32">
        <v>60493200</v>
      </c>
      <c r="P336" s="28" t="s">
        <v>34</v>
      </c>
      <c r="Q336" s="28" t="s">
        <v>639</v>
      </c>
      <c r="R336" s="30">
        <v>46220</v>
      </c>
      <c r="S336" s="30">
        <v>46213</v>
      </c>
      <c r="T336" s="33"/>
      <c r="U336" s="34" t="str">
        <f>IFERROR(_xlfn.XLOOKUP(E336,[1]EMPREENDIMENTO!C:C,[1]EMPREENDIMENTO!D:D),"")</f>
        <v>2b9de49e-7604-ed11-ba45-005056890018</v>
      </c>
    </row>
    <row r="337" spans="1:21" hidden="1" x14ac:dyDescent="0.35">
      <c r="A337" s="28" t="str">
        <f>IFERROR(_xlfn.XLOOKUP(C337,[1]DIRETORIA!C:C,[1]DIRETORIA!A:A),"-")</f>
        <v>DIR. COM E CRED NE</v>
      </c>
      <c r="B337" s="28" t="str">
        <f>IFERROR(_xlfn.XLOOKUP(C337,[1]DIRETORIA!C:C,[1]DIRETORIA!B:B),"-")</f>
        <v>GST. COM NE 3 (SE+AL)</v>
      </c>
      <c r="C337" s="28" t="str">
        <f>IFERROR(_xlfn.XLOOKUP(E337,[1]EMPREENDIMENTO!C:C,[1]EMPREENDIMENTO!A:A),"-")</f>
        <v>MACEIÓ</v>
      </c>
      <c r="D337" s="28" t="s">
        <v>29</v>
      </c>
      <c r="E337" s="28" t="s">
        <v>640</v>
      </c>
      <c r="F337" s="28" t="s">
        <v>31</v>
      </c>
      <c r="G337" s="28" t="s">
        <v>641</v>
      </c>
      <c r="H337" s="28">
        <v>36554</v>
      </c>
      <c r="I337" s="29">
        <f>IFERROR(_xlfn.XLOOKUP(E337,[1]EMPREENDIMENTO!C:C,[1]EMPREENDIMENTO!E:E),"0")</f>
        <v>288</v>
      </c>
      <c r="J337" s="30">
        <v>46783</v>
      </c>
      <c r="K337" s="28" t="s">
        <v>33</v>
      </c>
      <c r="L337" s="31">
        <v>46170</v>
      </c>
      <c r="M337" s="32">
        <v>136862366</v>
      </c>
      <c r="N337" s="32">
        <v>161220692</v>
      </c>
      <c r="O337" s="32">
        <v>145641792</v>
      </c>
      <c r="P337" s="28" t="s">
        <v>34</v>
      </c>
      <c r="Q337" s="28" t="s">
        <v>642</v>
      </c>
      <c r="R337" s="30">
        <v>46169</v>
      </c>
      <c r="S337" s="30">
        <v>46170</v>
      </c>
      <c r="T337" s="33"/>
      <c r="U337" s="34" t="str">
        <f>IFERROR(_xlfn.XLOOKUP(E337,[1]EMPREENDIMENTO!C:C,[1]EMPREENDIMENTO!D:D),"")</f>
        <v>15f95f61-2f13-e411-8efb-009c02b0cb58</v>
      </c>
    </row>
    <row r="338" spans="1:21" hidden="1" x14ac:dyDescent="0.35">
      <c r="A338" s="28" t="str">
        <f>IFERROR(_xlfn.XLOOKUP(C338,[1]DIRETORIA!C:C,[1]DIRETORIA!A:A),"-")</f>
        <v>DIR. COM E CRED NE</v>
      </c>
      <c r="B338" s="28" t="str">
        <f>IFERROR(_xlfn.XLOOKUP(C338,[1]DIRETORIA!C:C,[1]DIRETORIA!B:B),"-")</f>
        <v>GST. COM NE 3 (SE+AL)</v>
      </c>
      <c r="C338" s="28" t="str">
        <f>IFERROR(_xlfn.XLOOKUP(E338,[1]EMPREENDIMENTO!C:C,[1]EMPREENDIMENTO!A:A),"-")</f>
        <v>MACEIÓ</v>
      </c>
      <c r="D338" s="28" t="s">
        <v>29</v>
      </c>
      <c r="E338" s="28" t="s">
        <v>640</v>
      </c>
      <c r="F338" s="28" t="s">
        <v>36</v>
      </c>
      <c r="G338" s="28" t="s">
        <v>643</v>
      </c>
      <c r="H338" s="28">
        <v>46148</v>
      </c>
      <c r="I338" s="29">
        <f>IFERROR(_xlfn.XLOOKUP(E338,[1]EMPREENDIMENTO!C:C,[1]EMPREENDIMENTO!E:E),"0")</f>
        <v>288</v>
      </c>
      <c r="J338" s="30">
        <v>46783</v>
      </c>
      <c r="K338" s="28" t="s">
        <v>33</v>
      </c>
      <c r="L338" s="31">
        <v>46170</v>
      </c>
      <c r="M338" s="32">
        <v>136862366</v>
      </c>
      <c r="N338" s="32">
        <v>161220692</v>
      </c>
      <c r="O338" s="32">
        <v>145641792</v>
      </c>
      <c r="P338" s="28" t="s">
        <v>34</v>
      </c>
      <c r="Q338" s="28" t="s">
        <v>642</v>
      </c>
      <c r="R338" s="30">
        <v>46169</v>
      </c>
      <c r="S338" s="30">
        <v>46170</v>
      </c>
      <c r="T338" s="33"/>
      <c r="U338" s="34" t="str">
        <f>IFERROR(_xlfn.XLOOKUP(E338,[1]EMPREENDIMENTO!C:C,[1]EMPREENDIMENTO!D:D),"")</f>
        <v>15f95f61-2f13-e411-8efb-009c02b0cb58</v>
      </c>
    </row>
    <row r="339" spans="1:21" hidden="1" x14ac:dyDescent="0.35">
      <c r="A339" s="28" t="str">
        <f>IFERROR(_xlfn.XLOOKUP(C339,[1]DIRETORIA!C:C,[1]DIRETORIA!A:A),"-")</f>
        <v>DIR. COM E CRED NE</v>
      </c>
      <c r="B339" s="28" t="str">
        <f>IFERROR(_xlfn.XLOOKUP(C339,[1]DIRETORIA!C:C,[1]DIRETORIA!B:B),"-")</f>
        <v>GST. COM NE 3 (SE+AL)</v>
      </c>
      <c r="C339" s="28" t="str">
        <f>IFERROR(_xlfn.XLOOKUP(E339,[1]EMPREENDIMENTO!C:C,[1]EMPREENDIMENTO!A:A),"-")</f>
        <v>MACEIÓ</v>
      </c>
      <c r="D339" s="28" t="s">
        <v>29</v>
      </c>
      <c r="E339" s="28" t="s">
        <v>640</v>
      </c>
      <c r="F339" s="28" t="s">
        <v>39</v>
      </c>
      <c r="G339" s="28" t="s">
        <v>644</v>
      </c>
      <c r="H339" s="28">
        <v>53422</v>
      </c>
      <c r="I339" s="29">
        <f>IFERROR(_xlfn.XLOOKUP(E339,[1]EMPREENDIMENTO!C:C,[1]EMPREENDIMENTO!E:E),"0")</f>
        <v>288</v>
      </c>
      <c r="J339" s="30">
        <v>46783</v>
      </c>
      <c r="K339" s="28" t="s">
        <v>33</v>
      </c>
      <c r="L339" s="31">
        <v>46170</v>
      </c>
      <c r="M339" s="32">
        <v>136862366</v>
      </c>
      <c r="N339" s="32">
        <v>161220692</v>
      </c>
      <c r="O339" s="32">
        <v>145641792</v>
      </c>
      <c r="P339" s="28" t="s">
        <v>34</v>
      </c>
      <c r="Q339" s="28" t="s">
        <v>642</v>
      </c>
      <c r="R339" s="30">
        <v>46169</v>
      </c>
      <c r="S339" s="30">
        <v>46170</v>
      </c>
      <c r="T339" s="33"/>
      <c r="U339" s="34" t="str">
        <f>IFERROR(_xlfn.XLOOKUP(E339,[1]EMPREENDIMENTO!C:C,[1]EMPREENDIMENTO!D:D),"")</f>
        <v>15f95f61-2f13-e411-8efb-009c02b0cb58</v>
      </c>
    </row>
    <row r="340" spans="1:21" hidden="1" x14ac:dyDescent="0.35">
      <c r="A340" s="28" t="str">
        <f>IFERROR(_xlfn.XLOOKUP(C340,[1]DIRETORIA!C:C,[1]DIRETORIA!A:A),"-")</f>
        <v>DIR. COM E CRED NE</v>
      </c>
      <c r="B340" s="28" t="str">
        <f>IFERROR(_xlfn.XLOOKUP(C340,[1]DIRETORIA!C:C,[1]DIRETORIA!B:B),"-")</f>
        <v>GST. COM NE4 (CE)</v>
      </c>
      <c r="C340" s="28" t="str">
        <f>IFERROR(_xlfn.XLOOKUP(E340,[1]EMPREENDIMENTO!C:C,[1]EMPREENDIMENTO!A:A),"-")</f>
        <v>FORTALEZA</v>
      </c>
      <c r="D340" s="28" t="s">
        <v>29</v>
      </c>
      <c r="E340" s="28" t="s">
        <v>645</v>
      </c>
      <c r="F340" s="28" t="s">
        <v>31</v>
      </c>
      <c r="G340" s="28" t="s">
        <v>646</v>
      </c>
      <c r="H340" s="28">
        <v>34918</v>
      </c>
      <c r="I340" s="29">
        <f>IFERROR(_xlfn.XLOOKUP(E340,[1]EMPREENDIMENTO!C:C,[1]EMPREENDIMENTO!E:E),"0")</f>
        <v>384</v>
      </c>
      <c r="J340" s="30">
        <v>46615</v>
      </c>
      <c r="K340" s="28" t="s">
        <v>33</v>
      </c>
      <c r="L340" s="31">
        <v>46147</v>
      </c>
      <c r="M340" s="32">
        <v>119273770</v>
      </c>
      <c r="N340" s="32"/>
      <c r="O340" s="32"/>
      <c r="P340" s="28" t="s">
        <v>5</v>
      </c>
      <c r="Q340" s="28"/>
      <c r="R340" s="30"/>
      <c r="S340" s="30"/>
      <c r="T340" s="33"/>
      <c r="U340" s="34" t="str">
        <f>IFERROR(_xlfn.XLOOKUP(E340,[1]EMPREENDIMENTO!C:C,[1]EMPREENDIMENTO!D:D),"")</f>
        <v>56354365-3054-eb11-85d0-005056856875</v>
      </c>
    </row>
    <row r="341" spans="1:21" hidden="1" x14ac:dyDescent="0.35">
      <c r="A341" s="28" t="str">
        <f>IFERROR(_xlfn.XLOOKUP(C341,[1]DIRETORIA!C:C,[1]DIRETORIA!A:A),"-")</f>
        <v>DIR. COM E CRED NE</v>
      </c>
      <c r="B341" s="28" t="str">
        <f>IFERROR(_xlfn.XLOOKUP(C341,[1]DIRETORIA!C:C,[1]DIRETORIA!B:B),"-")</f>
        <v>GST. COM NE4 (CE)</v>
      </c>
      <c r="C341" s="28" t="str">
        <f>IFERROR(_xlfn.XLOOKUP(E341,[1]EMPREENDIMENTO!C:C,[1]EMPREENDIMENTO!A:A),"-")</f>
        <v>FORTALEZA</v>
      </c>
      <c r="D341" s="28" t="s">
        <v>29</v>
      </c>
      <c r="E341" s="28" t="s">
        <v>645</v>
      </c>
      <c r="F341" s="28" t="s">
        <v>36</v>
      </c>
      <c r="G341" s="28" t="s">
        <v>647</v>
      </c>
      <c r="H341" s="28">
        <v>46050</v>
      </c>
      <c r="I341" s="29">
        <f>IFERROR(_xlfn.XLOOKUP(E341,[1]EMPREENDIMENTO!C:C,[1]EMPREENDIMENTO!E:E),"0")</f>
        <v>384</v>
      </c>
      <c r="J341" s="30">
        <v>46615</v>
      </c>
      <c r="K341" s="28" t="s">
        <v>33</v>
      </c>
      <c r="L341" s="31">
        <v>46147</v>
      </c>
      <c r="M341" s="32">
        <v>119273770</v>
      </c>
      <c r="N341" s="32"/>
      <c r="O341" s="32"/>
      <c r="P341" s="28" t="s">
        <v>5</v>
      </c>
      <c r="Q341" s="28"/>
      <c r="R341" s="30"/>
      <c r="S341" s="30"/>
      <c r="T341" s="33"/>
      <c r="U341" s="34" t="str">
        <f>IFERROR(_xlfn.XLOOKUP(E341,[1]EMPREENDIMENTO!C:C,[1]EMPREENDIMENTO!D:D),"")</f>
        <v>56354365-3054-eb11-85d0-005056856875</v>
      </c>
    </row>
    <row r="342" spans="1:21" hidden="1" x14ac:dyDescent="0.35">
      <c r="A342" s="28" t="str">
        <f>IFERROR(_xlfn.XLOOKUP(C342,[1]DIRETORIA!C:C,[1]DIRETORIA!A:A),"-")</f>
        <v>DIR. COM E CRED SUL</v>
      </c>
      <c r="B342" s="28" t="str">
        <f>IFERROR(_xlfn.XLOOKUP(C342,[1]DIRETORIA!C:C,[1]DIRETORIA!B:B),"-")</f>
        <v>GST. COM RS SUL</v>
      </c>
      <c r="C342" s="28" t="str">
        <f>IFERROR(_xlfn.XLOOKUP(E342,[1]EMPREENDIMENTO!C:C,[1]EMPREENDIMENTO!A:A),"-")</f>
        <v>PORTO ALEGRE</v>
      </c>
      <c r="D342" s="28" t="s">
        <v>29</v>
      </c>
      <c r="E342" s="28" t="s">
        <v>648</v>
      </c>
      <c r="F342" s="28" t="s">
        <v>31</v>
      </c>
      <c r="G342" s="28" t="s">
        <v>649</v>
      </c>
      <c r="H342" s="28">
        <v>35604</v>
      </c>
      <c r="I342" s="29">
        <f>IFERROR(_xlfn.XLOOKUP(E342,[1]EMPREENDIMENTO!C:C,[1]EMPREENDIMENTO!E:E),"0")</f>
        <v>480</v>
      </c>
      <c r="J342" s="30">
        <v>46776</v>
      </c>
      <c r="K342" s="28" t="s">
        <v>33</v>
      </c>
      <c r="L342" s="31">
        <v>45757</v>
      </c>
      <c r="M342" s="32">
        <v>119962000</v>
      </c>
      <c r="N342" s="32">
        <v>128048500</v>
      </c>
      <c r="O342" s="32">
        <v>125425000</v>
      </c>
      <c r="P342" s="28" t="s">
        <v>34</v>
      </c>
      <c r="Q342" s="28" t="s">
        <v>650</v>
      </c>
      <c r="R342" s="30">
        <v>45779</v>
      </c>
      <c r="S342" s="30">
        <v>45757</v>
      </c>
      <c r="T342" s="33"/>
      <c r="U342" s="34" t="str">
        <f>IFERROR(_xlfn.XLOOKUP(E342,[1]EMPREENDIMENTO!C:C,[1]EMPREENDIMENTO!D:D),"")</f>
        <v>0a1ee851-e99b-ec11-b501-005056856b6c</v>
      </c>
    </row>
    <row r="343" spans="1:21" hidden="1" x14ac:dyDescent="0.35">
      <c r="A343" s="28" t="str">
        <f>IFERROR(_xlfn.XLOOKUP(C343,[1]DIRETORIA!C:C,[1]DIRETORIA!A:A),"-")</f>
        <v>DIR. COM E CRED SUL</v>
      </c>
      <c r="B343" s="28" t="str">
        <f>IFERROR(_xlfn.XLOOKUP(C343,[1]DIRETORIA!C:C,[1]DIRETORIA!B:B),"-")</f>
        <v>GST. COM RS SUL</v>
      </c>
      <c r="C343" s="28" t="str">
        <f>IFERROR(_xlfn.XLOOKUP(E343,[1]EMPREENDIMENTO!C:C,[1]EMPREENDIMENTO!A:A),"-")</f>
        <v>PORTO ALEGRE</v>
      </c>
      <c r="D343" s="28" t="s">
        <v>29</v>
      </c>
      <c r="E343" s="28" t="s">
        <v>648</v>
      </c>
      <c r="F343" s="28" t="s">
        <v>36</v>
      </c>
      <c r="G343" s="28" t="s">
        <v>651</v>
      </c>
      <c r="H343" s="28">
        <v>40202</v>
      </c>
      <c r="I343" s="29">
        <f>IFERROR(_xlfn.XLOOKUP(E343,[1]EMPREENDIMENTO!C:C,[1]EMPREENDIMENTO!E:E),"0")</f>
        <v>480</v>
      </c>
      <c r="J343" s="30">
        <v>46776</v>
      </c>
      <c r="K343" s="28" t="s">
        <v>33</v>
      </c>
      <c r="L343" s="31">
        <v>45757</v>
      </c>
      <c r="M343" s="32">
        <v>119962000</v>
      </c>
      <c r="N343" s="32">
        <v>128048500</v>
      </c>
      <c r="O343" s="32">
        <v>125425000</v>
      </c>
      <c r="P343" s="28" t="s">
        <v>34</v>
      </c>
      <c r="Q343" s="28" t="s">
        <v>650</v>
      </c>
      <c r="R343" s="30">
        <v>45779</v>
      </c>
      <c r="S343" s="30">
        <v>45757</v>
      </c>
      <c r="T343" s="33"/>
      <c r="U343" s="34" t="str">
        <f>IFERROR(_xlfn.XLOOKUP(E343,[1]EMPREENDIMENTO!C:C,[1]EMPREENDIMENTO!D:D),"")</f>
        <v>0a1ee851-e99b-ec11-b501-005056856b6c</v>
      </c>
    </row>
    <row r="344" spans="1:21" hidden="1" x14ac:dyDescent="0.35">
      <c r="A344" s="28" t="str">
        <f>IFERROR(_xlfn.XLOOKUP(C344,[1]DIRETORIA!C:C,[1]DIRETORIA!A:A),"-")</f>
        <v>DIR. COM E CRED SUL</v>
      </c>
      <c r="B344" s="28" t="str">
        <f>IFERROR(_xlfn.XLOOKUP(C344,[1]DIRETORIA!C:C,[1]DIRETORIA!B:B),"-")</f>
        <v>GST. COM RS SUL</v>
      </c>
      <c r="C344" s="28" t="str">
        <f>IFERROR(_xlfn.XLOOKUP(E344,[1]EMPREENDIMENTO!C:C,[1]EMPREENDIMENTO!A:A),"-")</f>
        <v>PORTO ALEGRE</v>
      </c>
      <c r="D344" s="28" t="s">
        <v>29</v>
      </c>
      <c r="E344" s="28" t="s">
        <v>648</v>
      </c>
      <c r="F344" s="28" t="s">
        <v>39</v>
      </c>
      <c r="G344" s="28" t="s">
        <v>652</v>
      </c>
      <c r="H344" s="28">
        <v>41833</v>
      </c>
      <c r="I344" s="29">
        <f>IFERROR(_xlfn.XLOOKUP(E344,[1]EMPREENDIMENTO!C:C,[1]EMPREENDIMENTO!E:E),"0")</f>
        <v>480</v>
      </c>
      <c r="J344" s="30">
        <v>46776</v>
      </c>
      <c r="K344" s="28" t="s">
        <v>33</v>
      </c>
      <c r="L344" s="31">
        <v>45757</v>
      </c>
      <c r="M344" s="32">
        <v>119962000</v>
      </c>
      <c r="N344" s="32">
        <v>128048500</v>
      </c>
      <c r="O344" s="32">
        <v>125425000</v>
      </c>
      <c r="P344" s="28" t="s">
        <v>34</v>
      </c>
      <c r="Q344" s="28" t="s">
        <v>650</v>
      </c>
      <c r="R344" s="30">
        <v>45779</v>
      </c>
      <c r="S344" s="30">
        <v>45757</v>
      </c>
      <c r="T344" s="33"/>
      <c r="U344" s="34" t="str">
        <f>IFERROR(_xlfn.XLOOKUP(E344,[1]EMPREENDIMENTO!C:C,[1]EMPREENDIMENTO!D:D),"")</f>
        <v>0a1ee851-e99b-ec11-b501-005056856b6c</v>
      </c>
    </row>
    <row r="345" spans="1:21" hidden="1" x14ac:dyDescent="0.35">
      <c r="A345" s="28" t="str">
        <f>IFERROR(_xlfn.XLOOKUP(C345,[1]DIRETORIA!C:C,[1]DIRETORIA!A:A),"-")</f>
        <v>DIR. COM E CRED SUL</v>
      </c>
      <c r="B345" s="28" t="str">
        <f>IFERROR(_xlfn.XLOOKUP(C345,[1]DIRETORIA!C:C,[1]DIRETORIA!B:B),"-")</f>
        <v>GST. COM RS SUL</v>
      </c>
      <c r="C345" s="28" t="str">
        <f>IFERROR(_xlfn.XLOOKUP(E345,[1]EMPREENDIMENTO!C:C,[1]EMPREENDIMENTO!A:A),"-")</f>
        <v>PORTO ALEGRE</v>
      </c>
      <c r="D345" s="28" t="s">
        <v>29</v>
      </c>
      <c r="E345" s="28" t="s">
        <v>648</v>
      </c>
      <c r="F345" s="28" t="s">
        <v>50</v>
      </c>
      <c r="G345" s="28" t="s">
        <v>653</v>
      </c>
      <c r="H345" s="28">
        <v>41832</v>
      </c>
      <c r="I345" s="29">
        <f>IFERROR(_xlfn.XLOOKUP(E345,[1]EMPREENDIMENTO!C:C,[1]EMPREENDIMENTO!E:E),"0")</f>
        <v>480</v>
      </c>
      <c r="J345" s="30">
        <v>46776</v>
      </c>
      <c r="K345" s="28" t="s">
        <v>33</v>
      </c>
      <c r="L345" s="31">
        <v>45757</v>
      </c>
      <c r="M345" s="32">
        <v>119962000</v>
      </c>
      <c r="N345" s="32">
        <v>128048500</v>
      </c>
      <c r="O345" s="32">
        <v>125425000</v>
      </c>
      <c r="P345" s="28" t="s">
        <v>34</v>
      </c>
      <c r="Q345" s="28" t="s">
        <v>650</v>
      </c>
      <c r="R345" s="30">
        <v>45779</v>
      </c>
      <c r="S345" s="30">
        <v>45757</v>
      </c>
      <c r="T345" s="33"/>
      <c r="U345" s="34" t="str">
        <f>IFERROR(_xlfn.XLOOKUP(E345,[1]EMPREENDIMENTO!C:C,[1]EMPREENDIMENTO!D:D),"")</f>
        <v>0a1ee851-e99b-ec11-b501-005056856b6c</v>
      </c>
    </row>
    <row r="346" spans="1:21" hidden="1" x14ac:dyDescent="0.35">
      <c r="A346" s="28" t="str">
        <f>IFERROR(_xlfn.XLOOKUP(C346,[1]DIRETORIA!C:C,[1]DIRETORIA!A:A),"-")</f>
        <v>DIR. COM E CRED NE</v>
      </c>
      <c r="B346" s="28" t="str">
        <f>IFERROR(_xlfn.XLOOKUP(C346,[1]DIRETORIA!C:C,[1]DIRETORIA!B:B),"-")</f>
        <v>GST. COM NE1 (BA 1)</v>
      </c>
      <c r="C346" s="28" t="str">
        <f>IFERROR(_xlfn.XLOOKUP(E346,[1]EMPREENDIMENTO!C:C,[1]EMPREENDIMENTO!A:A),"-")</f>
        <v>SALVADOR</v>
      </c>
      <c r="D346" s="28" t="s">
        <v>29</v>
      </c>
      <c r="E346" s="28" t="s">
        <v>654</v>
      </c>
      <c r="F346" s="28" t="s">
        <v>42</v>
      </c>
      <c r="G346" s="28" t="s">
        <v>655</v>
      </c>
      <c r="H346" s="28">
        <v>37263</v>
      </c>
      <c r="I346" s="29">
        <f>IFERROR(_xlfn.XLOOKUP(E346,[1]EMPREENDIMENTO!C:C,[1]EMPREENDIMENTO!E:E),"0")</f>
        <v>480</v>
      </c>
      <c r="J346" s="30">
        <v>46140</v>
      </c>
      <c r="K346" s="28" t="s">
        <v>148</v>
      </c>
      <c r="L346" s="31">
        <v>46212</v>
      </c>
      <c r="M346" s="32">
        <v>113164400</v>
      </c>
      <c r="N346" s="32">
        <v>139606502</v>
      </c>
      <c r="O346" s="32">
        <v>139327875</v>
      </c>
      <c r="P346" s="28" t="s">
        <v>34</v>
      </c>
      <c r="Q346" s="28" t="s">
        <v>656</v>
      </c>
      <c r="R346" s="30">
        <v>46213</v>
      </c>
      <c r="S346" s="30">
        <v>46216</v>
      </c>
      <c r="T346" s="33"/>
      <c r="U346" s="34" t="str">
        <f>IFERROR(_xlfn.XLOOKUP(E346,[1]EMPREENDIMENTO!C:C,[1]EMPREENDIMENTO!D:D),"")</f>
        <v>df91df71-690c-e611-a5bb-009c02b0cb58</v>
      </c>
    </row>
    <row r="347" spans="1:21" hidden="1" x14ac:dyDescent="0.35">
      <c r="A347" s="28" t="str">
        <f>IFERROR(_xlfn.XLOOKUP(C347,[1]DIRETORIA!C:C,[1]DIRETORIA!A:A),"-")</f>
        <v>DIR. COM E CRED SUL</v>
      </c>
      <c r="B347" s="28" t="str">
        <f>IFERROR(_xlfn.XLOOKUP(C347,[1]DIRETORIA!C:C,[1]DIRETORIA!B:B),"-")</f>
        <v>GST. COM CURITIBA</v>
      </c>
      <c r="C347" s="28" t="str">
        <f>IFERROR(_xlfn.XLOOKUP(E347,[1]EMPREENDIMENTO!C:C,[1]EMPREENDIMENTO!A:A),"-")</f>
        <v>CURITIBA</v>
      </c>
      <c r="D347" s="28" t="s">
        <v>29</v>
      </c>
      <c r="E347" s="28" t="s">
        <v>657</v>
      </c>
      <c r="F347" s="28" t="s">
        <v>31</v>
      </c>
      <c r="G347" s="28" t="s">
        <v>658</v>
      </c>
      <c r="H347" s="28">
        <v>27766</v>
      </c>
      <c r="I347" s="29">
        <f>IFERROR(_xlfn.XLOOKUP(E347,[1]EMPREENDIMENTO!C:C,[1]EMPREENDIMENTO!E:E),"0")</f>
        <v>192</v>
      </c>
      <c r="J347" s="30">
        <v>45632</v>
      </c>
      <c r="K347" s="28" t="s">
        <v>33</v>
      </c>
      <c r="L347" s="31">
        <v>45013</v>
      </c>
      <c r="M347" s="32">
        <v>35140000</v>
      </c>
      <c r="N347" s="32">
        <v>44012860</v>
      </c>
      <c r="O347" s="32">
        <v>44012860</v>
      </c>
      <c r="P347" s="28" t="s">
        <v>34</v>
      </c>
      <c r="Q347" s="28" t="s">
        <v>659</v>
      </c>
      <c r="R347" s="30">
        <v>45016</v>
      </c>
      <c r="S347" s="30">
        <v>45013</v>
      </c>
      <c r="T347" s="33"/>
      <c r="U347" s="34" t="str">
        <f>IFERROR(_xlfn.XLOOKUP(E347,[1]EMPREENDIMENTO!C:C,[1]EMPREENDIMENTO!D:D),"")</f>
        <v>6395d314-556f-ea11-8b90-0050568aa20f</v>
      </c>
    </row>
    <row r="348" spans="1:21" hidden="1" x14ac:dyDescent="0.35">
      <c r="A348" s="28" t="str">
        <f>IFERROR(_xlfn.XLOOKUP(C348,[1]DIRETORIA!C:C,[1]DIRETORIA!A:A),"-")</f>
        <v>DIR. COM E CRED SUL</v>
      </c>
      <c r="B348" s="28" t="str">
        <f>IFERROR(_xlfn.XLOOKUP(C348,[1]DIRETORIA!C:C,[1]DIRETORIA!B:B),"-")</f>
        <v>GST. COM CURITIBA</v>
      </c>
      <c r="C348" s="28" t="str">
        <f>IFERROR(_xlfn.XLOOKUP(E348,[1]EMPREENDIMENTO!C:C,[1]EMPREENDIMENTO!A:A),"-")</f>
        <v>CURITIBA</v>
      </c>
      <c r="D348" s="28" t="s">
        <v>29</v>
      </c>
      <c r="E348" s="28" t="s">
        <v>657</v>
      </c>
      <c r="F348" s="28" t="s">
        <v>36</v>
      </c>
      <c r="G348" s="28" t="s">
        <v>660</v>
      </c>
      <c r="H348" s="28">
        <v>33792</v>
      </c>
      <c r="I348" s="29">
        <f>IFERROR(_xlfn.XLOOKUP(E348,[1]EMPREENDIMENTO!C:C,[1]EMPREENDIMENTO!E:E),"0")</f>
        <v>192</v>
      </c>
      <c r="J348" s="30">
        <v>45632</v>
      </c>
      <c r="K348" s="28" t="s">
        <v>33</v>
      </c>
      <c r="L348" s="31">
        <v>45013</v>
      </c>
      <c r="M348" s="32">
        <v>35140000</v>
      </c>
      <c r="N348" s="32">
        <v>44012860</v>
      </c>
      <c r="O348" s="32">
        <v>44012860</v>
      </c>
      <c r="P348" s="28" t="s">
        <v>34</v>
      </c>
      <c r="Q348" s="28" t="s">
        <v>659</v>
      </c>
      <c r="R348" s="30">
        <v>45016</v>
      </c>
      <c r="S348" s="30">
        <v>45013</v>
      </c>
      <c r="T348" s="33"/>
      <c r="U348" s="34" t="str">
        <f>IFERROR(_xlfn.XLOOKUP(E348,[1]EMPREENDIMENTO!C:C,[1]EMPREENDIMENTO!D:D),"")</f>
        <v>6395d314-556f-ea11-8b90-0050568aa20f</v>
      </c>
    </row>
    <row r="349" spans="1:21" hidden="1" x14ac:dyDescent="0.35">
      <c r="A349" s="28" t="str">
        <f>IFERROR(_xlfn.XLOOKUP(C349,[1]DIRETORIA!C:C,[1]DIRETORIA!A:A),"-")</f>
        <v>DIR. COM E CRED SUL</v>
      </c>
      <c r="B349" s="28" t="str">
        <f>IFERROR(_xlfn.XLOOKUP(C349,[1]DIRETORIA!C:C,[1]DIRETORIA!B:B),"-")</f>
        <v>GST. COM LONDRINA</v>
      </c>
      <c r="C349" s="28" t="str">
        <f>IFERROR(_xlfn.XLOOKUP(E349,[1]EMPREENDIMENTO!C:C,[1]EMPREENDIMENTO!A:A),"-")</f>
        <v>LONDRINA</v>
      </c>
      <c r="D349" s="28" t="s">
        <v>85</v>
      </c>
      <c r="E349" s="28" t="s">
        <v>661</v>
      </c>
      <c r="F349" s="28" t="s">
        <v>42</v>
      </c>
      <c r="G349" s="28" t="s">
        <v>662</v>
      </c>
      <c r="H349" s="28">
        <v>36013</v>
      </c>
      <c r="I349" s="29">
        <f>IFERROR(_xlfn.XLOOKUP(E349,[1]EMPREENDIMENTO!C:C,[1]EMPREENDIMENTO!E:E),"0")</f>
        <v>256</v>
      </c>
      <c r="J349" s="30">
        <v>46203</v>
      </c>
      <c r="K349" s="28" t="s">
        <v>33</v>
      </c>
      <c r="L349" s="31">
        <v>45868</v>
      </c>
      <c r="M349" s="32">
        <v>127015320</v>
      </c>
      <c r="N349" s="32">
        <v>139716852</v>
      </c>
      <c r="O349" s="32">
        <v>132403000</v>
      </c>
      <c r="P349" s="28" t="s">
        <v>34</v>
      </c>
      <c r="Q349" s="28" t="s">
        <v>663</v>
      </c>
      <c r="R349" s="30">
        <v>45891</v>
      </c>
      <c r="S349" s="30">
        <v>45869</v>
      </c>
      <c r="T349" s="33"/>
      <c r="U349" s="34" t="str">
        <f>IFERROR(_xlfn.XLOOKUP(E349,[1]EMPREENDIMENTO!C:C,[1]EMPREENDIMENTO!D:D),"")</f>
        <v>5b9c51dd-2717-ec11-a30e-0050568a2e98</v>
      </c>
    </row>
    <row r="350" spans="1:21" hidden="1" x14ac:dyDescent="0.35">
      <c r="A350" s="28" t="str">
        <f>IFERROR(_xlfn.XLOOKUP(C350,[1]DIRETORIA!C:C,[1]DIRETORIA!A:A),"-")</f>
        <v>DIR. COM E CRED NE</v>
      </c>
      <c r="B350" s="28" t="str">
        <f>IFERROR(_xlfn.XLOOKUP(C350,[1]DIRETORIA!C:C,[1]DIRETORIA!B:B),"-")</f>
        <v>GST. COM NE4 (CE)</v>
      </c>
      <c r="C350" s="28" t="str">
        <f>IFERROR(_xlfn.XLOOKUP(E350,[1]EMPREENDIMENTO!C:C,[1]EMPREENDIMENTO!A:A),"-")</f>
        <v>FORTALEZA</v>
      </c>
      <c r="D350" s="28" t="s">
        <v>29</v>
      </c>
      <c r="E350" s="28" t="s">
        <v>664</v>
      </c>
      <c r="F350" s="28" t="s">
        <v>42</v>
      </c>
      <c r="G350" s="28" t="s">
        <v>665</v>
      </c>
      <c r="H350" s="28">
        <v>37549</v>
      </c>
      <c r="I350" s="29">
        <f>IFERROR(_xlfn.XLOOKUP(E350,[1]EMPREENDIMENTO!C:C,[1]EMPREENDIMENTO!E:E),"0")</f>
        <v>200</v>
      </c>
      <c r="J350" s="30">
        <v>46203</v>
      </c>
      <c r="K350" s="28" t="s">
        <v>33</v>
      </c>
      <c r="L350" s="31">
        <v>45391</v>
      </c>
      <c r="M350" s="32">
        <v>39613900</v>
      </c>
      <c r="N350" s="32">
        <v>43843000</v>
      </c>
      <c r="O350" s="32">
        <v>42142200</v>
      </c>
      <c r="P350" s="28" t="s">
        <v>34</v>
      </c>
      <c r="Q350" s="28" t="s">
        <v>666</v>
      </c>
      <c r="R350" s="30">
        <v>45563</v>
      </c>
      <c r="S350" s="30"/>
      <c r="T350" s="33"/>
      <c r="U350" s="34" t="str">
        <f>IFERROR(_xlfn.XLOOKUP(E350,[1]EMPREENDIMENTO!C:C,[1]EMPREENDIMENTO!D:D),"")</f>
        <v>6c4c8a68-e118-ed11-ba45-005056890018</v>
      </c>
    </row>
    <row r="351" spans="1:21" hidden="1" x14ac:dyDescent="0.35">
      <c r="A351" s="28" t="str">
        <f>IFERROR(_xlfn.XLOOKUP(C351,[1]DIRETORIA!C:C,[1]DIRETORIA!A:A),"-")</f>
        <v>DIR. COM E CRED MG E ES</v>
      </c>
      <c r="B351" s="28" t="str">
        <f>IFERROR(_xlfn.XLOOKUP(C351,[1]DIRETORIA!C:C,[1]DIRETORIA!B:B),"-")</f>
        <v>GST. COM TM</v>
      </c>
      <c r="C351" s="28" t="str">
        <f>IFERROR(_xlfn.XLOOKUP(E351,[1]EMPREENDIMENTO!C:C,[1]EMPREENDIMENTO!A:A),"-")</f>
        <v>UBERABA</v>
      </c>
      <c r="D351" s="28" t="s">
        <v>29</v>
      </c>
      <c r="E351" s="28" t="s">
        <v>667</v>
      </c>
      <c r="F351" s="28" t="s">
        <v>31</v>
      </c>
      <c r="G351" s="28" t="s">
        <v>668</v>
      </c>
      <c r="H351" s="28">
        <v>3871</v>
      </c>
      <c r="I351" s="29">
        <f>IFERROR(_xlfn.XLOOKUP(E351,[1]EMPREENDIMENTO!C:C,[1]EMPREENDIMENTO!E:E),"0")</f>
        <v>404</v>
      </c>
      <c r="J351" s="30"/>
      <c r="K351" s="28" t="s">
        <v>33</v>
      </c>
      <c r="L351" s="31">
        <v>46189</v>
      </c>
      <c r="M351" s="32">
        <v>90679000</v>
      </c>
      <c r="N351" s="32">
        <v>96184015</v>
      </c>
      <c r="O351" s="32">
        <v>92516800</v>
      </c>
      <c r="P351" s="28" t="s">
        <v>34</v>
      </c>
      <c r="Q351" s="28" t="s">
        <v>669</v>
      </c>
      <c r="R351" s="30">
        <v>46191</v>
      </c>
      <c r="S351" s="30">
        <v>46189</v>
      </c>
      <c r="T351" s="33"/>
      <c r="U351" s="34" t="str">
        <f>IFERROR(_xlfn.XLOOKUP(E351,[1]EMPREENDIMENTO!C:C,[1]EMPREENDIMENTO!D:D),"")</f>
        <v>cab5abae-d962-e111-85aa-001b78b9d994</v>
      </c>
    </row>
    <row r="352" spans="1:21" hidden="1" x14ac:dyDescent="0.35">
      <c r="A352" s="28" t="str">
        <f>IFERROR(_xlfn.XLOOKUP(C352,[1]DIRETORIA!C:C,[1]DIRETORIA!A:A),"-")</f>
        <v>DIR. COM E CRED MG E ES</v>
      </c>
      <c r="B352" s="28" t="str">
        <f>IFERROR(_xlfn.XLOOKUP(C352,[1]DIRETORIA!C:C,[1]DIRETORIA!B:B),"-")</f>
        <v>GST. COM TM</v>
      </c>
      <c r="C352" s="28" t="str">
        <f>IFERROR(_xlfn.XLOOKUP(E352,[1]EMPREENDIMENTO!C:C,[1]EMPREENDIMENTO!A:A),"-")</f>
        <v>UBERABA</v>
      </c>
      <c r="D352" s="28" t="s">
        <v>29</v>
      </c>
      <c r="E352" s="28" t="s">
        <v>667</v>
      </c>
      <c r="F352" s="28" t="s">
        <v>36</v>
      </c>
      <c r="G352" s="28" t="s">
        <v>670</v>
      </c>
      <c r="H352" s="28">
        <v>43608</v>
      </c>
      <c r="I352" s="29">
        <f>IFERROR(_xlfn.XLOOKUP(E352,[1]EMPREENDIMENTO!C:C,[1]EMPREENDIMENTO!E:E),"0")</f>
        <v>404</v>
      </c>
      <c r="J352" s="30"/>
      <c r="K352" s="28" t="s">
        <v>33</v>
      </c>
      <c r="L352" s="31">
        <v>46189</v>
      </c>
      <c r="M352" s="32">
        <v>90679000</v>
      </c>
      <c r="N352" s="32">
        <v>96184015</v>
      </c>
      <c r="O352" s="32">
        <v>92516800</v>
      </c>
      <c r="P352" s="28" t="s">
        <v>34</v>
      </c>
      <c r="Q352" s="28" t="s">
        <v>669</v>
      </c>
      <c r="R352" s="30">
        <v>46191</v>
      </c>
      <c r="S352" s="30">
        <v>46189</v>
      </c>
      <c r="T352" s="33"/>
      <c r="U352" s="34" t="str">
        <f>IFERROR(_xlfn.XLOOKUP(E352,[1]EMPREENDIMENTO!C:C,[1]EMPREENDIMENTO!D:D),"")</f>
        <v>cab5abae-d962-e111-85aa-001b78b9d994</v>
      </c>
    </row>
    <row r="353" spans="1:21" hidden="1" x14ac:dyDescent="0.35">
      <c r="A353" s="28" t="str">
        <f>IFERROR(_xlfn.XLOOKUP(C353,[1]DIRETORIA!C:C,[1]DIRETORIA!A:A),"-")</f>
        <v>DIR. COM E CRED MG E ES</v>
      </c>
      <c r="B353" s="28" t="str">
        <f>IFERROR(_xlfn.XLOOKUP(C353,[1]DIRETORIA!C:C,[1]DIRETORIA!B:B),"-")</f>
        <v>GST. COM TM</v>
      </c>
      <c r="C353" s="28" t="str">
        <f>IFERROR(_xlfn.XLOOKUP(E353,[1]EMPREENDIMENTO!C:C,[1]EMPREENDIMENTO!A:A),"-")</f>
        <v>UBERABA</v>
      </c>
      <c r="D353" s="28" t="s">
        <v>29</v>
      </c>
      <c r="E353" s="28" t="s">
        <v>667</v>
      </c>
      <c r="F353" s="28" t="s">
        <v>39</v>
      </c>
      <c r="G353" s="28" t="s">
        <v>671</v>
      </c>
      <c r="H353" s="28">
        <v>11563</v>
      </c>
      <c r="I353" s="29">
        <f>IFERROR(_xlfn.XLOOKUP(E353,[1]EMPREENDIMENTO!C:C,[1]EMPREENDIMENTO!E:E),"0")</f>
        <v>404</v>
      </c>
      <c r="J353" s="30"/>
      <c r="K353" s="28" t="s">
        <v>33</v>
      </c>
      <c r="L353" s="31">
        <v>46189</v>
      </c>
      <c r="M353" s="32">
        <v>90679000</v>
      </c>
      <c r="N353" s="32">
        <v>96184015</v>
      </c>
      <c r="O353" s="32">
        <v>92516800</v>
      </c>
      <c r="P353" s="28" t="s">
        <v>34</v>
      </c>
      <c r="Q353" s="28" t="s">
        <v>669</v>
      </c>
      <c r="R353" s="30">
        <v>46191</v>
      </c>
      <c r="S353" s="30">
        <v>46189</v>
      </c>
      <c r="T353" s="33"/>
      <c r="U353" s="34" t="str">
        <f>IFERROR(_xlfn.XLOOKUP(E353,[1]EMPREENDIMENTO!C:C,[1]EMPREENDIMENTO!D:D),"")</f>
        <v>cab5abae-d962-e111-85aa-001b78b9d994</v>
      </c>
    </row>
    <row r="354" spans="1:21" hidden="1" x14ac:dyDescent="0.35">
      <c r="A354" s="28" t="str">
        <f>IFERROR(_xlfn.XLOOKUP(C354,[1]DIRETORIA!C:C,[1]DIRETORIA!A:A),"-")</f>
        <v>DIR. COM E CRED MG E ES</v>
      </c>
      <c r="B354" s="28" t="str">
        <f>IFERROR(_xlfn.XLOOKUP(C354,[1]DIRETORIA!C:C,[1]DIRETORIA!B:B),"-")</f>
        <v>GST. COM TM</v>
      </c>
      <c r="C354" s="28" t="str">
        <f>IFERROR(_xlfn.XLOOKUP(E354,[1]EMPREENDIMENTO!C:C,[1]EMPREENDIMENTO!A:A),"-")</f>
        <v>UBERABA</v>
      </c>
      <c r="D354" s="28" t="s">
        <v>29</v>
      </c>
      <c r="E354" s="28" t="s">
        <v>667</v>
      </c>
      <c r="F354" s="28" t="s">
        <v>50</v>
      </c>
      <c r="G354" s="28" t="s">
        <v>672</v>
      </c>
      <c r="H354" s="28">
        <v>47373</v>
      </c>
      <c r="I354" s="29">
        <f>IFERROR(_xlfn.XLOOKUP(E354,[1]EMPREENDIMENTO!C:C,[1]EMPREENDIMENTO!E:E),"0")</f>
        <v>404</v>
      </c>
      <c r="J354" s="30"/>
      <c r="K354" s="28" t="s">
        <v>33</v>
      </c>
      <c r="L354" s="31">
        <v>46189</v>
      </c>
      <c r="M354" s="32">
        <v>90679000</v>
      </c>
      <c r="N354" s="32">
        <v>96184015</v>
      </c>
      <c r="O354" s="32">
        <v>92516800</v>
      </c>
      <c r="P354" s="28" t="s">
        <v>34</v>
      </c>
      <c r="Q354" s="28" t="s">
        <v>669</v>
      </c>
      <c r="R354" s="30">
        <v>46191</v>
      </c>
      <c r="S354" s="30">
        <v>46189</v>
      </c>
      <c r="T354" s="33"/>
      <c r="U354" s="34" t="str">
        <f>IFERROR(_xlfn.XLOOKUP(E354,[1]EMPREENDIMENTO!C:C,[1]EMPREENDIMENTO!D:D),"")</f>
        <v>cab5abae-d962-e111-85aa-001b78b9d994</v>
      </c>
    </row>
    <row r="355" spans="1:21" hidden="1" x14ac:dyDescent="0.35">
      <c r="A355" s="28" t="str">
        <f>IFERROR(_xlfn.XLOOKUP(C355,[1]DIRETORIA!C:C,[1]DIRETORIA!A:A),"-")</f>
        <v>DIR. COM E CRED SP E VL</v>
      </c>
      <c r="B355" s="28" t="str">
        <f>IFERROR(_xlfn.XLOOKUP(C355,[1]DIRETORIA!C:C,[1]DIRETORIA!B:B),"-")</f>
        <v>GST. COM SP2</v>
      </c>
      <c r="C355" s="28" t="str">
        <f>IFERROR(_xlfn.XLOOKUP(E355,[1]EMPREENDIMENTO!C:C,[1]EMPREENDIMENTO!A:A),"-")</f>
        <v>OSASCO</v>
      </c>
      <c r="D355" s="28" t="s">
        <v>29</v>
      </c>
      <c r="E355" s="28" t="s">
        <v>673</v>
      </c>
      <c r="F355" s="28" t="s">
        <v>31</v>
      </c>
      <c r="G355" s="28" t="s">
        <v>674</v>
      </c>
      <c r="H355" s="28">
        <v>32788</v>
      </c>
      <c r="I355" s="29">
        <f>IFERROR(_xlfn.XLOOKUP(E355,[1]EMPREENDIMENTO!C:C,[1]EMPREENDIMENTO!E:E),"0")</f>
        <v>680</v>
      </c>
      <c r="J355" s="30">
        <v>46776</v>
      </c>
      <c r="K355" s="28" t="s">
        <v>33</v>
      </c>
      <c r="L355" s="31">
        <v>45980</v>
      </c>
      <c r="M355" s="32">
        <v>187234160</v>
      </c>
      <c r="N355" s="32">
        <v>204313120</v>
      </c>
      <c r="O355" s="32">
        <v>192017940</v>
      </c>
      <c r="P355" s="28" t="s">
        <v>34</v>
      </c>
      <c r="Q355" s="28" t="s">
        <v>675</v>
      </c>
      <c r="R355" s="30">
        <v>46121</v>
      </c>
      <c r="S355" s="30">
        <v>46112</v>
      </c>
      <c r="T355" s="33" t="s">
        <v>676</v>
      </c>
      <c r="U355" s="34" t="str">
        <f>IFERROR(_xlfn.XLOOKUP(E355,[1]EMPREENDIMENTO!C:C,[1]EMPREENDIMENTO!D:D),"")</f>
        <v>15e2cd30-338e-eb11-ad3a-0050568aa20f</v>
      </c>
    </row>
    <row r="356" spans="1:21" hidden="1" x14ac:dyDescent="0.35">
      <c r="A356" s="28" t="str">
        <f>IFERROR(_xlfn.XLOOKUP(C356,[1]DIRETORIA!C:C,[1]DIRETORIA!A:A),"-")</f>
        <v>DIR. COM E CRED SP E VL</v>
      </c>
      <c r="B356" s="28" t="str">
        <f>IFERROR(_xlfn.XLOOKUP(C356,[1]DIRETORIA!C:C,[1]DIRETORIA!B:B),"-")</f>
        <v>GST. COM SP2</v>
      </c>
      <c r="C356" s="28" t="str">
        <f>IFERROR(_xlfn.XLOOKUP(E356,[1]EMPREENDIMENTO!C:C,[1]EMPREENDIMENTO!A:A),"-")</f>
        <v>OSASCO</v>
      </c>
      <c r="D356" s="28" t="s">
        <v>29</v>
      </c>
      <c r="E356" s="28" t="s">
        <v>673</v>
      </c>
      <c r="F356" s="28" t="s">
        <v>36</v>
      </c>
      <c r="G356" s="28" t="s">
        <v>677</v>
      </c>
      <c r="H356" s="28">
        <v>35250</v>
      </c>
      <c r="I356" s="29">
        <f>IFERROR(_xlfn.XLOOKUP(E356,[1]EMPREENDIMENTO!C:C,[1]EMPREENDIMENTO!E:E),"0")</f>
        <v>680</v>
      </c>
      <c r="J356" s="30">
        <v>46776</v>
      </c>
      <c r="K356" s="28" t="s">
        <v>33</v>
      </c>
      <c r="L356" s="31">
        <v>45980</v>
      </c>
      <c r="M356" s="32">
        <v>187234160</v>
      </c>
      <c r="N356" s="32">
        <v>204313120</v>
      </c>
      <c r="O356" s="32">
        <v>192017940</v>
      </c>
      <c r="P356" s="28" t="s">
        <v>34</v>
      </c>
      <c r="Q356" s="28" t="s">
        <v>675</v>
      </c>
      <c r="R356" s="30">
        <v>46121</v>
      </c>
      <c r="S356" s="30">
        <v>46112</v>
      </c>
      <c r="T356" s="33" t="s">
        <v>676</v>
      </c>
      <c r="U356" s="34" t="str">
        <f>IFERROR(_xlfn.XLOOKUP(E356,[1]EMPREENDIMENTO!C:C,[1]EMPREENDIMENTO!D:D),"")</f>
        <v>15e2cd30-338e-eb11-ad3a-0050568aa20f</v>
      </c>
    </row>
    <row r="357" spans="1:21" hidden="1" x14ac:dyDescent="0.35">
      <c r="A357" s="28" t="str">
        <f>IFERROR(_xlfn.XLOOKUP(C357,[1]DIRETORIA!C:C,[1]DIRETORIA!A:A),"-")</f>
        <v>DIR. COM E CRED SP E VL</v>
      </c>
      <c r="B357" s="28" t="str">
        <f>IFERROR(_xlfn.XLOOKUP(C357,[1]DIRETORIA!C:C,[1]DIRETORIA!B:B),"-")</f>
        <v>GST. COM SP2</v>
      </c>
      <c r="C357" s="28" t="str">
        <f>IFERROR(_xlfn.XLOOKUP(E357,[1]EMPREENDIMENTO!C:C,[1]EMPREENDIMENTO!A:A),"-")</f>
        <v>OSASCO</v>
      </c>
      <c r="D357" s="28" t="s">
        <v>29</v>
      </c>
      <c r="E357" s="28" t="s">
        <v>673</v>
      </c>
      <c r="F357" s="28" t="s">
        <v>39</v>
      </c>
      <c r="G357" s="28" t="s">
        <v>678</v>
      </c>
      <c r="H357" s="28">
        <v>35261</v>
      </c>
      <c r="I357" s="29">
        <f>IFERROR(_xlfn.XLOOKUP(E357,[1]EMPREENDIMENTO!C:C,[1]EMPREENDIMENTO!E:E),"0")</f>
        <v>680</v>
      </c>
      <c r="J357" s="30">
        <v>46776</v>
      </c>
      <c r="K357" s="28" t="s">
        <v>33</v>
      </c>
      <c r="L357" s="31">
        <v>45980</v>
      </c>
      <c r="M357" s="32">
        <v>187234160</v>
      </c>
      <c r="N357" s="32">
        <v>204313120</v>
      </c>
      <c r="O357" s="32">
        <v>192017940</v>
      </c>
      <c r="P357" s="28" t="s">
        <v>34</v>
      </c>
      <c r="Q357" s="28" t="s">
        <v>675</v>
      </c>
      <c r="R357" s="30">
        <v>46121</v>
      </c>
      <c r="S357" s="30">
        <v>46112</v>
      </c>
      <c r="T357" s="33" t="s">
        <v>676</v>
      </c>
      <c r="U357" s="34" t="str">
        <f>IFERROR(_xlfn.XLOOKUP(E357,[1]EMPREENDIMENTO!C:C,[1]EMPREENDIMENTO!D:D),"")</f>
        <v>15e2cd30-338e-eb11-ad3a-0050568aa20f</v>
      </c>
    </row>
    <row r="358" spans="1:21" hidden="1" x14ac:dyDescent="0.35">
      <c r="A358" s="28" t="str">
        <f>IFERROR(_xlfn.XLOOKUP(C358,[1]DIRETORIA!C:C,[1]DIRETORIA!A:A),"-")</f>
        <v>DIR. COM E CRED SP E VL</v>
      </c>
      <c r="B358" s="28" t="str">
        <f>IFERROR(_xlfn.XLOOKUP(C358,[1]DIRETORIA!C:C,[1]DIRETORIA!B:B),"-")</f>
        <v>GST. COM SP2</v>
      </c>
      <c r="C358" s="28" t="str">
        <f>IFERROR(_xlfn.XLOOKUP(E358,[1]EMPREENDIMENTO!C:C,[1]EMPREENDIMENTO!A:A),"-")</f>
        <v>OSASCO</v>
      </c>
      <c r="D358" s="28" t="s">
        <v>29</v>
      </c>
      <c r="E358" s="28" t="s">
        <v>673</v>
      </c>
      <c r="F358" s="28" t="s">
        <v>50</v>
      </c>
      <c r="G358" s="28" t="s">
        <v>679</v>
      </c>
      <c r="H358" s="28">
        <v>35262</v>
      </c>
      <c r="I358" s="29">
        <f>IFERROR(_xlfn.XLOOKUP(E358,[1]EMPREENDIMENTO!C:C,[1]EMPREENDIMENTO!E:E),"0")</f>
        <v>680</v>
      </c>
      <c r="J358" s="30">
        <v>46776</v>
      </c>
      <c r="K358" s="28" t="s">
        <v>33</v>
      </c>
      <c r="L358" s="31">
        <v>45980</v>
      </c>
      <c r="M358" s="32">
        <v>187234160</v>
      </c>
      <c r="N358" s="32">
        <v>204313120</v>
      </c>
      <c r="O358" s="32">
        <v>192017940</v>
      </c>
      <c r="P358" s="28" t="s">
        <v>34</v>
      </c>
      <c r="Q358" s="28" t="s">
        <v>675</v>
      </c>
      <c r="R358" s="30">
        <v>46121</v>
      </c>
      <c r="S358" s="30">
        <v>46112</v>
      </c>
      <c r="T358" s="33" t="s">
        <v>676</v>
      </c>
      <c r="U358" s="34" t="str">
        <f>IFERROR(_xlfn.XLOOKUP(E358,[1]EMPREENDIMENTO!C:C,[1]EMPREENDIMENTO!D:D),"")</f>
        <v>15e2cd30-338e-eb11-ad3a-0050568aa20f</v>
      </c>
    </row>
    <row r="359" spans="1:21" hidden="1" x14ac:dyDescent="0.35">
      <c r="A359" s="28" t="str">
        <f>IFERROR(_xlfn.XLOOKUP(C359,[1]DIRETORIA!C:C,[1]DIRETORIA!A:A),"-")</f>
        <v>DIR. COM E CRED RJ</v>
      </c>
      <c r="B359" s="28" t="str">
        <f>IFERROR(_xlfn.XLOOKUP(C359,[1]DIRETORIA!C:C,[1]DIRETORIA!B:B),"-")</f>
        <v>GST. COM NF</v>
      </c>
      <c r="C359" s="28" t="str">
        <f>IFERROR(_xlfn.XLOOKUP(E359,[1]EMPREENDIMENTO!C:C,[1]EMPREENDIMENTO!A:A),"-")</f>
        <v>CAMPOS DOS GOYTACAZES</v>
      </c>
      <c r="D359" s="28" t="s">
        <v>29</v>
      </c>
      <c r="E359" s="28" t="s">
        <v>680</v>
      </c>
      <c r="F359" s="28" t="s">
        <v>31</v>
      </c>
      <c r="G359" s="28" t="s">
        <v>681</v>
      </c>
      <c r="H359" s="28">
        <v>30451</v>
      </c>
      <c r="I359" s="29">
        <f>IFERROR(_xlfn.XLOOKUP(E359,[1]EMPREENDIMENTO!C:C,[1]EMPREENDIMENTO!E:E),"0")</f>
        <v>260</v>
      </c>
      <c r="J359" s="30">
        <v>46428</v>
      </c>
      <c r="K359" s="28" t="s">
        <v>33</v>
      </c>
      <c r="L359" s="31">
        <v>45419</v>
      </c>
      <c r="M359" s="32">
        <v>48509178</v>
      </c>
      <c r="N359" s="32">
        <v>53077484</v>
      </c>
      <c r="O359" s="32">
        <v>52399528</v>
      </c>
      <c r="P359" s="28" t="s">
        <v>34</v>
      </c>
      <c r="Q359" s="28" t="s">
        <v>682</v>
      </c>
      <c r="R359" s="30">
        <v>45418</v>
      </c>
      <c r="S359" s="30">
        <v>45419</v>
      </c>
      <c r="T359" s="33"/>
      <c r="U359" s="34" t="str">
        <f>IFERROR(_xlfn.XLOOKUP(E359,[1]EMPREENDIMENTO!C:C,[1]EMPREENDIMENTO!D:D),"")</f>
        <v>64ee0da3-09ab-e411-b5d2-009c02b0cb58</v>
      </c>
    </row>
    <row r="360" spans="1:21" hidden="1" x14ac:dyDescent="0.35">
      <c r="A360" s="28" t="str">
        <f>IFERROR(_xlfn.XLOOKUP(C360,[1]DIRETORIA!C:C,[1]DIRETORIA!A:A),"-")</f>
        <v>DIR. COM E CRED RJ</v>
      </c>
      <c r="B360" s="28" t="str">
        <f>IFERROR(_xlfn.XLOOKUP(C360,[1]DIRETORIA!C:C,[1]DIRETORIA!B:B),"-")</f>
        <v>GST. COM NF</v>
      </c>
      <c r="C360" s="28" t="str">
        <f>IFERROR(_xlfn.XLOOKUP(E360,[1]EMPREENDIMENTO!C:C,[1]EMPREENDIMENTO!A:A),"-")</f>
        <v>CAMPOS DOS GOYTACAZES</v>
      </c>
      <c r="D360" s="28" t="s">
        <v>29</v>
      </c>
      <c r="E360" s="28" t="s">
        <v>680</v>
      </c>
      <c r="F360" s="28" t="s">
        <v>36</v>
      </c>
      <c r="G360" s="28" t="s">
        <v>683</v>
      </c>
      <c r="H360" s="28">
        <v>35705</v>
      </c>
      <c r="I360" s="29">
        <f>IFERROR(_xlfn.XLOOKUP(E360,[1]EMPREENDIMENTO!C:C,[1]EMPREENDIMENTO!E:E),"0")</f>
        <v>260</v>
      </c>
      <c r="J360" s="30">
        <v>46428</v>
      </c>
      <c r="K360" s="28" t="s">
        <v>33</v>
      </c>
      <c r="L360" s="31">
        <v>45419</v>
      </c>
      <c r="M360" s="32">
        <v>48509178</v>
      </c>
      <c r="N360" s="32">
        <v>53077484</v>
      </c>
      <c r="O360" s="32">
        <v>52399528</v>
      </c>
      <c r="P360" s="28" t="s">
        <v>34</v>
      </c>
      <c r="Q360" s="28" t="s">
        <v>682</v>
      </c>
      <c r="R360" s="30">
        <v>45418</v>
      </c>
      <c r="S360" s="30">
        <v>45419</v>
      </c>
      <c r="T360" s="33"/>
      <c r="U360" s="34" t="str">
        <f>IFERROR(_xlfn.XLOOKUP(E360,[1]EMPREENDIMENTO!C:C,[1]EMPREENDIMENTO!D:D),"")</f>
        <v>64ee0da3-09ab-e411-b5d2-009c02b0cb58</v>
      </c>
    </row>
    <row r="361" spans="1:21" hidden="1" x14ac:dyDescent="0.35">
      <c r="A361" s="28" t="str">
        <f>IFERROR(_xlfn.XLOOKUP(C361,[1]DIRETORIA!C:C,[1]DIRETORIA!A:A),"-")</f>
        <v>DIR. COM E CRED NE</v>
      </c>
      <c r="B361" s="28" t="str">
        <f>IFERROR(_xlfn.XLOOKUP(C361,[1]DIRETORIA!C:C,[1]DIRETORIA!B:B),"-")</f>
        <v>GST. COM NE 7 (PI+MA)</v>
      </c>
      <c r="C361" s="28" t="str">
        <f>IFERROR(_xlfn.XLOOKUP(E361,[1]EMPREENDIMENTO!C:C,[1]EMPREENDIMENTO!A:A),"-")</f>
        <v>TERESINA</v>
      </c>
      <c r="D361" s="28" t="s">
        <v>29</v>
      </c>
      <c r="E361" s="28" t="s">
        <v>684</v>
      </c>
      <c r="F361" s="28" t="s">
        <v>31</v>
      </c>
      <c r="G361" s="28" t="s">
        <v>685</v>
      </c>
      <c r="H361" s="28">
        <v>37171</v>
      </c>
      <c r="I361" s="29">
        <f>IFERROR(_xlfn.XLOOKUP(E361,[1]EMPREENDIMENTO!C:C,[1]EMPREENDIMENTO!E:E),"0")</f>
        <v>496</v>
      </c>
      <c r="J361" s="30">
        <v>46705</v>
      </c>
      <c r="K361" s="28" t="s">
        <v>33</v>
      </c>
      <c r="L361" s="31">
        <v>46220</v>
      </c>
      <c r="M361" s="32">
        <v>117962892</v>
      </c>
      <c r="N361" s="32">
        <v>124707688</v>
      </c>
      <c r="O361" s="32">
        <v>119296000</v>
      </c>
      <c r="P361" s="28" t="s">
        <v>34</v>
      </c>
      <c r="Q361" s="28" t="s">
        <v>686</v>
      </c>
      <c r="R361" s="30">
        <v>46220</v>
      </c>
      <c r="S361" s="30">
        <v>46220</v>
      </c>
      <c r="T361" s="33" t="s">
        <v>687</v>
      </c>
      <c r="U361" s="34" t="str">
        <f>IFERROR(_xlfn.XLOOKUP(E361,[1]EMPREENDIMENTO!C:C,[1]EMPREENDIMENTO!D:D),"")</f>
        <v>7f1a37ed-0c50-e611-b1e9-009c02b0cb58</v>
      </c>
    </row>
    <row r="362" spans="1:21" hidden="1" x14ac:dyDescent="0.35">
      <c r="A362" s="28" t="str">
        <f>IFERROR(_xlfn.XLOOKUP(C362,[1]DIRETORIA!C:C,[1]DIRETORIA!A:A),"-")</f>
        <v>DIR. COM E CRED NE</v>
      </c>
      <c r="B362" s="28" t="str">
        <f>IFERROR(_xlfn.XLOOKUP(C362,[1]DIRETORIA!C:C,[1]DIRETORIA!B:B),"-")</f>
        <v>GST. COM NE 7 (PI+MA)</v>
      </c>
      <c r="C362" s="28" t="str">
        <f>IFERROR(_xlfn.XLOOKUP(E362,[1]EMPREENDIMENTO!C:C,[1]EMPREENDIMENTO!A:A),"-")</f>
        <v>TERESINA</v>
      </c>
      <c r="D362" s="28" t="s">
        <v>29</v>
      </c>
      <c r="E362" s="28" t="s">
        <v>684</v>
      </c>
      <c r="F362" s="28" t="s">
        <v>36</v>
      </c>
      <c r="G362" s="28" t="s">
        <v>688</v>
      </c>
      <c r="H362" s="28">
        <v>38740</v>
      </c>
      <c r="I362" s="29">
        <f>IFERROR(_xlfn.XLOOKUP(E362,[1]EMPREENDIMENTO!C:C,[1]EMPREENDIMENTO!E:E),"0")</f>
        <v>496</v>
      </c>
      <c r="J362" s="30">
        <v>46705</v>
      </c>
      <c r="K362" s="28" t="s">
        <v>33</v>
      </c>
      <c r="L362" s="31">
        <v>46220</v>
      </c>
      <c r="M362" s="32">
        <v>117962892</v>
      </c>
      <c r="N362" s="32">
        <v>124707688</v>
      </c>
      <c r="O362" s="32">
        <v>119296000</v>
      </c>
      <c r="P362" s="28" t="s">
        <v>34</v>
      </c>
      <c r="Q362" s="28" t="s">
        <v>686</v>
      </c>
      <c r="R362" s="30">
        <v>46220</v>
      </c>
      <c r="S362" s="30">
        <v>46220</v>
      </c>
      <c r="T362" s="33" t="s">
        <v>687</v>
      </c>
      <c r="U362" s="34" t="str">
        <f>IFERROR(_xlfn.XLOOKUP(E362,[1]EMPREENDIMENTO!C:C,[1]EMPREENDIMENTO!D:D),"")</f>
        <v>7f1a37ed-0c50-e611-b1e9-009c02b0cb58</v>
      </c>
    </row>
    <row r="363" spans="1:21" hidden="1" x14ac:dyDescent="0.35">
      <c r="A363" s="28" t="str">
        <f>IFERROR(_xlfn.XLOOKUP(C363,[1]DIRETORIA!C:C,[1]DIRETORIA!A:A),"-")</f>
        <v>DIR. COM E CRED NE</v>
      </c>
      <c r="B363" s="28" t="str">
        <f>IFERROR(_xlfn.XLOOKUP(C363,[1]DIRETORIA!C:C,[1]DIRETORIA!B:B),"-")</f>
        <v>GST. COM NE 7 (PI+MA)</v>
      </c>
      <c r="C363" s="28" t="str">
        <f>IFERROR(_xlfn.XLOOKUP(E363,[1]EMPREENDIMENTO!C:C,[1]EMPREENDIMENTO!A:A),"-")</f>
        <v>TERESINA</v>
      </c>
      <c r="D363" s="28" t="s">
        <v>29</v>
      </c>
      <c r="E363" s="28" t="s">
        <v>684</v>
      </c>
      <c r="F363" s="28" t="s">
        <v>39</v>
      </c>
      <c r="G363" s="28" t="s">
        <v>689</v>
      </c>
      <c r="H363" s="28">
        <v>44304</v>
      </c>
      <c r="I363" s="29">
        <f>IFERROR(_xlfn.XLOOKUP(E363,[1]EMPREENDIMENTO!C:C,[1]EMPREENDIMENTO!E:E),"0")</f>
        <v>496</v>
      </c>
      <c r="J363" s="30">
        <v>46705</v>
      </c>
      <c r="K363" s="28" t="s">
        <v>33</v>
      </c>
      <c r="L363" s="31">
        <v>46220</v>
      </c>
      <c r="M363" s="32">
        <v>117962892</v>
      </c>
      <c r="N363" s="32">
        <v>124707688</v>
      </c>
      <c r="O363" s="32">
        <v>119296000</v>
      </c>
      <c r="P363" s="28" t="s">
        <v>34</v>
      </c>
      <c r="Q363" s="28" t="s">
        <v>686</v>
      </c>
      <c r="R363" s="30">
        <v>46220</v>
      </c>
      <c r="S363" s="30">
        <v>46220</v>
      </c>
      <c r="T363" s="33" t="s">
        <v>687</v>
      </c>
      <c r="U363" s="34" t="str">
        <f>IFERROR(_xlfn.XLOOKUP(E363,[1]EMPREENDIMENTO!C:C,[1]EMPREENDIMENTO!D:D),"")</f>
        <v>7f1a37ed-0c50-e611-b1e9-009c02b0cb58</v>
      </c>
    </row>
    <row r="364" spans="1:21" hidden="1" x14ac:dyDescent="0.35">
      <c r="A364" s="28" t="str">
        <f>IFERROR(_xlfn.XLOOKUP(C364,[1]DIRETORIA!C:C,[1]DIRETORIA!A:A),"-")</f>
        <v>DIR. COM E CRED NE</v>
      </c>
      <c r="B364" s="28" t="str">
        <f>IFERROR(_xlfn.XLOOKUP(C364,[1]DIRETORIA!C:C,[1]DIRETORIA!B:B),"-")</f>
        <v>GST. COM NE 7 (PI+MA)</v>
      </c>
      <c r="C364" s="28" t="str">
        <f>IFERROR(_xlfn.XLOOKUP(E364,[1]EMPREENDIMENTO!C:C,[1]EMPREENDIMENTO!A:A),"-")</f>
        <v>TERESINA</v>
      </c>
      <c r="D364" s="28" t="s">
        <v>29</v>
      </c>
      <c r="E364" s="28" t="s">
        <v>684</v>
      </c>
      <c r="F364" s="28" t="s">
        <v>50</v>
      </c>
      <c r="G364" s="28" t="s">
        <v>690</v>
      </c>
      <c r="H364" s="28">
        <v>60759</v>
      </c>
      <c r="I364" s="29">
        <f>IFERROR(_xlfn.XLOOKUP(E364,[1]EMPREENDIMENTO!C:C,[1]EMPREENDIMENTO!E:E),"0")</f>
        <v>496</v>
      </c>
      <c r="J364" s="30">
        <v>46705</v>
      </c>
      <c r="K364" s="28" t="s">
        <v>33</v>
      </c>
      <c r="L364" s="31">
        <v>46220</v>
      </c>
      <c r="M364" s="32">
        <v>117962892</v>
      </c>
      <c r="N364" s="32">
        <v>124707688</v>
      </c>
      <c r="O364" s="32">
        <v>119296000</v>
      </c>
      <c r="P364" s="28" t="s">
        <v>34</v>
      </c>
      <c r="Q364" s="28" t="s">
        <v>686</v>
      </c>
      <c r="R364" s="30">
        <v>46220</v>
      </c>
      <c r="S364" s="30">
        <v>46220</v>
      </c>
      <c r="T364" s="33" t="s">
        <v>687</v>
      </c>
      <c r="U364" s="34" t="str">
        <f>IFERROR(_xlfn.XLOOKUP(E364,[1]EMPREENDIMENTO!C:C,[1]EMPREENDIMENTO!D:D),"")</f>
        <v>7f1a37ed-0c50-e611-b1e9-009c02b0cb58</v>
      </c>
    </row>
    <row r="365" spans="1:21" hidden="1" x14ac:dyDescent="0.35">
      <c r="A365" s="28" t="str">
        <f>IFERROR(_xlfn.XLOOKUP(C365,[1]DIRETORIA!C:C,[1]DIRETORIA!A:A),"-")</f>
        <v>DIR. COM E CRED RJ</v>
      </c>
      <c r="B365" s="28" t="str">
        <f>IFERROR(_xlfn.XLOOKUP(C365,[1]DIRETORIA!C:C,[1]DIRETORIA!B:B),"-")</f>
        <v>GST. COM RJ2</v>
      </c>
      <c r="C365" s="28" t="str">
        <f>IFERROR(_xlfn.XLOOKUP(E365,[1]EMPREENDIMENTO!C:C,[1]EMPREENDIMENTO!A:A),"-")</f>
        <v>SÃO GONÇALO</v>
      </c>
      <c r="D365" s="28" t="s">
        <v>29</v>
      </c>
      <c r="E365" s="28" t="s">
        <v>691</v>
      </c>
      <c r="F365" s="28" t="s">
        <v>42</v>
      </c>
      <c r="G365" s="28" t="s">
        <v>692</v>
      </c>
      <c r="H365" s="28">
        <v>34262</v>
      </c>
      <c r="I365" s="29">
        <f>IFERROR(_xlfn.XLOOKUP(E365,[1]EMPREENDIMENTO!C:C,[1]EMPREENDIMENTO!E:E),"0")</f>
        <v>0</v>
      </c>
      <c r="J365" s="30"/>
      <c r="K365" s="28" t="s">
        <v>33</v>
      </c>
      <c r="L365" s="31">
        <v>45471</v>
      </c>
      <c r="M365" s="32">
        <v>75459810</v>
      </c>
      <c r="N365" s="32">
        <v>85295135</v>
      </c>
      <c r="O365" s="32">
        <v>80204740</v>
      </c>
      <c r="P365" s="28" t="s">
        <v>34</v>
      </c>
      <c r="Q365" s="28">
        <v>483009</v>
      </c>
      <c r="R365" s="30">
        <v>45488</v>
      </c>
      <c r="S365" s="30">
        <v>45471</v>
      </c>
      <c r="T365" s="33"/>
      <c r="U365" s="34" t="str">
        <f>IFERROR(_xlfn.XLOOKUP(E365,[1]EMPREENDIMENTO!C:C,[1]EMPREENDIMENTO!D:D),"")</f>
        <v>28e99b0f-88f0-eb11-ac3b-005056856b6c</v>
      </c>
    </row>
    <row r="366" spans="1:21" hidden="1" x14ac:dyDescent="0.35">
      <c r="A366" s="28" t="str">
        <f>IFERROR(_xlfn.XLOOKUP(C366,[1]DIRETORIA!C:C,[1]DIRETORIA!A:A),"-")</f>
        <v>DIR. COM E CRED NE</v>
      </c>
      <c r="B366" s="28" t="str">
        <f>IFERROR(_xlfn.XLOOKUP(C366,[1]DIRETORIA!C:C,[1]DIRETORIA!B:B),"-")</f>
        <v>GST. COM NE4 (CE)</v>
      </c>
      <c r="C366" s="28" t="str">
        <f>IFERROR(_xlfn.XLOOKUP(E366,[1]EMPREENDIMENTO!C:C,[1]EMPREENDIMENTO!A:A),"-")</f>
        <v>FORTALEZA</v>
      </c>
      <c r="D366" s="28" t="s">
        <v>29</v>
      </c>
      <c r="E366" s="28" t="s">
        <v>693</v>
      </c>
      <c r="F366" s="28" t="s">
        <v>31</v>
      </c>
      <c r="G366" s="28" t="s">
        <v>694</v>
      </c>
      <c r="H366" s="28">
        <v>13301</v>
      </c>
      <c r="I366" s="29">
        <f>IFERROR(_xlfn.XLOOKUP(E366,[1]EMPREENDIMENTO!C:C,[1]EMPREENDIMENTO!E:E),"0")</f>
        <v>320</v>
      </c>
      <c r="J366" s="30">
        <v>45595</v>
      </c>
      <c r="K366" s="28" t="s">
        <v>148</v>
      </c>
      <c r="L366" s="31">
        <v>45391</v>
      </c>
      <c r="M366" s="32">
        <v>73560251</v>
      </c>
      <c r="N366" s="32">
        <v>74838100</v>
      </c>
      <c r="O366" s="32">
        <v>74838100</v>
      </c>
      <c r="P366" s="28" t="s">
        <v>34</v>
      </c>
      <c r="Q366" s="28" t="s">
        <v>695</v>
      </c>
      <c r="R366" s="30">
        <v>45404</v>
      </c>
      <c r="S366" s="30">
        <v>45391</v>
      </c>
      <c r="T366" s="33"/>
      <c r="U366" s="34" t="str">
        <f>IFERROR(_xlfn.XLOOKUP(E366,[1]EMPREENDIMENTO!C:C,[1]EMPREENDIMENTO!D:D),"")</f>
        <v>3d1e3f53-9827-e811-9e99-009c02b0cb58</v>
      </c>
    </row>
    <row r="367" spans="1:21" hidden="1" x14ac:dyDescent="0.35">
      <c r="A367" s="28" t="str">
        <f>IFERROR(_xlfn.XLOOKUP(C367,[1]DIRETORIA!C:C,[1]DIRETORIA!A:A),"-")</f>
        <v>DIR. COM E CRED NE</v>
      </c>
      <c r="B367" s="28" t="str">
        <f>IFERROR(_xlfn.XLOOKUP(C367,[1]DIRETORIA!C:C,[1]DIRETORIA!B:B),"-")</f>
        <v>GST. COM NE4 (CE)</v>
      </c>
      <c r="C367" s="28" t="str">
        <f>IFERROR(_xlfn.XLOOKUP(E367,[1]EMPREENDIMENTO!C:C,[1]EMPREENDIMENTO!A:A),"-")</f>
        <v>FORTALEZA</v>
      </c>
      <c r="D367" s="28" t="s">
        <v>29</v>
      </c>
      <c r="E367" s="28" t="s">
        <v>693</v>
      </c>
      <c r="F367" s="28" t="s">
        <v>36</v>
      </c>
      <c r="G367" s="28" t="s">
        <v>696</v>
      </c>
      <c r="H367" s="28">
        <v>25126</v>
      </c>
      <c r="I367" s="29">
        <f>IFERROR(_xlfn.XLOOKUP(E367,[1]EMPREENDIMENTO!C:C,[1]EMPREENDIMENTO!E:E),"0")</f>
        <v>320</v>
      </c>
      <c r="J367" s="30">
        <v>45595</v>
      </c>
      <c r="K367" s="28" t="s">
        <v>148</v>
      </c>
      <c r="L367" s="31">
        <v>45391</v>
      </c>
      <c r="M367" s="32">
        <v>73560251</v>
      </c>
      <c r="N367" s="32">
        <v>74838100</v>
      </c>
      <c r="O367" s="32">
        <v>74838100</v>
      </c>
      <c r="P367" s="28" t="s">
        <v>34</v>
      </c>
      <c r="Q367" s="28" t="s">
        <v>695</v>
      </c>
      <c r="R367" s="30">
        <v>45404</v>
      </c>
      <c r="S367" s="30">
        <v>45391</v>
      </c>
      <c r="T367" s="33"/>
      <c r="U367" s="34" t="str">
        <f>IFERROR(_xlfn.XLOOKUP(E367,[1]EMPREENDIMENTO!C:C,[1]EMPREENDIMENTO!D:D),"")</f>
        <v>3d1e3f53-9827-e811-9e99-009c02b0cb58</v>
      </c>
    </row>
    <row r="368" spans="1:21" hidden="1" x14ac:dyDescent="0.35">
      <c r="A368" s="28" t="str">
        <f>IFERROR(_xlfn.XLOOKUP(C368,[1]DIRETORIA!C:C,[1]DIRETORIA!A:A),"-")</f>
        <v>DIR. COM E CRED NE</v>
      </c>
      <c r="B368" s="28" t="str">
        <f>IFERROR(_xlfn.XLOOKUP(C368,[1]DIRETORIA!C:C,[1]DIRETORIA!B:B),"-")</f>
        <v>GST. COM NE4 (CE)</v>
      </c>
      <c r="C368" s="28" t="str">
        <f>IFERROR(_xlfn.XLOOKUP(E368,[1]EMPREENDIMENTO!C:C,[1]EMPREENDIMENTO!A:A),"-")</f>
        <v>FORTALEZA</v>
      </c>
      <c r="D368" s="28" t="s">
        <v>29</v>
      </c>
      <c r="E368" s="28" t="s">
        <v>693</v>
      </c>
      <c r="F368" s="28" t="s">
        <v>39</v>
      </c>
      <c r="G368" s="28" t="s">
        <v>697</v>
      </c>
      <c r="H368" s="28">
        <v>25128</v>
      </c>
      <c r="I368" s="29">
        <f>IFERROR(_xlfn.XLOOKUP(E368,[1]EMPREENDIMENTO!C:C,[1]EMPREENDIMENTO!E:E),"0")</f>
        <v>320</v>
      </c>
      <c r="J368" s="30">
        <v>45595</v>
      </c>
      <c r="K368" s="28" t="s">
        <v>148</v>
      </c>
      <c r="L368" s="31">
        <v>45391</v>
      </c>
      <c r="M368" s="32">
        <v>73560251</v>
      </c>
      <c r="N368" s="32">
        <v>74838100</v>
      </c>
      <c r="O368" s="32">
        <v>74838100</v>
      </c>
      <c r="P368" s="28" t="s">
        <v>34</v>
      </c>
      <c r="Q368" s="28" t="s">
        <v>695</v>
      </c>
      <c r="R368" s="30">
        <v>45404</v>
      </c>
      <c r="S368" s="30">
        <v>45391</v>
      </c>
      <c r="T368" s="33"/>
      <c r="U368" s="34" t="str">
        <f>IFERROR(_xlfn.XLOOKUP(E368,[1]EMPREENDIMENTO!C:C,[1]EMPREENDIMENTO!D:D),"")</f>
        <v>3d1e3f53-9827-e811-9e99-009c02b0cb58</v>
      </c>
    </row>
    <row r="369" spans="1:21" hidden="1" x14ac:dyDescent="0.35">
      <c r="A369" s="28" t="str">
        <f>IFERROR(_xlfn.XLOOKUP(C369,[1]DIRETORIA!C:C,[1]DIRETORIA!A:A),"-")</f>
        <v>DIR. COM E CRED RJ</v>
      </c>
      <c r="B369" s="28" t="str">
        <f>IFERROR(_xlfn.XLOOKUP(C369,[1]DIRETORIA!C:C,[1]DIRETORIA!B:B),"-")</f>
        <v>GST. COM RJ2</v>
      </c>
      <c r="C369" s="28" t="str">
        <f>IFERROR(_xlfn.XLOOKUP(E369,[1]EMPREENDIMENTO!C:C,[1]EMPREENDIMENTO!A:A),"-")</f>
        <v>NOVA IGUAÇU</v>
      </c>
      <c r="D369" s="28" t="s">
        <v>29</v>
      </c>
      <c r="E369" s="28" t="s">
        <v>698</v>
      </c>
      <c r="F369" s="28" t="s">
        <v>31</v>
      </c>
      <c r="G369" s="28" t="s">
        <v>699</v>
      </c>
      <c r="H369" s="28">
        <v>27656</v>
      </c>
      <c r="I369" s="29">
        <f>IFERROR(_xlfn.XLOOKUP(E369,[1]EMPREENDIMENTO!C:C,[1]EMPREENDIMENTO!E:E),"0")</f>
        <v>340</v>
      </c>
      <c r="J369" s="30">
        <v>45559</v>
      </c>
      <c r="K369" s="28" t="s">
        <v>33</v>
      </c>
      <c r="L369" s="31">
        <v>45012</v>
      </c>
      <c r="M369" s="32">
        <v>64384062</v>
      </c>
      <c r="N369" s="32">
        <v>72135240</v>
      </c>
      <c r="O369" s="32">
        <v>67015011</v>
      </c>
      <c r="P369" s="28" t="s">
        <v>34</v>
      </c>
      <c r="Q369" s="28" t="s">
        <v>700</v>
      </c>
      <c r="R369" s="30">
        <v>45019</v>
      </c>
      <c r="S369" s="30">
        <v>45013</v>
      </c>
      <c r="T369" s="33"/>
      <c r="U369" s="34" t="str">
        <f>IFERROR(_xlfn.XLOOKUP(E369,[1]EMPREENDIMENTO!C:C,[1]EMPREENDIMENTO!D:D),"")</f>
        <v>055f3851-f54f-e911-810a-80c16e075108</v>
      </c>
    </row>
    <row r="370" spans="1:21" hidden="1" x14ac:dyDescent="0.35">
      <c r="A370" s="28" t="str">
        <f>IFERROR(_xlfn.XLOOKUP(C370,[1]DIRETORIA!C:C,[1]DIRETORIA!A:A),"-")</f>
        <v>DIR. COM E CRED RJ</v>
      </c>
      <c r="B370" s="28" t="str">
        <f>IFERROR(_xlfn.XLOOKUP(C370,[1]DIRETORIA!C:C,[1]DIRETORIA!B:B),"-")</f>
        <v>GST. COM RJ2</v>
      </c>
      <c r="C370" s="28" t="str">
        <f>IFERROR(_xlfn.XLOOKUP(E370,[1]EMPREENDIMENTO!C:C,[1]EMPREENDIMENTO!A:A),"-")</f>
        <v>NOVA IGUAÇU</v>
      </c>
      <c r="D370" s="28" t="s">
        <v>29</v>
      </c>
      <c r="E370" s="28" t="s">
        <v>698</v>
      </c>
      <c r="F370" s="28" t="s">
        <v>36</v>
      </c>
      <c r="G370" s="28" t="s">
        <v>701</v>
      </c>
      <c r="H370" s="28">
        <v>27916</v>
      </c>
      <c r="I370" s="29">
        <f>IFERROR(_xlfn.XLOOKUP(E370,[1]EMPREENDIMENTO!C:C,[1]EMPREENDIMENTO!E:E),"0")</f>
        <v>340</v>
      </c>
      <c r="J370" s="30">
        <v>45559</v>
      </c>
      <c r="K370" s="28" t="s">
        <v>33</v>
      </c>
      <c r="L370" s="31">
        <v>45012</v>
      </c>
      <c r="M370" s="32">
        <v>64384062</v>
      </c>
      <c r="N370" s="32">
        <v>72135240</v>
      </c>
      <c r="O370" s="32">
        <v>67015011</v>
      </c>
      <c r="P370" s="28" t="s">
        <v>34</v>
      </c>
      <c r="Q370" s="28" t="s">
        <v>700</v>
      </c>
      <c r="R370" s="30">
        <v>45019</v>
      </c>
      <c r="S370" s="30">
        <v>45013</v>
      </c>
      <c r="T370" s="33"/>
      <c r="U370" s="34" t="str">
        <f>IFERROR(_xlfn.XLOOKUP(E370,[1]EMPREENDIMENTO!C:C,[1]EMPREENDIMENTO!D:D),"")</f>
        <v>055f3851-f54f-e911-810a-80c16e075108</v>
      </c>
    </row>
    <row r="371" spans="1:21" hidden="1" x14ac:dyDescent="0.35">
      <c r="A371" s="28" t="str">
        <f>IFERROR(_xlfn.XLOOKUP(C371,[1]DIRETORIA!C:C,[1]DIRETORIA!A:A),"-")</f>
        <v>DIR. COM E CRED NE</v>
      </c>
      <c r="B371" s="28" t="str">
        <f>IFERROR(_xlfn.XLOOKUP(C371,[1]DIRETORIA!C:C,[1]DIRETORIA!B:B),"-")</f>
        <v>GST. COM NE 7 (PI+MA)</v>
      </c>
      <c r="C371" s="28" t="str">
        <f>IFERROR(_xlfn.XLOOKUP(E371,[1]EMPREENDIMENTO!C:C,[1]EMPREENDIMENTO!A:A),"-")</f>
        <v>TERESINA</v>
      </c>
      <c r="D371" s="28" t="s">
        <v>29</v>
      </c>
      <c r="E371" s="28" t="s">
        <v>702</v>
      </c>
      <c r="F371" s="28" t="s">
        <v>31</v>
      </c>
      <c r="G371" s="28" t="s">
        <v>703</v>
      </c>
      <c r="H371" s="28">
        <v>27857</v>
      </c>
      <c r="I371" s="29">
        <f>IFERROR(_xlfn.XLOOKUP(E371,[1]EMPREENDIMENTO!C:C,[1]EMPREENDIMENTO!E:E),"0")</f>
        <v>288</v>
      </c>
      <c r="J371" s="30">
        <v>46636</v>
      </c>
      <c r="K371" s="28" t="s">
        <v>164</v>
      </c>
      <c r="L371" s="31">
        <v>46154</v>
      </c>
      <c r="M371" s="32">
        <v>121071014</v>
      </c>
      <c r="N371" s="32">
        <v>127040470</v>
      </c>
      <c r="O371" s="32">
        <v>126279102</v>
      </c>
      <c r="P371" s="28" t="s">
        <v>34</v>
      </c>
      <c r="Q371" s="28" t="s">
        <v>704</v>
      </c>
      <c r="R371" s="30">
        <v>46148</v>
      </c>
      <c r="S371" s="30">
        <v>46155</v>
      </c>
      <c r="T371" s="33"/>
      <c r="U371" s="34" t="str">
        <f>IFERROR(_xlfn.XLOOKUP(E371,[1]EMPREENDIMENTO!C:C,[1]EMPREENDIMENTO!D:D),"")</f>
        <v>77896d6b-3778-ea11-b686-005056856875</v>
      </c>
    </row>
    <row r="372" spans="1:21" hidden="1" x14ac:dyDescent="0.35">
      <c r="A372" s="28" t="str">
        <f>IFERROR(_xlfn.XLOOKUP(C372,[1]DIRETORIA!C:C,[1]DIRETORIA!A:A),"-")</f>
        <v>DIR. COM E CRED NE</v>
      </c>
      <c r="B372" s="28" t="str">
        <f>IFERROR(_xlfn.XLOOKUP(C372,[1]DIRETORIA!C:C,[1]DIRETORIA!B:B),"-")</f>
        <v>GST. COM NE 7 (PI+MA)</v>
      </c>
      <c r="C372" s="28" t="str">
        <f>IFERROR(_xlfn.XLOOKUP(E372,[1]EMPREENDIMENTO!C:C,[1]EMPREENDIMENTO!A:A),"-")</f>
        <v>TERESINA</v>
      </c>
      <c r="D372" s="28" t="s">
        <v>29</v>
      </c>
      <c r="E372" s="28" t="s">
        <v>702</v>
      </c>
      <c r="F372" s="28" t="s">
        <v>36</v>
      </c>
      <c r="G372" s="28" t="s">
        <v>705</v>
      </c>
      <c r="H372" s="28">
        <v>34747</v>
      </c>
      <c r="I372" s="29">
        <f>IFERROR(_xlfn.XLOOKUP(E372,[1]EMPREENDIMENTO!C:C,[1]EMPREENDIMENTO!E:E),"0")</f>
        <v>288</v>
      </c>
      <c r="J372" s="30">
        <v>46636</v>
      </c>
      <c r="K372" s="28" t="s">
        <v>164</v>
      </c>
      <c r="L372" s="31">
        <v>46154</v>
      </c>
      <c r="M372" s="32">
        <v>121071014</v>
      </c>
      <c r="N372" s="32">
        <v>127040470</v>
      </c>
      <c r="O372" s="32">
        <v>126279102</v>
      </c>
      <c r="P372" s="28" t="s">
        <v>34</v>
      </c>
      <c r="Q372" s="28" t="s">
        <v>704</v>
      </c>
      <c r="R372" s="30">
        <v>46148</v>
      </c>
      <c r="S372" s="30">
        <v>46155</v>
      </c>
      <c r="T372" s="33"/>
      <c r="U372" s="34" t="str">
        <f>IFERROR(_xlfn.XLOOKUP(E372,[1]EMPREENDIMENTO!C:C,[1]EMPREENDIMENTO!D:D),"")</f>
        <v>77896d6b-3778-ea11-b686-005056856875</v>
      </c>
    </row>
    <row r="373" spans="1:21" x14ac:dyDescent="0.35">
      <c r="A373" s="28" t="str">
        <f>IFERROR(_xlfn.XLOOKUP(C373,[1]DIRETORIA!C:C,[1]DIRETORIA!A:A),"-")</f>
        <v>DIR. COM E CRED SPI CP</v>
      </c>
      <c r="B373" s="28" t="str">
        <f>IFERROR(_xlfn.XLOOKUP(C373,[1]DIRETORIA!C:C,[1]DIRETORIA!B:B),"-")</f>
        <v>GST. COM CP1</v>
      </c>
      <c r="C373" s="28" t="str">
        <f>IFERROR(_xlfn.XLOOKUP(E373,[1]EMPREENDIMENTO!C:C,[1]EMPREENDIMENTO!A:A),"-")</f>
        <v>CAMPINAS</v>
      </c>
      <c r="D373" s="28" t="s">
        <v>29</v>
      </c>
      <c r="E373" s="28" t="s">
        <v>706</v>
      </c>
      <c r="F373" s="28" t="s">
        <v>31</v>
      </c>
      <c r="G373" s="28" t="s">
        <v>707</v>
      </c>
      <c r="H373" s="28">
        <v>31253</v>
      </c>
      <c r="I373" s="29">
        <f>IFERROR(_xlfn.XLOOKUP(E373,[1]EMPREENDIMENTO!C:C,[1]EMPREENDIMENTO!E:E),"0")</f>
        <v>488</v>
      </c>
      <c r="J373" s="30">
        <v>46201</v>
      </c>
      <c r="K373" s="28" t="s">
        <v>33</v>
      </c>
      <c r="L373" s="31">
        <v>45280</v>
      </c>
      <c r="M373" s="32">
        <v>127628767</v>
      </c>
      <c r="N373" s="32">
        <v>137184027</v>
      </c>
      <c r="O373" s="32">
        <v>137184027</v>
      </c>
      <c r="P373" s="28" t="s">
        <v>34</v>
      </c>
      <c r="Q373" s="28" t="s">
        <v>708</v>
      </c>
      <c r="R373" s="30">
        <v>45295</v>
      </c>
      <c r="S373" s="30">
        <v>45280</v>
      </c>
      <c r="T373" s="33"/>
      <c r="U373" s="34" t="str">
        <f>IFERROR(_xlfn.XLOOKUP(E373,[1]EMPREENDIMENTO!C:C,[1]EMPREENDIMENTO!D:D),"")</f>
        <v>6115a868-1e0f-e711-ac8b-80c16e075108</v>
      </c>
    </row>
    <row r="374" spans="1:21" x14ac:dyDescent="0.35">
      <c r="A374" s="28" t="str">
        <f>IFERROR(_xlfn.XLOOKUP(C374,[1]DIRETORIA!C:C,[1]DIRETORIA!A:A),"-")</f>
        <v>DIR. COM E CRED SPI CP</v>
      </c>
      <c r="B374" s="28" t="str">
        <f>IFERROR(_xlfn.XLOOKUP(C374,[1]DIRETORIA!C:C,[1]DIRETORIA!B:B),"-")</f>
        <v>GST. COM CP1</v>
      </c>
      <c r="C374" s="28" t="str">
        <f>IFERROR(_xlfn.XLOOKUP(E374,[1]EMPREENDIMENTO!C:C,[1]EMPREENDIMENTO!A:A),"-")</f>
        <v>CAMPINAS</v>
      </c>
      <c r="D374" s="28" t="s">
        <v>29</v>
      </c>
      <c r="E374" s="28" t="s">
        <v>706</v>
      </c>
      <c r="F374" s="28" t="s">
        <v>36</v>
      </c>
      <c r="G374" s="28" t="s">
        <v>709</v>
      </c>
      <c r="H374" s="28">
        <v>31991</v>
      </c>
      <c r="I374" s="29">
        <f>IFERROR(_xlfn.XLOOKUP(E374,[1]EMPREENDIMENTO!C:C,[1]EMPREENDIMENTO!E:E),"0")</f>
        <v>488</v>
      </c>
      <c r="J374" s="30">
        <v>46201</v>
      </c>
      <c r="K374" s="28" t="s">
        <v>33</v>
      </c>
      <c r="L374" s="31">
        <v>45280</v>
      </c>
      <c r="M374" s="32">
        <v>127628767</v>
      </c>
      <c r="N374" s="32">
        <v>137184027</v>
      </c>
      <c r="O374" s="32">
        <v>137184027</v>
      </c>
      <c r="P374" s="28" t="s">
        <v>34</v>
      </c>
      <c r="Q374" s="28" t="s">
        <v>708</v>
      </c>
      <c r="R374" s="30">
        <v>45295</v>
      </c>
      <c r="S374" s="30">
        <v>45280</v>
      </c>
      <c r="T374" s="33"/>
      <c r="U374" s="34" t="str">
        <f>IFERROR(_xlfn.XLOOKUP(E374,[1]EMPREENDIMENTO!C:C,[1]EMPREENDIMENTO!D:D),"")</f>
        <v>6115a868-1e0f-e711-ac8b-80c16e075108</v>
      </c>
    </row>
    <row r="375" spans="1:21" hidden="1" x14ac:dyDescent="0.35">
      <c r="A375" s="28" t="str">
        <f>IFERROR(_xlfn.XLOOKUP(C375,[1]DIRETORIA!C:C,[1]DIRETORIA!A:A),"-")</f>
        <v>DIR. COM E CRED NE</v>
      </c>
      <c r="B375" s="28" t="str">
        <f>IFERROR(_xlfn.XLOOKUP(C375,[1]DIRETORIA!C:C,[1]DIRETORIA!B:B),"-")</f>
        <v>GST. COM NE2 (PE)</v>
      </c>
      <c r="C375" s="28" t="str">
        <f>IFERROR(_xlfn.XLOOKUP(E375,[1]EMPREENDIMENTO!C:C,[1]EMPREENDIMENTO!A:A),"-")</f>
        <v>JABOATÃO DOS GUARARAPES</v>
      </c>
      <c r="D375" s="28" t="s">
        <v>29</v>
      </c>
      <c r="E375" s="28" t="s">
        <v>710</v>
      </c>
      <c r="F375" s="28" t="s">
        <v>31</v>
      </c>
      <c r="G375" s="28" t="s">
        <v>711</v>
      </c>
      <c r="H375" s="28">
        <v>13250</v>
      </c>
      <c r="I375" s="29">
        <f>IFERROR(_xlfn.XLOOKUP(E375,[1]EMPREENDIMENTO!C:C,[1]EMPREENDIMENTO!E:E),"0")</f>
        <v>500</v>
      </c>
      <c r="J375" s="30">
        <v>46461</v>
      </c>
      <c r="K375" s="28" t="s">
        <v>33</v>
      </c>
      <c r="L375" s="31">
        <v>45657</v>
      </c>
      <c r="M375" s="32">
        <v>110174010</v>
      </c>
      <c r="N375" s="32">
        <v>116035140</v>
      </c>
      <c r="O375" s="32">
        <v>116035140</v>
      </c>
      <c r="P375" s="28" t="s">
        <v>34</v>
      </c>
      <c r="Q375" s="28" t="s">
        <v>712</v>
      </c>
      <c r="R375" s="30">
        <v>45670</v>
      </c>
      <c r="S375" s="30">
        <v>45660</v>
      </c>
      <c r="T375" s="33"/>
      <c r="U375" s="34" t="str">
        <f>IFERROR(_xlfn.XLOOKUP(E375,[1]EMPREENDIMENTO!C:C,[1]EMPREENDIMENTO!D:D),"")</f>
        <v>82967f4c-4b7c-e711-91b2-80c16e075108</v>
      </c>
    </row>
    <row r="376" spans="1:21" hidden="1" x14ac:dyDescent="0.35">
      <c r="A376" s="28" t="str">
        <f>IFERROR(_xlfn.XLOOKUP(C376,[1]DIRETORIA!C:C,[1]DIRETORIA!A:A),"-")</f>
        <v>DIR. COM E CRED NE</v>
      </c>
      <c r="B376" s="28" t="str">
        <f>IFERROR(_xlfn.XLOOKUP(C376,[1]DIRETORIA!C:C,[1]DIRETORIA!B:B),"-")</f>
        <v>GST. COM NE2 (PE)</v>
      </c>
      <c r="C376" s="28" t="str">
        <f>IFERROR(_xlfn.XLOOKUP(E376,[1]EMPREENDIMENTO!C:C,[1]EMPREENDIMENTO!A:A),"-")</f>
        <v>JABOATÃO DOS GUARARAPES</v>
      </c>
      <c r="D376" s="28" t="s">
        <v>29</v>
      </c>
      <c r="E376" s="28" t="s">
        <v>710</v>
      </c>
      <c r="F376" s="28" t="s">
        <v>36</v>
      </c>
      <c r="G376" s="28" t="s">
        <v>713</v>
      </c>
      <c r="H376" s="28">
        <v>33108</v>
      </c>
      <c r="I376" s="29">
        <f>IFERROR(_xlfn.XLOOKUP(E376,[1]EMPREENDIMENTO!C:C,[1]EMPREENDIMENTO!E:E),"0")</f>
        <v>500</v>
      </c>
      <c r="J376" s="30">
        <v>46461</v>
      </c>
      <c r="K376" s="28" t="s">
        <v>33</v>
      </c>
      <c r="L376" s="31">
        <v>45657</v>
      </c>
      <c r="M376" s="32">
        <v>110174010</v>
      </c>
      <c r="N376" s="32">
        <v>116035140</v>
      </c>
      <c r="O376" s="32">
        <v>116035140</v>
      </c>
      <c r="P376" s="28" t="s">
        <v>34</v>
      </c>
      <c r="Q376" s="28" t="s">
        <v>712</v>
      </c>
      <c r="R376" s="30">
        <v>45670</v>
      </c>
      <c r="S376" s="30">
        <v>45660</v>
      </c>
      <c r="T376" s="33"/>
      <c r="U376" s="34" t="str">
        <f>IFERROR(_xlfn.XLOOKUP(E376,[1]EMPREENDIMENTO!C:C,[1]EMPREENDIMENTO!D:D),"")</f>
        <v>82967f4c-4b7c-e711-91b2-80c16e075108</v>
      </c>
    </row>
    <row r="377" spans="1:21" hidden="1" x14ac:dyDescent="0.35">
      <c r="A377" s="28" t="str">
        <f>IFERROR(_xlfn.XLOOKUP(C377,[1]DIRETORIA!C:C,[1]DIRETORIA!A:A),"-")</f>
        <v>DIR. COM E CRED NE</v>
      </c>
      <c r="B377" s="28" t="str">
        <f>IFERROR(_xlfn.XLOOKUP(C377,[1]DIRETORIA!C:C,[1]DIRETORIA!B:B),"-")</f>
        <v>GST. COM NE2 (PE)</v>
      </c>
      <c r="C377" s="28" t="str">
        <f>IFERROR(_xlfn.XLOOKUP(E377,[1]EMPREENDIMENTO!C:C,[1]EMPREENDIMENTO!A:A),"-")</f>
        <v>JABOATÃO DOS GUARARAPES</v>
      </c>
      <c r="D377" s="28" t="s">
        <v>29</v>
      </c>
      <c r="E377" s="28" t="s">
        <v>710</v>
      </c>
      <c r="F377" s="28" t="s">
        <v>39</v>
      </c>
      <c r="G377" s="28" t="s">
        <v>714</v>
      </c>
      <c r="H377" s="28">
        <v>33082</v>
      </c>
      <c r="I377" s="29">
        <f>IFERROR(_xlfn.XLOOKUP(E377,[1]EMPREENDIMENTO!C:C,[1]EMPREENDIMENTO!E:E),"0")</f>
        <v>500</v>
      </c>
      <c r="J377" s="30">
        <v>46461</v>
      </c>
      <c r="K377" s="28" t="s">
        <v>33</v>
      </c>
      <c r="L377" s="31">
        <v>45657</v>
      </c>
      <c r="M377" s="32">
        <v>110174010</v>
      </c>
      <c r="N377" s="32">
        <v>116035140</v>
      </c>
      <c r="O377" s="32">
        <v>116035140</v>
      </c>
      <c r="P377" s="28" t="s">
        <v>34</v>
      </c>
      <c r="Q377" s="28" t="s">
        <v>712</v>
      </c>
      <c r="R377" s="30">
        <v>45670</v>
      </c>
      <c r="S377" s="30">
        <v>45660</v>
      </c>
      <c r="T377" s="33"/>
      <c r="U377" s="34" t="str">
        <f>IFERROR(_xlfn.XLOOKUP(E377,[1]EMPREENDIMENTO!C:C,[1]EMPREENDIMENTO!D:D),"")</f>
        <v>82967f4c-4b7c-e711-91b2-80c16e075108</v>
      </c>
    </row>
    <row r="378" spans="1:21" hidden="1" x14ac:dyDescent="0.35">
      <c r="A378" s="28" t="str">
        <f>IFERROR(_xlfn.XLOOKUP(C378,[1]DIRETORIA!C:C,[1]DIRETORIA!A:A),"-")</f>
        <v>DIR. COM E CRED RJ</v>
      </c>
      <c r="B378" s="28" t="str">
        <f>IFERROR(_xlfn.XLOOKUP(C378,[1]DIRETORIA!C:C,[1]DIRETORIA!B:B),"-")</f>
        <v>GST. COM SF</v>
      </c>
      <c r="C378" s="28" t="str">
        <f>IFERROR(_xlfn.XLOOKUP(E378,[1]EMPREENDIMENTO!C:C,[1]EMPREENDIMENTO!A:A),"-")</f>
        <v>RESENDE</v>
      </c>
      <c r="D378" s="28" t="s">
        <v>29</v>
      </c>
      <c r="E378" s="28" t="s">
        <v>715</v>
      </c>
      <c r="F378" s="28" t="s">
        <v>31</v>
      </c>
      <c r="G378" s="28" t="s">
        <v>716</v>
      </c>
      <c r="H378" s="28">
        <v>18909</v>
      </c>
      <c r="I378" s="29">
        <f>IFERROR(_xlfn.XLOOKUP(E378,[1]EMPREENDIMENTO!C:C,[1]EMPREENDIMENTO!E:E),"0")</f>
        <v>400</v>
      </c>
      <c r="J378" s="30">
        <v>45716</v>
      </c>
      <c r="K378" s="28" t="s">
        <v>148</v>
      </c>
      <c r="L378" s="31">
        <v>45019</v>
      </c>
      <c r="M378" s="32">
        <v>82731800</v>
      </c>
      <c r="N378" s="32">
        <v>84156925</v>
      </c>
      <c r="O378" s="32">
        <v>84058378</v>
      </c>
      <c r="P378" s="28" t="s">
        <v>34</v>
      </c>
      <c r="Q378" s="28" t="s">
        <v>717</v>
      </c>
      <c r="R378" s="30">
        <v>45026</v>
      </c>
      <c r="S378" s="30">
        <v>45019</v>
      </c>
      <c r="T378" s="33"/>
      <c r="U378" s="34" t="str">
        <f>IFERROR(_xlfn.XLOOKUP(E378,[1]EMPREENDIMENTO!C:C,[1]EMPREENDIMENTO!D:D),"")</f>
        <v>05ecc5f1-5d72-e911-b1cd-009c02b0cb58</v>
      </c>
    </row>
    <row r="379" spans="1:21" hidden="1" x14ac:dyDescent="0.35">
      <c r="A379" s="28" t="str">
        <f>IFERROR(_xlfn.XLOOKUP(C379,[1]DIRETORIA!C:C,[1]DIRETORIA!A:A),"-")</f>
        <v>DIR. COM E CRED RJ</v>
      </c>
      <c r="B379" s="28" t="str">
        <f>IFERROR(_xlfn.XLOOKUP(C379,[1]DIRETORIA!C:C,[1]DIRETORIA!B:B),"-")</f>
        <v>GST. COM SF</v>
      </c>
      <c r="C379" s="28" t="str">
        <f>IFERROR(_xlfn.XLOOKUP(E379,[1]EMPREENDIMENTO!C:C,[1]EMPREENDIMENTO!A:A),"-")</f>
        <v>RESENDE</v>
      </c>
      <c r="D379" s="28" t="s">
        <v>29</v>
      </c>
      <c r="E379" s="28" t="s">
        <v>715</v>
      </c>
      <c r="F379" s="28" t="s">
        <v>36</v>
      </c>
      <c r="G379" s="28" t="s">
        <v>718</v>
      </c>
      <c r="H379" s="28">
        <v>21795</v>
      </c>
      <c r="I379" s="29">
        <f>IFERROR(_xlfn.XLOOKUP(E379,[1]EMPREENDIMENTO!C:C,[1]EMPREENDIMENTO!E:E),"0")</f>
        <v>400</v>
      </c>
      <c r="J379" s="30">
        <v>45716</v>
      </c>
      <c r="K379" s="28" t="s">
        <v>148</v>
      </c>
      <c r="L379" s="31">
        <v>45019</v>
      </c>
      <c r="M379" s="32">
        <v>82731800</v>
      </c>
      <c r="N379" s="32">
        <v>84156925</v>
      </c>
      <c r="O379" s="32">
        <v>84058378</v>
      </c>
      <c r="P379" s="28" t="s">
        <v>34</v>
      </c>
      <c r="Q379" s="28" t="s">
        <v>717</v>
      </c>
      <c r="R379" s="30">
        <v>45026</v>
      </c>
      <c r="S379" s="30">
        <v>45019</v>
      </c>
      <c r="T379" s="33"/>
      <c r="U379" s="34" t="str">
        <f>IFERROR(_xlfn.XLOOKUP(E379,[1]EMPREENDIMENTO!C:C,[1]EMPREENDIMENTO!D:D),"")</f>
        <v>05ecc5f1-5d72-e911-b1cd-009c02b0cb58</v>
      </c>
    </row>
    <row r="380" spans="1:21" hidden="1" x14ac:dyDescent="0.35">
      <c r="A380" s="28" t="str">
        <f>IFERROR(_xlfn.XLOOKUP(C380,[1]DIRETORIA!C:C,[1]DIRETORIA!A:A),"-")</f>
        <v>DIR. COM E CRED RJ</v>
      </c>
      <c r="B380" s="28" t="str">
        <f>IFERROR(_xlfn.XLOOKUP(C380,[1]DIRETORIA!C:C,[1]DIRETORIA!B:B),"-")</f>
        <v>GST. COM SF</v>
      </c>
      <c r="C380" s="28" t="str">
        <f>IFERROR(_xlfn.XLOOKUP(E380,[1]EMPREENDIMENTO!C:C,[1]EMPREENDIMENTO!A:A),"-")</f>
        <v>RESENDE</v>
      </c>
      <c r="D380" s="28" t="s">
        <v>29</v>
      </c>
      <c r="E380" s="28" t="s">
        <v>715</v>
      </c>
      <c r="F380" s="28" t="s">
        <v>39</v>
      </c>
      <c r="G380" s="28" t="s">
        <v>719</v>
      </c>
      <c r="H380" s="28">
        <v>21796</v>
      </c>
      <c r="I380" s="29">
        <f>IFERROR(_xlfn.XLOOKUP(E380,[1]EMPREENDIMENTO!C:C,[1]EMPREENDIMENTO!E:E),"0")</f>
        <v>400</v>
      </c>
      <c r="J380" s="30">
        <v>45716</v>
      </c>
      <c r="K380" s="28" t="s">
        <v>148</v>
      </c>
      <c r="L380" s="31">
        <v>45019</v>
      </c>
      <c r="M380" s="32">
        <v>82731800</v>
      </c>
      <c r="N380" s="32">
        <v>84156925</v>
      </c>
      <c r="O380" s="32">
        <v>84058378</v>
      </c>
      <c r="P380" s="28" t="s">
        <v>34</v>
      </c>
      <c r="Q380" s="28" t="s">
        <v>717</v>
      </c>
      <c r="R380" s="30">
        <v>45026</v>
      </c>
      <c r="S380" s="30">
        <v>45019</v>
      </c>
      <c r="T380" s="33"/>
      <c r="U380" s="34" t="str">
        <f>IFERROR(_xlfn.XLOOKUP(E380,[1]EMPREENDIMENTO!C:C,[1]EMPREENDIMENTO!D:D),"")</f>
        <v>05ecc5f1-5d72-e911-b1cd-009c02b0cb58</v>
      </c>
    </row>
    <row r="381" spans="1:21" hidden="1" x14ac:dyDescent="0.35">
      <c r="A381" s="28" t="str">
        <f>IFERROR(_xlfn.XLOOKUP(C381,[1]DIRETORIA!C:C,[1]DIRETORIA!A:A),"-")</f>
        <v>DIR. COM E CRED SUL</v>
      </c>
      <c r="B381" s="28" t="str">
        <f>IFERROR(_xlfn.XLOOKUP(C381,[1]DIRETORIA!C:C,[1]DIRETORIA!B:B),"-")</f>
        <v>GST. COM LONDRINA</v>
      </c>
      <c r="C381" s="28" t="str">
        <f>IFERROR(_xlfn.XLOOKUP(E381,[1]EMPREENDIMENTO!C:C,[1]EMPREENDIMENTO!A:A),"-")</f>
        <v>MARINGÁ</v>
      </c>
      <c r="D381" s="28" t="s">
        <v>29</v>
      </c>
      <c r="E381" s="28" t="s">
        <v>720</v>
      </c>
      <c r="F381" s="28" t="s">
        <v>31</v>
      </c>
      <c r="G381" s="28" t="s">
        <v>721</v>
      </c>
      <c r="H381" s="28">
        <v>37664</v>
      </c>
      <c r="I381" s="29">
        <f>IFERROR(_xlfn.XLOOKUP(E381,[1]EMPREENDIMENTO!C:C,[1]EMPREENDIMENTO!E:E),"0")</f>
        <v>336</v>
      </c>
      <c r="J381" s="30">
        <v>46580</v>
      </c>
      <c r="K381" s="28" t="s">
        <v>33</v>
      </c>
      <c r="L381" s="31">
        <v>45818</v>
      </c>
      <c r="M381" s="32">
        <v>96023580</v>
      </c>
      <c r="N381" s="32">
        <v>103232000</v>
      </c>
      <c r="O381" s="32">
        <v>100112090</v>
      </c>
      <c r="P381" s="28" t="s">
        <v>34</v>
      </c>
      <c r="Q381" s="28" t="s">
        <v>722</v>
      </c>
      <c r="R381" s="30">
        <v>45827</v>
      </c>
      <c r="S381" s="30">
        <v>45818</v>
      </c>
      <c r="T381" s="33"/>
      <c r="U381" s="34" t="str">
        <f>IFERROR(_xlfn.XLOOKUP(E381,[1]EMPREENDIMENTO!C:C,[1]EMPREENDIMENTO!D:D),"")</f>
        <v>280a531d-5a06-ea11-ba0a-0050568aa20f</v>
      </c>
    </row>
    <row r="382" spans="1:21" hidden="1" x14ac:dyDescent="0.35">
      <c r="A382" s="28" t="str">
        <f>IFERROR(_xlfn.XLOOKUP(C382,[1]DIRETORIA!C:C,[1]DIRETORIA!A:A),"-")</f>
        <v>DIR. COM E CRED SUL</v>
      </c>
      <c r="B382" s="28" t="str">
        <f>IFERROR(_xlfn.XLOOKUP(C382,[1]DIRETORIA!C:C,[1]DIRETORIA!B:B),"-")</f>
        <v>GST. COM LONDRINA</v>
      </c>
      <c r="C382" s="28" t="str">
        <f>IFERROR(_xlfn.XLOOKUP(E382,[1]EMPREENDIMENTO!C:C,[1]EMPREENDIMENTO!A:A),"-")</f>
        <v>MARINGÁ</v>
      </c>
      <c r="D382" s="28" t="s">
        <v>29</v>
      </c>
      <c r="E382" s="28" t="s">
        <v>720</v>
      </c>
      <c r="F382" s="28" t="s">
        <v>36</v>
      </c>
      <c r="G382" s="28" t="s">
        <v>723</v>
      </c>
      <c r="H382" s="28">
        <v>26328</v>
      </c>
      <c r="I382" s="29">
        <f>IFERROR(_xlfn.XLOOKUP(E382,[1]EMPREENDIMENTO!C:C,[1]EMPREENDIMENTO!E:E),"0")</f>
        <v>336</v>
      </c>
      <c r="J382" s="30">
        <v>46580</v>
      </c>
      <c r="K382" s="28" t="s">
        <v>33</v>
      </c>
      <c r="L382" s="31">
        <v>45818</v>
      </c>
      <c r="M382" s="32">
        <v>96023580</v>
      </c>
      <c r="N382" s="32">
        <v>103232000</v>
      </c>
      <c r="O382" s="32">
        <v>100112090</v>
      </c>
      <c r="P382" s="28" t="s">
        <v>34</v>
      </c>
      <c r="Q382" s="28" t="s">
        <v>722</v>
      </c>
      <c r="R382" s="30">
        <v>45827</v>
      </c>
      <c r="S382" s="30">
        <v>45818</v>
      </c>
      <c r="T382" s="33"/>
      <c r="U382" s="34" t="str">
        <f>IFERROR(_xlfn.XLOOKUP(E382,[1]EMPREENDIMENTO!C:C,[1]EMPREENDIMENTO!D:D),"")</f>
        <v>280a531d-5a06-ea11-ba0a-0050568aa20f</v>
      </c>
    </row>
    <row r="383" spans="1:21" hidden="1" x14ac:dyDescent="0.35">
      <c r="A383" s="28" t="str">
        <f>IFERROR(_xlfn.XLOOKUP(C383,[1]DIRETORIA!C:C,[1]DIRETORIA!A:A),"-")</f>
        <v>DIR. COM E CRED NE</v>
      </c>
      <c r="B383" s="28" t="str">
        <f>IFERROR(_xlfn.XLOOKUP(C383,[1]DIRETORIA!C:C,[1]DIRETORIA!B:B),"-")</f>
        <v>GST. COM NE2 (PE)</v>
      </c>
      <c r="C383" s="28" t="str">
        <f>IFERROR(_xlfn.XLOOKUP(E383,[1]EMPREENDIMENTO!C:C,[1]EMPREENDIMENTO!A:A),"-")</f>
        <v>CARUARU</v>
      </c>
      <c r="D383" s="28" t="s">
        <v>85</v>
      </c>
      <c r="E383" s="28" t="s">
        <v>724</v>
      </c>
      <c r="F383" s="28" t="s">
        <v>42</v>
      </c>
      <c r="G383" s="28" t="s">
        <v>725</v>
      </c>
      <c r="H383" s="28">
        <v>36898</v>
      </c>
      <c r="I383" s="29">
        <f>IFERROR(_xlfn.XLOOKUP(E383,[1]EMPREENDIMENTO!C:C,[1]EMPREENDIMENTO!E:E),"0")</f>
        <v>0</v>
      </c>
      <c r="J383" s="30"/>
      <c r="K383" s="28" t="s">
        <v>33</v>
      </c>
      <c r="L383" s="31">
        <v>45036</v>
      </c>
      <c r="M383" s="32">
        <v>58606400</v>
      </c>
      <c r="N383" s="32">
        <v>58606400</v>
      </c>
      <c r="O383" s="32">
        <v>51906000</v>
      </c>
      <c r="P383" s="28" t="s">
        <v>34</v>
      </c>
      <c r="Q383" s="28"/>
      <c r="R383" s="30"/>
      <c r="S383" s="30">
        <v>45036</v>
      </c>
      <c r="T383" s="33"/>
      <c r="U383" s="34">
        <f>IFERROR(_xlfn.XLOOKUP(E383,[1]EMPREENDIMENTO!C:C,[1]EMPREENDIMENTO!D:D),"")</f>
        <v>0</v>
      </c>
    </row>
    <row r="384" spans="1:21" hidden="1" x14ac:dyDescent="0.35">
      <c r="A384" s="28" t="str">
        <f>IFERROR(_xlfn.XLOOKUP(C384,[1]DIRETORIA!C:C,[1]DIRETORIA!A:A),"-")</f>
        <v>DIR. COM E CRED RJ</v>
      </c>
      <c r="B384" s="28" t="str">
        <f>IFERROR(_xlfn.XLOOKUP(C384,[1]DIRETORIA!C:C,[1]DIRETORIA!B:B),"-")</f>
        <v>GST. COM NF</v>
      </c>
      <c r="C384" s="28" t="str">
        <f>IFERROR(_xlfn.XLOOKUP(E384,[1]EMPREENDIMENTO!C:C,[1]EMPREENDIMENTO!A:A),"-")</f>
        <v>MACAÉ</v>
      </c>
      <c r="D384" s="28" t="s">
        <v>29</v>
      </c>
      <c r="E384" s="28" t="s">
        <v>726</v>
      </c>
      <c r="F384" s="28" t="s">
        <v>31</v>
      </c>
      <c r="G384" s="28" t="s">
        <v>727</v>
      </c>
      <c r="H384" s="28">
        <v>32739</v>
      </c>
      <c r="I384" s="29">
        <f>IFERROR(_xlfn.XLOOKUP(E384,[1]EMPREENDIMENTO!C:C,[1]EMPREENDIMENTO!E:E),"0")</f>
        <v>528</v>
      </c>
      <c r="J384" s="30">
        <v>46593</v>
      </c>
      <c r="K384" s="28" t="s">
        <v>33</v>
      </c>
      <c r="L384" s="31">
        <v>45706</v>
      </c>
      <c r="M384" s="32">
        <v>108171000</v>
      </c>
      <c r="N384" s="32">
        <v>116039000</v>
      </c>
      <c r="O384" s="32">
        <v>115886000</v>
      </c>
      <c r="P384" s="28" t="s">
        <v>34</v>
      </c>
      <c r="Q384" s="28" t="s">
        <v>728</v>
      </c>
      <c r="R384" s="30">
        <v>45705</v>
      </c>
      <c r="S384" s="30">
        <v>45707</v>
      </c>
      <c r="T384" s="33"/>
      <c r="U384" s="34" t="str">
        <f>IFERROR(_xlfn.XLOOKUP(E384,[1]EMPREENDIMENTO!C:C,[1]EMPREENDIMENTO!D:D),"")</f>
        <v>e868ddda-2fe8-df11-b242-001f2909e810</v>
      </c>
    </row>
    <row r="385" spans="1:21" hidden="1" x14ac:dyDescent="0.35">
      <c r="A385" s="28" t="str">
        <f>IFERROR(_xlfn.XLOOKUP(C385,[1]DIRETORIA!C:C,[1]DIRETORIA!A:A),"-")</f>
        <v>DIR. COM E CRED RJ</v>
      </c>
      <c r="B385" s="28" t="str">
        <f>IFERROR(_xlfn.XLOOKUP(C385,[1]DIRETORIA!C:C,[1]DIRETORIA!B:B),"-")</f>
        <v>GST. COM NF</v>
      </c>
      <c r="C385" s="28" t="str">
        <f>IFERROR(_xlfn.XLOOKUP(E385,[1]EMPREENDIMENTO!C:C,[1]EMPREENDIMENTO!A:A),"-")</f>
        <v>MACAÉ</v>
      </c>
      <c r="D385" s="28" t="s">
        <v>29</v>
      </c>
      <c r="E385" s="28" t="s">
        <v>726</v>
      </c>
      <c r="F385" s="28" t="s">
        <v>36</v>
      </c>
      <c r="G385" s="28" t="s">
        <v>729</v>
      </c>
      <c r="H385" s="28">
        <v>38975</v>
      </c>
      <c r="I385" s="29">
        <f>IFERROR(_xlfn.XLOOKUP(E385,[1]EMPREENDIMENTO!C:C,[1]EMPREENDIMENTO!E:E),"0")</f>
        <v>528</v>
      </c>
      <c r="J385" s="30">
        <v>46593</v>
      </c>
      <c r="K385" s="28" t="s">
        <v>33</v>
      </c>
      <c r="L385" s="31">
        <v>45706</v>
      </c>
      <c r="M385" s="32">
        <v>108171000</v>
      </c>
      <c r="N385" s="32">
        <v>116039000</v>
      </c>
      <c r="O385" s="32">
        <v>115886000</v>
      </c>
      <c r="P385" s="28" t="s">
        <v>34</v>
      </c>
      <c r="Q385" s="28" t="s">
        <v>728</v>
      </c>
      <c r="R385" s="30">
        <v>45705</v>
      </c>
      <c r="S385" s="30">
        <v>45707</v>
      </c>
      <c r="T385" s="33"/>
      <c r="U385" s="34" t="str">
        <f>IFERROR(_xlfn.XLOOKUP(E385,[1]EMPREENDIMENTO!C:C,[1]EMPREENDIMENTO!D:D),"")</f>
        <v>e868ddda-2fe8-df11-b242-001f2909e810</v>
      </c>
    </row>
    <row r="386" spans="1:21" hidden="1" x14ac:dyDescent="0.35">
      <c r="A386" s="28" t="str">
        <f>IFERROR(_xlfn.XLOOKUP(C386,[1]DIRETORIA!C:C,[1]DIRETORIA!A:A),"-")</f>
        <v>DIR. COM E CRED RJ</v>
      </c>
      <c r="B386" s="28" t="str">
        <f>IFERROR(_xlfn.XLOOKUP(C386,[1]DIRETORIA!C:C,[1]DIRETORIA!B:B),"-")</f>
        <v>GST. COM NF</v>
      </c>
      <c r="C386" s="28" t="str">
        <f>IFERROR(_xlfn.XLOOKUP(E386,[1]EMPREENDIMENTO!C:C,[1]EMPREENDIMENTO!A:A),"-")</f>
        <v>MACAÉ</v>
      </c>
      <c r="D386" s="28" t="s">
        <v>29</v>
      </c>
      <c r="E386" s="28" t="s">
        <v>726</v>
      </c>
      <c r="F386" s="28" t="s">
        <v>39</v>
      </c>
      <c r="G386" s="28" t="s">
        <v>730</v>
      </c>
      <c r="H386" s="28">
        <v>35707</v>
      </c>
      <c r="I386" s="29">
        <f>IFERROR(_xlfn.XLOOKUP(E386,[1]EMPREENDIMENTO!C:C,[1]EMPREENDIMENTO!E:E),"0")</f>
        <v>528</v>
      </c>
      <c r="J386" s="30">
        <v>46593</v>
      </c>
      <c r="K386" s="28" t="s">
        <v>33</v>
      </c>
      <c r="L386" s="31">
        <v>45706</v>
      </c>
      <c r="M386" s="32">
        <v>108171000</v>
      </c>
      <c r="N386" s="32">
        <v>116039000</v>
      </c>
      <c r="O386" s="32">
        <v>115886000</v>
      </c>
      <c r="P386" s="28" t="s">
        <v>34</v>
      </c>
      <c r="Q386" s="28" t="s">
        <v>728</v>
      </c>
      <c r="R386" s="30">
        <v>45705</v>
      </c>
      <c r="S386" s="30">
        <v>45707</v>
      </c>
      <c r="T386" s="33"/>
      <c r="U386" s="34" t="str">
        <f>IFERROR(_xlfn.XLOOKUP(E386,[1]EMPREENDIMENTO!C:C,[1]EMPREENDIMENTO!D:D),"")</f>
        <v>e868ddda-2fe8-df11-b242-001f2909e810</v>
      </c>
    </row>
    <row r="387" spans="1:21" hidden="1" x14ac:dyDescent="0.35">
      <c r="A387" s="28" t="str">
        <f>IFERROR(_xlfn.XLOOKUP(C387,[1]DIRETORIA!C:C,[1]DIRETORIA!A:A),"-")</f>
        <v>DIR. COM E CRED CO E AM</v>
      </c>
      <c r="B387" s="28" t="str">
        <f>IFERROR(_xlfn.XLOOKUP(C387,[1]DIRETORIA!C:C,[1]DIRETORIA!B:B),"-")</f>
        <v>GST. COM AM</v>
      </c>
      <c r="C387" s="28" t="str">
        <f>IFERROR(_xlfn.XLOOKUP(E387,[1]EMPREENDIMENTO!C:C,[1]EMPREENDIMENTO!A:A),"-")</f>
        <v>MANAUS</v>
      </c>
      <c r="D387" s="28" t="s">
        <v>29</v>
      </c>
      <c r="E387" s="28" t="s">
        <v>731</v>
      </c>
      <c r="F387" s="28" t="s">
        <v>31</v>
      </c>
      <c r="G387" s="28" t="s">
        <v>732</v>
      </c>
      <c r="H387" s="28">
        <v>51223</v>
      </c>
      <c r="I387" s="29">
        <f>IFERROR(_xlfn.XLOOKUP(E387,[1]EMPREENDIMENTO!C:C,[1]EMPREENDIMENTO!E:E),"0")</f>
        <v>480</v>
      </c>
      <c r="J387" s="30">
        <v>46720</v>
      </c>
      <c r="K387" s="28" t="s">
        <v>33</v>
      </c>
      <c r="L387" s="31">
        <v>46262</v>
      </c>
      <c r="M387" s="32">
        <v>230778832</v>
      </c>
      <c r="N387" s="32">
        <v>242778832</v>
      </c>
      <c r="O387" s="32">
        <v>241582232</v>
      </c>
      <c r="P387" s="28" t="s">
        <v>34</v>
      </c>
      <c r="Q387" s="28" t="s">
        <v>733</v>
      </c>
      <c r="R387" s="30">
        <v>46279</v>
      </c>
      <c r="S387" s="30">
        <v>46265</v>
      </c>
      <c r="T387" s="33"/>
      <c r="U387" s="34" t="str">
        <f>IFERROR(_xlfn.XLOOKUP(E387,[1]EMPREENDIMENTO!C:C,[1]EMPREENDIMENTO!D:D),"")</f>
        <v>41757e85-c95d-ec11-b2fe-005056895191</v>
      </c>
    </row>
    <row r="388" spans="1:21" hidden="1" x14ac:dyDescent="0.35">
      <c r="A388" s="28" t="str">
        <f>IFERROR(_xlfn.XLOOKUP(C388,[1]DIRETORIA!C:C,[1]DIRETORIA!A:A),"-")</f>
        <v>DIR. COM E CRED CO E AM</v>
      </c>
      <c r="B388" s="28" t="str">
        <f>IFERROR(_xlfn.XLOOKUP(C388,[1]DIRETORIA!C:C,[1]DIRETORIA!B:B),"-")</f>
        <v>GST. COM AM</v>
      </c>
      <c r="C388" s="28" t="str">
        <f>IFERROR(_xlfn.XLOOKUP(E388,[1]EMPREENDIMENTO!C:C,[1]EMPREENDIMENTO!A:A),"-")</f>
        <v>MANAUS</v>
      </c>
      <c r="D388" s="28" t="s">
        <v>29</v>
      </c>
      <c r="E388" s="28" t="s">
        <v>731</v>
      </c>
      <c r="F388" s="28" t="s">
        <v>36</v>
      </c>
      <c r="G388" s="28" t="s">
        <v>734</v>
      </c>
      <c r="H388" s="28">
        <v>45543</v>
      </c>
      <c r="I388" s="29">
        <f>IFERROR(_xlfn.XLOOKUP(E388,[1]EMPREENDIMENTO!C:C,[1]EMPREENDIMENTO!E:E),"0")</f>
        <v>480</v>
      </c>
      <c r="J388" s="30">
        <v>46720</v>
      </c>
      <c r="K388" s="28" t="s">
        <v>33</v>
      </c>
      <c r="L388" s="31">
        <v>46262</v>
      </c>
      <c r="M388" s="32">
        <v>230778832</v>
      </c>
      <c r="N388" s="32">
        <v>242778832</v>
      </c>
      <c r="O388" s="32">
        <v>241582232</v>
      </c>
      <c r="P388" s="28" t="s">
        <v>34</v>
      </c>
      <c r="Q388" s="28" t="s">
        <v>733</v>
      </c>
      <c r="R388" s="30">
        <v>46279</v>
      </c>
      <c r="S388" s="30">
        <v>46265</v>
      </c>
      <c r="T388" s="33"/>
      <c r="U388" s="34" t="str">
        <f>IFERROR(_xlfn.XLOOKUP(E388,[1]EMPREENDIMENTO!C:C,[1]EMPREENDIMENTO!D:D),"")</f>
        <v>41757e85-c95d-ec11-b2fe-005056895191</v>
      </c>
    </row>
    <row r="389" spans="1:21" hidden="1" x14ac:dyDescent="0.35">
      <c r="A389" s="28" t="str">
        <f>IFERROR(_xlfn.XLOOKUP(C389,[1]DIRETORIA!C:C,[1]DIRETORIA!A:A),"-")</f>
        <v>DIR. COM E CRED CO E AM</v>
      </c>
      <c r="B389" s="28" t="str">
        <f>IFERROR(_xlfn.XLOOKUP(C389,[1]DIRETORIA!C:C,[1]DIRETORIA!B:B),"-")</f>
        <v>GST. COM AM</v>
      </c>
      <c r="C389" s="28" t="str">
        <f>IFERROR(_xlfn.XLOOKUP(E389,[1]EMPREENDIMENTO!C:C,[1]EMPREENDIMENTO!A:A),"-")</f>
        <v>MANAUS</v>
      </c>
      <c r="D389" s="28" t="s">
        <v>85</v>
      </c>
      <c r="E389" s="28" t="s">
        <v>731</v>
      </c>
      <c r="F389" s="28" t="s">
        <v>39</v>
      </c>
      <c r="G389" s="28" t="s">
        <v>268</v>
      </c>
      <c r="H389" s="28" t="s">
        <v>268</v>
      </c>
      <c r="I389" s="29">
        <f>IFERROR(_xlfn.XLOOKUP(E389,[1]EMPREENDIMENTO!C:C,[1]EMPREENDIMENTO!E:E),"0")</f>
        <v>480</v>
      </c>
      <c r="J389" s="30">
        <v>46720</v>
      </c>
      <c r="K389" s="28" t="s">
        <v>33</v>
      </c>
      <c r="L389" s="31">
        <v>46262</v>
      </c>
      <c r="M389" s="32">
        <v>230778832</v>
      </c>
      <c r="N389" s="32">
        <v>242778832</v>
      </c>
      <c r="O389" s="32">
        <v>241582232</v>
      </c>
      <c r="P389" s="28" t="s">
        <v>34</v>
      </c>
      <c r="Q389" s="28" t="s">
        <v>733</v>
      </c>
      <c r="R389" s="30">
        <v>46279</v>
      </c>
      <c r="S389" s="30">
        <v>46265</v>
      </c>
      <c r="T389" s="33"/>
      <c r="U389" s="34" t="str">
        <f>IFERROR(_xlfn.XLOOKUP(E389,[1]EMPREENDIMENTO!C:C,[1]EMPREENDIMENTO!D:D),"")</f>
        <v>41757e85-c95d-ec11-b2fe-005056895191</v>
      </c>
    </row>
    <row r="390" spans="1:21" x14ac:dyDescent="0.35">
      <c r="A390" s="28" t="str">
        <f>IFERROR(_xlfn.XLOOKUP(C390,[1]DIRETORIA!C:C,[1]DIRETORIA!A:A),"-")</f>
        <v>DIR. COM E CRED SPI CP</v>
      </c>
      <c r="B390" s="28" t="str">
        <f>IFERROR(_xlfn.XLOOKUP(C390,[1]DIRETORIA!C:C,[1]DIRETORIA!B:B),"-")</f>
        <v>GST. COM CP2</v>
      </c>
      <c r="C390" s="28" t="str">
        <f>IFERROR(_xlfn.XLOOKUP(E390,[1]EMPREENDIMENTO!C:C,[1]EMPREENDIMENTO!A:A),"-")</f>
        <v>JUNDIAÍ</v>
      </c>
      <c r="D390" s="28" t="s">
        <v>29</v>
      </c>
      <c r="E390" s="28" t="s">
        <v>735</v>
      </c>
      <c r="F390" s="28" t="s">
        <v>42</v>
      </c>
      <c r="G390" s="28" t="s">
        <v>736</v>
      </c>
      <c r="H390" s="28">
        <v>37545</v>
      </c>
      <c r="I390" s="29">
        <f>IFERROR(_xlfn.XLOOKUP(E390,[1]EMPREENDIMENTO!C:C,[1]EMPREENDIMENTO!E:E),"0")</f>
        <v>160</v>
      </c>
      <c r="J390" s="30">
        <v>46418</v>
      </c>
      <c r="K390" s="28" t="s">
        <v>33</v>
      </c>
      <c r="L390" s="31">
        <v>45383</v>
      </c>
      <c r="M390" s="32">
        <v>40620800</v>
      </c>
      <c r="N390" s="32">
        <v>48355200</v>
      </c>
      <c r="O390" s="32">
        <v>43407600</v>
      </c>
      <c r="P390" s="28" t="s">
        <v>34</v>
      </c>
      <c r="Q390" s="28"/>
      <c r="R390" s="30">
        <v>45383</v>
      </c>
      <c r="S390" s="30">
        <v>45383</v>
      </c>
      <c r="T390" s="33"/>
      <c r="U390" s="34" t="str">
        <f>IFERROR(_xlfn.XLOOKUP(E390,[1]EMPREENDIMENTO!C:C,[1]EMPREENDIMENTO!D:D),"")</f>
        <v>7640345f-c9cf-ec11-ba45-005056890018</v>
      </c>
    </row>
    <row r="391" spans="1:21" hidden="1" x14ac:dyDescent="0.35">
      <c r="A391" s="28" t="str">
        <f>IFERROR(_xlfn.XLOOKUP(C391,[1]DIRETORIA!C:C,[1]DIRETORIA!A:A),"-")</f>
        <v>DIR. COM E CRED RJ</v>
      </c>
      <c r="B391" s="28" t="str">
        <f>IFERROR(_xlfn.XLOOKUP(C391,[1]DIRETORIA!C:C,[1]DIRETORIA!B:B),"-")</f>
        <v>GST. COM NF</v>
      </c>
      <c r="C391" s="28" t="str">
        <f>IFERROR(_xlfn.XLOOKUP(E391,[1]EMPREENDIMENTO!C:C,[1]EMPREENDIMENTO!A:A),"-")</f>
        <v>CAMPOS DOS GOYTACAZES</v>
      </c>
      <c r="D391" s="28" t="s">
        <v>29</v>
      </c>
      <c r="E391" s="28" t="s">
        <v>737</v>
      </c>
      <c r="F391" s="28" t="s">
        <v>31</v>
      </c>
      <c r="G391" s="28" t="s">
        <v>738</v>
      </c>
      <c r="H391" s="28">
        <v>20553</v>
      </c>
      <c r="I391" s="29">
        <f>IFERROR(_xlfn.XLOOKUP(E391,[1]EMPREENDIMENTO!C:C,[1]EMPREENDIMENTO!E:E),"0")</f>
        <v>480</v>
      </c>
      <c r="J391" s="30">
        <v>46790</v>
      </c>
      <c r="K391" s="28" t="s">
        <v>33</v>
      </c>
      <c r="L391" s="31">
        <v>45944</v>
      </c>
      <c r="M391" s="32">
        <v>103683568</v>
      </c>
      <c r="N391" s="32">
        <v>109464734</v>
      </c>
      <c r="O391" s="32">
        <v>109418335</v>
      </c>
      <c r="P391" s="28" t="s">
        <v>34</v>
      </c>
      <c r="Q391" s="28" t="s">
        <v>739</v>
      </c>
      <c r="R391" s="30">
        <v>45933</v>
      </c>
      <c r="S391" s="30">
        <v>45945</v>
      </c>
      <c r="T391" s="33"/>
      <c r="U391" s="34" t="str">
        <f>IFERROR(_xlfn.XLOOKUP(E391,[1]EMPREENDIMENTO!C:C,[1]EMPREENDIMENTO!D:D),"")</f>
        <v>9c50606c-59c0-e511-b93a-80c16e075108</v>
      </c>
    </row>
    <row r="392" spans="1:21" hidden="1" x14ac:dyDescent="0.35">
      <c r="A392" s="28" t="str">
        <f>IFERROR(_xlfn.XLOOKUP(C392,[1]DIRETORIA!C:C,[1]DIRETORIA!A:A),"-")</f>
        <v>DIR. COM E CRED RJ</v>
      </c>
      <c r="B392" s="28" t="str">
        <f>IFERROR(_xlfn.XLOOKUP(C392,[1]DIRETORIA!C:C,[1]DIRETORIA!B:B),"-")</f>
        <v>GST. COM NF</v>
      </c>
      <c r="C392" s="28" t="str">
        <f>IFERROR(_xlfn.XLOOKUP(E392,[1]EMPREENDIMENTO!C:C,[1]EMPREENDIMENTO!A:A),"-")</f>
        <v>CAMPOS DOS GOYTACAZES</v>
      </c>
      <c r="D392" s="28" t="s">
        <v>29</v>
      </c>
      <c r="E392" s="28" t="s">
        <v>737</v>
      </c>
      <c r="F392" s="28" t="s">
        <v>36</v>
      </c>
      <c r="G392" s="28" t="s">
        <v>740</v>
      </c>
      <c r="H392" s="28">
        <v>37006</v>
      </c>
      <c r="I392" s="29">
        <f>IFERROR(_xlfn.XLOOKUP(E392,[1]EMPREENDIMENTO!C:C,[1]EMPREENDIMENTO!E:E),"0")</f>
        <v>480</v>
      </c>
      <c r="J392" s="30">
        <v>46790</v>
      </c>
      <c r="K392" s="28" t="s">
        <v>33</v>
      </c>
      <c r="L392" s="31">
        <v>45944</v>
      </c>
      <c r="M392" s="32">
        <v>103683568</v>
      </c>
      <c r="N392" s="32">
        <v>109464734</v>
      </c>
      <c r="O392" s="32">
        <v>109418335</v>
      </c>
      <c r="P392" s="28" t="s">
        <v>34</v>
      </c>
      <c r="Q392" s="28" t="s">
        <v>739</v>
      </c>
      <c r="R392" s="30">
        <v>45933</v>
      </c>
      <c r="S392" s="30">
        <v>45945</v>
      </c>
      <c r="T392" s="33"/>
      <c r="U392" s="34" t="str">
        <f>IFERROR(_xlfn.XLOOKUP(E392,[1]EMPREENDIMENTO!C:C,[1]EMPREENDIMENTO!D:D),"")</f>
        <v>9c50606c-59c0-e511-b93a-80c16e075108</v>
      </c>
    </row>
    <row r="393" spans="1:21" hidden="1" x14ac:dyDescent="0.35">
      <c r="A393" s="28" t="str">
        <f>IFERROR(_xlfn.XLOOKUP(C393,[1]DIRETORIA!C:C,[1]DIRETORIA!A:A),"-")</f>
        <v>DIR. COM E CRED RJ</v>
      </c>
      <c r="B393" s="28" t="str">
        <f>IFERROR(_xlfn.XLOOKUP(C393,[1]DIRETORIA!C:C,[1]DIRETORIA!B:B),"-")</f>
        <v>GST. COM NF</v>
      </c>
      <c r="C393" s="28" t="str">
        <f>IFERROR(_xlfn.XLOOKUP(E393,[1]EMPREENDIMENTO!C:C,[1]EMPREENDIMENTO!A:A),"-")</f>
        <v>CAMPOS DOS GOYTACAZES</v>
      </c>
      <c r="D393" s="28" t="s">
        <v>29</v>
      </c>
      <c r="E393" s="28" t="s">
        <v>737</v>
      </c>
      <c r="F393" s="28" t="s">
        <v>39</v>
      </c>
      <c r="G393" s="28" t="s">
        <v>741</v>
      </c>
      <c r="H393" s="28">
        <v>25155</v>
      </c>
      <c r="I393" s="29">
        <f>IFERROR(_xlfn.XLOOKUP(E393,[1]EMPREENDIMENTO!C:C,[1]EMPREENDIMENTO!E:E),"0")</f>
        <v>480</v>
      </c>
      <c r="J393" s="30">
        <v>46790</v>
      </c>
      <c r="K393" s="28" t="s">
        <v>33</v>
      </c>
      <c r="L393" s="31">
        <v>45944</v>
      </c>
      <c r="M393" s="32">
        <v>103683568</v>
      </c>
      <c r="N393" s="32">
        <v>109464734</v>
      </c>
      <c r="O393" s="32">
        <v>109418335</v>
      </c>
      <c r="P393" s="28" t="s">
        <v>34</v>
      </c>
      <c r="Q393" s="28" t="s">
        <v>739</v>
      </c>
      <c r="R393" s="30">
        <v>45933</v>
      </c>
      <c r="S393" s="30">
        <v>45945</v>
      </c>
      <c r="T393" s="33"/>
      <c r="U393" s="34" t="str">
        <f>IFERROR(_xlfn.XLOOKUP(E393,[1]EMPREENDIMENTO!C:C,[1]EMPREENDIMENTO!D:D),"")</f>
        <v>9c50606c-59c0-e511-b93a-80c16e075108</v>
      </c>
    </row>
    <row r="394" spans="1:21" hidden="1" x14ac:dyDescent="0.35">
      <c r="A394" s="28" t="str">
        <f>IFERROR(_xlfn.XLOOKUP(C394,[1]DIRETORIA!C:C,[1]DIRETORIA!A:A),"-")</f>
        <v>DIR. COM E CRED RJ</v>
      </c>
      <c r="B394" s="28" t="str">
        <f>IFERROR(_xlfn.XLOOKUP(C394,[1]DIRETORIA!C:C,[1]DIRETORIA!B:B),"-")</f>
        <v>GST. COM NF</v>
      </c>
      <c r="C394" s="28" t="str">
        <f>IFERROR(_xlfn.XLOOKUP(E394,[1]EMPREENDIMENTO!C:C,[1]EMPREENDIMENTO!A:A),"-")</f>
        <v>CAMPOS DOS GOYTACAZES</v>
      </c>
      <c r="D394" s="28" t="s">
        <v>29</v>
      </c>
      <c r="E394" s="28" t="s">
        <v>737</v>
      </c>
      <c r="F394" s="28" t="s">
        <v>50</v>
      </c>
      <c r="G394" s="28" t="s">
        <v>742</v>
      </c>
      <c r="H394" s="28">
        <v>24255</v>
      </c>
      <c r="I394" s="29">
        <f>IFERROR(_xlfn.XLOOKUP(E394,[1]EMPREENDIMENTO!C:C,[1]EMPREENDIMENTO!E:E),"0")</f>
        <v>480</v>
      </c>
      <c r="J394" s="30">
        <v>46790</v>
      </c>
      <c r="K394" s="28" t="s">
        <v>33</v>
      </c>
      <c r="L394" s="31">
        <v>45944</v>
      </c>
      <c r="M394" s="32">
        <v>103683568</v>
      </c>
      <c r="N394" s="32">
        <v>109464734</v>
      </c>
      <c r="O394" s="32">
        <v>109418335</v>
      </c>
      <c r="P394" s="28" t="s">
        <v>34</v>
      </c>
      <c r="Q394" s="28" t="s">
        <v>739</v>
      </c>
      <c r="R394" s="30">
        <v>45933</v>
      </c>
      <c r="S394" s="30">
        <v>45945</v>
      </c>
      <c r="T394" s="33"/>
      <c r="U394" s="34" t="str">
        <f>IFERROR(_xlfn.XLOOKUP(E394,[1]EMPREENDIMENTO!C:C,[1]EMPREENDIMENTO!D:D),"")</f>
        <v>9c50606c-59c0-e511-b93a-80c16e075108</v>
      </c>
    </row>
    <row r="395" spans="1:21" hidden="1" x14ac:dyDescent="0.35">
      <c r="A395" s="28" t="str">
        <f>IFERROR(_xlfn.XLOOKUP(C395,[1]DIRETORIA!C:C,[1]DIRETORIA!A:A),"-")</f>
        <v>DIR. COM E CRED RJ</v>
      </c>
      <c r="B395" s="28" t="str">
        <f>IFERROR(_xlfn.XLOOKUP(C395,[1]DIRETORIA!C:C,[1]DIRETORIA!B:B),"-")</f>
        <v>GST. COM NF</v>
      </c>
      <c r="C395" s="28" t="str">
        <f>IFERROR(_xlfn.XLOOKUP(E395,[1]EMPREENDIMENTO!C:C,[1]EMPREENDIMENTO!A:A),"-")</f>
        <v>CAMPOS DOS GOYTACAZES</v>
      </c>
      <c r="D395" s="28" t="s">
        <v>29</v>
      </c>
      <c r="E395" s="28" t="s">
        <v>737</v>
      </c>
      <c r="F395" s="28" t="s">
        <v>57</v>
      </c>
      <c r="G395" s="28" t="s">
        <v>743</v>
      </c>
      <c r="H395" s="28">
        <v>25157</v>
      </c>
      <c r="I395" s="29">
        <f>IFERROR(_xlfn.XLOOKUP(E395,[1]EMPREENDIMENTO!C:C,[1]EMPREENDIMENTO!E:E),"0")</f>
        <v>480</v>
      </c>
      <c r="J395" s="30">
        <v>46790</v>
      </c>
      <c r="K395" s="28" t="s">
        <v>33</v>
      </c>
      <c r="L395" s="31">
        <v>45944</v>
      </c>
      <c r="M395" s="32">
        <v>103683568</v>
      </c>
      <c r="N395" s="32">
        <v>109464734</v>
      </c>
      <c r="O395" s="32">
        <v>109418335</v>
      </c>
      <c r="P395" s="28" t="s">
        <v>34</v>
      </c>
      <c r="Q395" s="28" t="s">
        <v>739</v>
      </c>
      <c r="R395" s="30">
        <v>45933</v>
      </c>
      <c r="S395" s="30">
        <v>45945</v>
      </c>
      <c r="T395" s="33"/>
      <c r="U395" s="34" t="str">
        <f>IFERROR(_xlfn.XLOOKUP(E395,[1]EMPREENDIMENTO!C:C,[1]EMPREENDIMENTO!D:D),"")</f>
        <v>9c50606c-59c0-e511-b93a-80c16e075108</v>
      </c>
    </row>
    <row r="396" spans="1:21" hidden="1" x14ac:dyDescent="0.35">
      <c r="A396" s="28" t="str">
        <f>IFERROR(_xlfn.XLOOKUP(C396,[1]DIRETORIA!C:C,[1]DIRETORIA!A:A),"-")</f>
        <v>DIR. COM E CRED RJ</v>
      </c>
      <c r="B396" s="28" t="str">
        <f>IFERROR(_xlfn.XLOOKUP(C396,[1]DIRETORIA!C:C,[1]DIRETORIA!B:B),"-")</f>
        <v>GST. COM RJ1</v>
      </c>
      <c r="C396" s="28" t="str">
        <f>IFERROR(_xlfn.XLOOKUP(E396,[1]EMPREENDIMENTO!C:C,[1]EMPREENDIMENTO!A:A),"-")</f>
        <v>RIO DE JANEIRO</v>
      </c>
      <c r="D396" s="28" t="s">
        <v>29</v>
      </c>
      <c r="E396" s="28" t="s">
        <v>744</v>
      </c>
      <c r="F396" s="28" t="s">
        <v>31</v>
      </c>
      <c r="G396" s="28" t="s">
        <v>745</v>
      </c>
      <c r="H396" s="28">
        <v>32649</v>
      </c>
      <c r="I396" s="29">
        <f>IFERROR(_xlfn.XLOOKUP(E396,[1]EMPREENDIMENTO!C:C,[1]EMPREENDIMENTO!E:E),"0")</f>
        <v>140</v>
      </c>
      <c r="J396" s="30">
        <v>45673</v>
      </c>
      <c r="K396" s="28" t="s">
        <v>33</v>
      </c>
      <c r="L396" s="31">
        <v>45183</v>
      </c>
      <c r="M396" s="32">
        <v>35063750</v>
      </c>
      <c r="N396" s="32">
        <v>36863173</v>
      </c>
      <c r="O396" s="32">
        <v>36862073</v>
      </c>
      <c r="P396" s="28" t="s">
        <v>34</v>
      </c>
      <c r="Q396" s="28" t="s">
        <v>746</v>
      </c>
      <c r="R396" s="30">
        <v>45187</v>
      </c>
      <c r="S396" s="30">
        <v>45183</v>
      </c>
      <c r="T396" s="33"/>
      <c r="U396" s="34" t="str">
        <f>IFERROR(_xlfn.XLOOKUP(E396,[1]EMPREENDIMENTO!C:C,[1]EMPREENDIMENTO!D:D),"")</f>
        <v>37f9f933-a381-eb11-8864-0050568aa20f</v>
      </c>
    </row>
    <row r="397" spans="1:21" hidden="1" x14ac:dyDescent="0.35">
      <c r="A397" s="28" t="str">
        <f>IFERROR(_xlfn.XLOOKUP(C397,[1]DIRETORIA!C:C,[1]DIRETORIA!A:A),"-")</f>
        <v>DIR. COM E CRED RJ</v>
      </c>
      <c r="B397" s="28" t="str">
        <f>IFERROR(_xlfn.XLOOKUP(C397,[1]DIRETORIA!C:C,[1]DIRETORIA!B:B),"-")</f>
        <v>GST. COM RJ1</v>
      </c>
      <c r="C397" s="28" t="str">
        <f>IFERROR(_xlfn.XLOOKUP(E397,[1]EMPREENDIMENTO!C:C,[1]EMPREENDIMENTO!A:A),"-")</f>
        <v>RIO DE JANEIRO</v>
      </c>
      <c r="D397" s="28" t="s">
        <v>29</v>
      </c>
      <c r="E397" s="28" t="s">
        <v>744</v>
      </c>
      <c r="F397" s="28" t="s">
        <v>36</v>
      </c>
      <c r="G397" s="28" t="s">
        <v>747</v>
      </c>
      <c r="H397" s="28">
        <v>35687</v>
      </c>
      <c r="I397" s="29">
        <f>IFERROR(_xlfn.XLOOKUP(E397,[1]EMPREENDIMENTO!C:C,[1]EMPREENDIMENTO!E:E),"0")</f>
        <v>140</v>
      </c>
      <c r="J397" s="30">
        <v>45673</v>
      </c>
      <c r="K397" s="28" t="s">
        <v>33</v>
      </c>
      <c r="L397" s="31">
        <v>45183</v>
      </c>
      <c r="M397" s="32">
        <v>35063750</v>
      </c>
      <c r="N397" s="32">
        <v>36863173</v>
      </c>
      <c r="O397" s="32">
        <v>36862073</v>
      </c>
      <c r="P397" s="28" t="s">
        <v>34</v>
      </c>
      <c r="Q397" s="28" t="s">
        <v>746</v>
      </c>
      <c r="R397" s="30">
        <v>45187</v>
      </c>
      <c r="S397" s="30">
        <v>45183</v>
      </c>
      <c r="T397" s="33"/>
      <c r="U397" s="34" t="str">
        <f>IFERROR(_xlfn.XLOOKUP(E397,[1]EMPREENDIMENTO!C:C,[1]EMPREENDIMENTO!D:D),"")</f>
        <v>37f9f933-a381-eb11-8864-0050568aa20f</v>
      </c>
    </row>
    <row r="398" spans="1:21" hidden="1" x14ac:dyDescent="0.35">
      <c r="A398" s="28" t="str">
        <f>IFERROR(_xlfn.XLOOKUP(C398,[1]DIRETORIA!C:C,[1]DIRETORIA!A:A),"-")</f>
        <v>DIR. COM E CRED NE</v>
      </c>
      <c r="B398" s="28" t="str">
        <f>IFERROR(_xlfn.XLOOKUP(C398,[1]DIRETORIA!C:C,[1]DIRETORIA!B:B),"-")</f>
        <v>GST. COM NE1 (BA 1)</v>
      </c>
      <c r="C398" s="28" t="str">
        <f>IFERROR(_xlfn.XLOOKUP(E398,[1]EMPREENDIMENTO!C:C,[1]EMPREENDIMENTO!A:A),"-")</f>
        <v>SALVADOR</v>
      </c>
      <c r="D398" s="28" t="s">
        <v>29</v>
      </c>
      <c r="E398" s="28" t="s">
        <v>748</v>
      </c>
      <c r="F398" s="28" t="s">
        <v>42</v>
      </c>
      <c r="G398" s="28" t="s">
        <v>749</v>
      </c>
      <c r="H398" s="28">
        <v>34113</v>
      </c>
      <c r="I398" s="29">
        <f>IFERROR(_xlfn.XLOOKUP(E398,[1]EMPREENDIMENTO!C:C,[1]EMPREENDIMENTO!E:E),"0")</f>
        <v>320</v>
      </c>
      <c r="J398" s="30">
        <v>46660</v>
      </c>
      <c r="K398" s="28" t="s">
        <v>33</v>
      </c>
      <c r="L398" s="31">
        <v>46252</v>
      </c>
      <c r="M398" s="32">
        <v>187594856</v>
      </c>
      <c r="N398" s="32">
        <v>207122701</v>
      </c>
      <c r="O398" s="32">
        <v>192390900</v>
      </c>
      <c r="P398" s="28" t="s">
        <v>34</v>
      </c>
      <c r="Q398" s="28" t="s">
        <v>750</v>
      </c>
      <c r="R398" s="30">
        <v>46253</v>
      </c>
      <c r="S398" s="30">
        <v>46252</v>
      </c>
      <c r="T398" s="33"/>
      <c r="U398" s="34" t="str">
        <f>IFERROR(_xlfn.XLOOKUP(E398,[1]EMPREENDIMENTO!C:C,[1]EMPREENDIMENTO!D:D),"")</f>
        <v>92ad2924-1c7d-eb11-8864-0050568aa20f</v>
      </c>
    </row>
    <row r="399" spans="1:21" x14ac:dyDescent="0.35">
      <c r="A399" s="28" t="str">
        <f>IFERROR(_xlfn.XLOOKUP(C399,[1]DIRETORIA!C:C,[1]DIRETORIA!A:A),"-")</f>
        <v>DIR. COM E CRED SPI CP</v>
      </c>
      <c r="B399" s="28" t="str">
        <f>IFERROR(_xlfn.XLOOKUP(C399,[1]DIRETORIA!C:C,[1]DIRETORIA!B:B),"-")</f>
        <v>GST. COM CP1</v>
      </c>
      <c r="C399" s="28" t="str">
        <f>IFERROR(_xlfn.XLOOKUP(E399,[1]EMPREENDIMENTO!C:C,[1]EMPREENDIMENTO!A:A),"-")</f>
        <v>CAMPINAS</v>
      </c>
      <c r="D399" s="28" t="s">
        <v>85</v>
      </c>
      <c r="E399" s="28" t="s">
        <v>751</v>
      </c>
      <c r="F399" s="28" t="s">
        <v>31</v>
      </c>
      <c r="G399" s="28" t="s">
        <v>752</v>
      </c>
      <c r="H399" s="28">
        <v>30180</v>
      </c>
      <c r="I399" s="29">
        <f>IFERROR(_xlfn.XLOOKUP(E399,[1]EMPREENDIMENTO!C:C,[1]EMPREENDIMENTO!E:E),"0")</f>
        <v>280</v>
      </c>
      <c r="J399" s="30"/>
      <c r="K399" s="28" t="s">
        <v>33</v>
      </c>
      <c r="L399" s="31">
        <v>46045</v>
      </c>
      <c r="M399" s="32">
        <v>228473750</v>
      </c>
      <c r="N399" s="32">
        <v>228473750</v>
      </c>
      <c r="O399" s="32">
        <v>211962425</v>
      </c>
      <c r="P399" s="28" t="s">
        <v>34</v>
      </c>
      <c r="Q399" s="28">
        <v>781759</v>
      </c>
      <c r="R399" s="30">
        <v>46065</v>
      </c>
      <c r="S399" s="30">
        <v>45680</v>
      </c>
      <c r="T399" s="33"/>
      <c r="U399" s="34" t="str">
        <f>IFERROR(_xlfn.XLOOKUP(E399,[1]EMPREENDIMENTO!C:C,[1]EMPREENDIMENTO!D:D),"")</f>
        <v>dfad1027-e15b-eb11-ac7f-005056856875</v>
      </c>
    </row>
    <row r="400" spans="1:21" hidden="1" x14ac:dyDescent="0.35">
      <c r="A400" s="28" t="str">
        <f>IFERROR(_xlfn.XLOOKUP(C400,[1]DIRETORIA!C:C,[1]DIRETORIA!A:A),"-")</f>
        <v>DIR. COM E CRED MG E ES</v>
      </c>
      <c r="B400" s="28" t="str">
        <f>IFERROR(_xlfn.XLOOKUP(C400,[1]DIRETORIA!C:C,[1]DIRETORIA!B:B),"-")</f>
        <v>GST. COM BH E INT</v>
      </c>
      <c r="C400" s="28" t="str">
        <f>IFERROR(_xlfn.XLOOKUP(E400,[1]EMPREENDIMENTO!C:C,[1]EMPREENDIMENTO!A:A),"-")</f>
        <v>BELO HORIZONTE</v>
      </c>
      <c r="D400" s="28" t="s">
        <v>85</v>
      </c>
      <c r="E400" s="28" t="s">
        <v>753</v>
      </c>
      <c r="F400" s="28" t="s">
        <v>42</v>
      </c>
      <c r="G400" s="28" t="s">
        <v>754</v>
      </c>
      <c r="H400" s="28">
        <v>37855</v>
      </c>
      <c r="I400" s="29">
        <f>IFERROR(_xlfn.XLOOKUP(E400,[1]EMPREENDIMENTO!C:C,[1]EMPREENDIMENTO!E:E),"0")</f>
        <v>58</v>
      </c>
      <c r="J400" s="30"/>
      <c r="K400" s="28" t="s">
        <v>33</v>
      </c>
      <c r="L400" s="31">
        <v>45002</v>
      </c>
      <c r="M400" s="32">
        <v>50554000</v>
      </c>
      <c r="N400" s="32">
        <v>50554000</v>
      </c>
      <c r="O400" s="32">
        <v>40112000</v>
      </c>
      <c r="P400" s="28" t="s">
        <v>34</v>
      </c>
      <c r="Q400" s="28"/>
      <c r="R400" s="30"/>
      <c r="S400" s="30">
        <v>45064</v>
      </c>
      <c r="T400" s="33"/>
      <c r="U400" s="34" t="str">
        <f>IFERROR(_xlfn.XLOOKUP(E400,[1]EMPREENDIMENTO!C:C,[1]EMPREENDIMENTO!D:D),"")</f>
        <v>d1ae8378-2867-eb11-8864-0050568aa20f</v>
      </c>
    </row>
    <row r="401" spans="1:21" hidden="1" x14ac:dyDescent="0.35">
      <c r="A401" s="28" t="str">
        <f>IFERROR(_xlfn.XLOOKUP(C401,[1]DIRETORIA!C:C,[1]DIRETORIA!A:A),"-")</f>
        <v>DIR. COM E CRED SP E VL</v>
      </c>
      <c r="B401" s="28" t="str">
        <f>IFERROR(_xlfn.XLOOKUP(C401,[1]DIRETORIA!C:C,[1]DIRETORIA!B:B),"-")</f>
        <v>GST. COM SP1</v>
      </c>
      <c r="C401" s="28" t="str">
        <f>IFERROR(_xlfn.XLOOKUP(E401,[1]EMPREENDIMENTO!C:C,[1]EMPREENDIMENTO!A:A),"-")</f>
        <v>SANTO ANDRÉ</v>
      </c>
      <c r="D401" s="28" t="s">
        <v>29</v>
      </c>
      <c r="E401" s="28" t="s">
        <v>755</v>
      </c>
      <c r="F401" s="28" t="s">
        <v>31</v>
      </c>
      <c r="G401" s="28" t="s">
        <v>756</v>
      </c>
      <c r="H401" s="28">
        <v>33932</v>
      </c>
      <c r="I401" s="29">
        <f>IFERROR(_xlfn.XLOOKUP(E401,[1]EMPREENDIMENTO!C:C,[1]EMPREENDIMENTO!E:E),"0")</f>
        <v>432</v>
      </c>
      <c r="J401" s="30">
        <v>46593</v>
      </c>
      <c r="K401" s="28" t="s">
        <v>33</v>
      </c>
      <c r="L401" s="31">
        <v>45397</v>
      </c>
      <c r="M401" s="32">
        <v>104964000</v>
      </c>
      <c r="N401" s="32">
        <v>115460400</v>
      </c>
      <c r="O401" s="32">
        <v>115460400</v>
      </c>
      <c r="P401" s="28" t="s">
        <v>34</v>
      </c>
      <c r="Q401" s="28" t="s">
        <v>757</v>
      </c>
      <c r="R401" s="30">
        <v>45418</v>
      </c>
      <c r="S401" s="30">
        <v>45397</v>
      </c>
      <c r="T401" s="33"/>
      <c r="U401" s="34" t="str">
        <f>IFERROR(_xlfn.XLOOKUP(E401,[1]EMPREENDIMENTO!C:C,[1]EMPREENDIMENTO!D:D),"")</f>
        <v>fe3ba3dd-31cd-eb11-ba93-005056856875</v>
      </c>
    </row>
    <row r="402" spans="1:21" hidden="1" x14ac:dyDescent="0.35">
      <c r="A402" s="28" t="str">
        <f>IFERROR(_xlfn.XLOOKUP(C402,[1]DIRETORIA!C:C,[1]DIRETORIA!A:A),"-")</f>
        <v>DIR. COM E CRED SP E VL</v>
      </c>
      <c r="B402" s="28" t="str">
        <f>IFERROR(_xlfn.XLOOKUP(C402,[1]DIRETORIA!C:C,[1]DIRETORIA!B:B),"-")</f>
        <v>GST. COM SP1</v>
      </c>
      <c r="C402" s="28" t="str">
        <f>IFERROR(_xlfn.XLOOKUP(E402,[1]EMPREENDIMENTO!C:C,[1]EMPREENDIMENTO!A:A),"-")</f>
        <v>SANTO ANDRÉ</v>
      </c>
      <c r="D402" s="28" t="s">
        <v>29</v>
      </c>
      <c r="E402" s="28" t="s">
        <v>755</v>
      </c>
      <c r="F402" s="28" t="s">
        <v>36</v>
      </c>
      <c r="G402" s="28" t="s">
        <v>758</v>
      </c>
      <c r="H402" s="28">
        <v>41524</v>
      </c>
      <c r="I402" s="29">
        <f>IFERROR(_xlfn.XLOOKUP(E402,[1]EMPREENDIMENTO!C:C,[1]EMPREENDIMENTO!E:E),"0")</f>
        <v>432</v>
      </c>
      <c r="J402" s="30">
        <v>46593</v>
      </c>
      <c r="K402" s="28" t="s">
        <v>33</v>
      </c>
      <c r="L402" s="31">
        <v>45397</v>
      </c>
      <c r="M402" s="32">
        <v>104964000</v>
      </c>
      <c r="N402" s="32">
        <v>115460400</v>
      </c>
      <c r="O402" s="32">
        <v>115460400</v>
      </c>
      <c r="P402" s="28" t="s">
        <v>34</v>
      </c>
      <c r="Q402" s="28" t="s">
        <v>757</v>
      </c>
      <c r="R402" s="30">
        <v>45418</v>
      </c>
      <c r="S402" s="30">
        <v>45397</v>
      </c>
      <c r="T402" s="33"/>
      <c r="U402" s="34" t="str">
        <f>IFERROR(_xlfn.XLOOKUP(E402,[1]EMPREENDIMENTO!C:C,[1]EMPREENDIMENTO!D:D),"")</f>
        <v>fe3ba3dd-31cd-eb11-ba93-005056856875</v>
      </c>
    </row>
    <row r="403" spans="1:21" x14ac:dyDescent="0.35">
      <c r="A403" s="28" t="str">
        <f>IFERROR(_xlfn.XLOOKUP(C403,[1]DIRETORIA!C:C,[1]DIRETORIA!A:A),"-")</f>
        <v>DIR. COM E CRED SPI CP</v>
      </c>
      <c r="B403" s="28" t="str">
        <f>IFERROR(_xlfn.XLOOKUP(C403,[1]DIRETORIA!C:C,[1]DIRETORIA!B:B),"-")</f>
        <v>GST. COM CP1</v>
      </c>
      <c r="C403" s="28" t="str">
        <f>IFERROR(_xlfn.XLOOKUP(E403,[1]EMPREENDIMENTO!C:C,[1]EMPREENDIMENTO!A:A),"-")</f>
        <v>CAMPINAS</v>
      </c>
      <c r="D403" s="28" t="s">
        <v>29</v>
      </c>
      <c r="E403" s="28" t="s">
        <v>759</v>
      </c>
      <c r="F403" s="28" t="s">
        <v>31</v>
      </c>
      <c r="G403" s="28" t="s">
        <v>760</v>
      </c>
      <c r="H403" s="28">
        <v>34786</v>
      </c>
      <c r="I403" s="29">
        <f>IFERROR(_xlfn.XLOOKUP(E403,[1]EMPREENDIMENTO!C:C,[1]EMPREENDIMENTO!E:E),"0")</f>
        <v>200</v>
      </c>
      <c r="J403" s="30">
        <v>46903</v>
      </c>
      <c r="K403" s="28" t="s">
        <v>164</v>
      </c>
      <c r="L403" s="31">
        <v>46220</v>
      </c>
      <c r="M403" s="32">
        <v>52954200</v>
      </c>
      <c r="N403" s="32">
        <v>55754200</v>
      </c>
      <c r="O403" s="32">
        <v>55754200</v>
      </c>
      <c r="P403" s="28" t="s">
        <v>34</v>
      </c>
      <c r="Q403" s="28" t="s">
        <v>761</v>
      </c>
      <c r="R403" s="30">
        <v>46220</v>
      </c>
      <c r="S403" s="30">
        <v>46220</v>
      </c>
      <c r="T403" s="33"/>
      <c r="U403" s="34" t="str">
        <f>IFERROR(_xlfn.XLOOKUP(E403,[1]EMPREENDIMENTO!C:C,[1]EMPREENDIMENTO!D:D),"")</f>
        <v>586a6b76-625f-ec11-b501-005056856b6c</v>
      </c>
    </row>
    <row r="404" spans="1:21" x14ac:dyDescent="0.35">
      <c r="A404" s="28" t="str">
        <f>IFERROR(_xlfn.XLOOKUP(C404,[1]DIRETORIA!C:C,[1]DIRETORIA!A:A),"-")</f>
        <v>DIR. COM E CRED SPI CP</v>
      </c>
      <c r="B404" s="28" t="str">
        <f>IFERROR(_xlfn.XLOOKUP(C404,[1]DIRETORIA!C:C,[1]DIRETORIA!B:B),"-")</f>
        <v>GST. COM CP1</v>
      </c>
      <c r="C404" s="28" t="str">
        <f>IFERROR(_xlfn.XLOOKUP(E404,[1]EMPREENDIMENTO!C:C,[1]EMPREENDIMENTO!A:A),"-")</f>
        <v>CAMPINAS</v>
      </c>
      <c r="D404" s="28" t="s">
        <v>29</v>
      </c>
      <c r="E404" s="28" t="s">
        <v>759</v>
      </c>
      <c r="F404" s="28" t="s">
        <v>36</v>
      </c>
      <c r="G404" s="28" t="s">
        <v>762</v>
      </c>
      <c r="H404" s="28">
        <v>54075</v>
      </c>
      <c r="I404" s="29">
        <f>IFERROR(_xlfn.XLOOKUP(E404,[1]EMPREENDIMENTO!C:C,[1]EMPREENDIMENTO!E:E),"0")</f>
        <v>200</v>
      </c>
      <c r="J404" s="30">
        <v>46903</v>
      </c>
      <c r="K404" s="28" t="s">
        <v>164</v>
      </c>
      <c r="L404" s="31">
        <v>46220</v>
      </c>
      <c r="M404" s="32">
        <v>52954200</v>
      </c>
      <c r="N404" s="32">
        <v>55754200</v>
      </c>
      <c r="O404" s="32">
        <v>55754200</v>
      </c>
      <c r="P404" s="28" t="s">
        <v>34</v>
      </c>
      <c r="Q404" s="28" t="s">
        <v>761</v>
      </c>
      <c r="R404" s="30">
        <v>46220</v>
      </c>
      <c r="S404" s="30">
        <v>46220</v>
      </c>
      <c r="T404" s="33"/>
      <c r="U404" s="34" t="str">
        <f>IFERROR(_xlfn.XLOOKUP(E404,[1]EMPREENDIMENTO!C:C,[1]EMPREENDIMENTO!D:D),"")</f>
        <v>586a6b76-625f-ec11-b501-005056856b6c</v>
      </c>
    </row>
    <row r="405" spans="1:21" hidden="1" x14ac:dyDescent="0.35">
      <c r="A405" s="28" t="str">
        <f>IFERROR(_xlfn.XLOOKUP(C405,[1]DIRETORIA!C:C,[1]DIRETORIA!A:A),"-")</f>
        <v>DIR. COM E CRED NE</v>
      </c>
      <c r="B405" s="28" t="str">
        <f>IFERROR(_xlfn.XLOOKUP(C405,[1]DIRETORIA!C:C,[1]DIRETORIA!B:B),"-")</f>
        <v>GST. COM NE1 (BA 1)</v>
      </c>
      <c r="C405" s="28" t="str">
        <f>IFERROR(_xlfn.XLOOKUP(E405,[1]EMPREENDIMENTO!C:C,[1]EMPREENDIMENTO!A:A),"-")</f>
        <v>SALVADOR</v>
      </c>
      <c r="D405" s="28" t="s">
        <v>29</v>
      </c>
      <c r="E405" s="28" t="s">
        <v>763</v>
      </c>
      <c r="F405" s="28" t="s">
        <v>42</v>
      </c>
      <c r="G405" s="28" t="s">
        <v>764</v>
      </c>
      <c r="H405" s="28">
        <v>37267</v>
      </c>
      <c r="I405" s="29">
        <f>IFERROR(_xlfn.XLOOKUP(E405,[1]EMPREENDIMENTO!C:C,[1]EMPREENDIMENTO!E:E),"0")</f>
        <v>300</v>
      </c>
      <c r="J405" s="30">
        <v>46507</v>
      </c>
      <c r="K405" s="28" t="s">
        <v>148</v>
      </c>
      <c r="L405" s="31">
        <v>46255</v>
      </c>
      <c r="M405" s="32">
        <v>78221021</v>
      </c>
      <c r="N405" s="32">
        <v>88307854</v>
      </c>
      <c r="O405" s="32">
        <v>88204982</v>
      </c>
      <c r="P405" s="28" t="s">
        <v>34</v>
      </c>
      <c r="Q405" s="28" t="s">
        <v>765</v>
      </c>
      <c r="R405" s="30">
        <v>46257</v>
      </c>
      <c r="S405" s="30">
        <v>46255</v>
      </c>
      <c r="T405" s="33"/>
      <c r="U405" s="34" t="str">
        <f>IFERROR(_xlfn.XLOOKUP(E405,[1]EMPREENDIMENTO!C:C,[1]EMPREENDIMENTO!D:D),"")</f>
        <v>be3b7540-2d7e-e911-aaf3-009c02b0cb58</v>
      </c>
    </row>
    <row r="406" spans="1:21" x14ac:dyDescent="0.35">
      <c r="A406" s="28" t="str">
        <f>IFERROR(_xlfn.XLOOKUP(C406,[1]DIRETORIA!C:C,[1]DIRETORIA!A:A),"-")</f>
        <v>DIR. COM E CRED SPI</v>
      </c>
      <c r="B406" s="28" t="str">
        <f>IFERROR(_xlfn.XLOOKUP(C406,[1]DIRETORIA!C:C,[1]DIRETORIA!B:B),"-")</f>
        <v>GST. COM OP 2</v>
      </c>
      <c r="C406" s="28" t="str">
        <f>IFERROR(_xlfn.XLOOKUP(E406,[1]EMPREENDIMENTO!C:C,[1]EMPREENDIMENTO!A:A),"-")</f>
        <v>MARÍLIA</v>
      </c>
      <c r="D406" s="28" t="s">
        <v>29</v>
      </c>
      <c r="E406" s="28" t="s">
        <v>766</v>
      </c>
      <c r="F406" s="28" t="s">
        <v>31</v>
      </c>
      <c r="G406" s="28" t="s">
        <v>767</v>
      </c>
      <c r="H406" s="28">
        <v>33493</v>
      </c>
      <c r="I406" s="29">
        <f>IFERROR(_xlfn.XLOOKUP(E406,[1]EMPREENDIMENTO!C:C,[1]EMPREENDIMENTO!E:E),"0")</f>
        <v>384</v>
      </c>
      <c r="J406" s="30">
        <v>46411</v>
      </c>
      <c r="K406" s="28" t="s">
        <v>33</v>
      </c>
      <c r="L406" s="31">
        <v>45733</v>
      </c>
      <c r="M406" s="32">
        <v>78942700</v>
      </c>
      <c r="N406" s="32">
        <v>100332800</v>
      </c>
      <c r="O406" s="32">
        <v>95674000</v>
      </c>
      <c r="P406" s="28" t="s">
        <v>34</v>
      </c>
      <c r="Q406" s="28" t="s">
        <v>768</v>
      </c>
      <c r="R406" s="30">
        <v>45753</v>
      </c>
      <c r="S406" s="30">
        <v>45733</v>
      </c>
      <c r="T406" s="33"/>
      <c r="U406" s="34" t="str">
        <f>IFERROR(_xlfn.XLOOKUP(E406,[1]EMPREENDIMENTO!C:C,[1]EMPREENDIMENTO!D:D),"")</f>
        <v>42fb1256-75a7-e711-8e92-009c02b0cb58</v>
      </c>
    </row>
    <row r="407" spans="1:21" x14ac:dyDescent="0.35">
      <c r="A407" s="28" t="str">
        <f>IFERROR(_xlfn.XLOOKUP(C407,[1]DIRETORIA!C:C,[1]DIRETORIA!A:A),"-")</f>
        <v>DIR. COM E CRED SPI</v>
      </c>
      <c r="B407" s="28" t="str">
        <f>IFERROR(_xlfn.XLOOKUP(C407,[1]DIRETORIA!C:C,[1]DIRETORIA!B:B),"-")</f>
        <v>GST. COM OP 2</v>
      </c>
      <c r="C407" s="28" t="str">
        <f>IFERROR(_xlfn.XLOOKUP(E407,[1]EMPREENDIMENTO!C:C,[1]EMPREENDIMENTO!A:A),"-")</f>
        <v>MARÍLIA</v>
      </c>
      <c r="D407" s="28" t="s">
        <v>29</v>
      </c>
      <c r="E407" s="28" t="s">
        <v>766</v>
      </c>
      <c r="F407" s="28" t="s">
        <v>36</v>
      </c>
      <c r="G407" s="28" t="s">
        <v>769</v>
      </c>
      <c r="H407" s="28">
        <v>45540</v>
      </c>
      <c r="I407" s="29">
        <f>IFERROR(_xlfn.XLOOKUP(E407,[1]EMPREENDIMENTO!C:C,[1]EMPREENDIMENTO!E:E),"0")</f>
        <v>384</v>
      </c>
      <c r="J407" s="30">
        <v>46411</v>
      </c>
      <c r="K407" s="28" t="s">
        <v>33</v>
      </c>
      <c r="L407" s="31">
        <v>45733</v>
      </c>
      <c r="M407" s="32">
        <v>78942700</v>
      </c>
      <c r="N407" s="32">
        <v>100332800</v>
      </c>
      <c r="O407" s="32">
        <v>95674000</v>
      </c>
      <c r="P407" s="28" t="s">
        <v>34</v>
      </c>
      <c r="Q407" s="28" t="s">
        <v>768</v>
      </c>
      <c r="R407" s="30">
        <v>45716</v>
      </c>
      <c r="S407" s="30">
        <v>45733</v>
      </c>
      <c r="T407" s="33"/>
      <c r="U407" s="34" t="str">
        <f>IFERROR(_xlfn.XLOOKUP(E407,[1]EMPREENDIMENTO!C:C,[1]EMPREENDIMENTO!D:D),"")</f>
        <v>42fb1256-75a7-e711-8e92-009c02b0cb58</v>
      </c>
    </row>
    <row r="408" spans="1:21" x14ac:dyDescent="0.35">
      <c r="A408" s="28" t="str">
        <f>IFERROR(_xlfn.XLOOKUP(C408,[1]DIRETORIA!C:C,[1]DIRETORIA!A:A),"-")</f>
        <v>DIR. COM E CRED SPI</v>
      </c>
      <c r="B408" s="28" t="str">
        <f>IFERROR(_xlfn.XLOOKUP(C408,[1]DIRETORIA!C:C,[1]DIRETORIA!B:B),"-")</f>
        <v>GST. COM OP 2</v>
      </c>
      <c r="C408" s="28" t="str">
        <f>IFERROR(_xlfn.XLOOKUP(E408,[1]EMPREENDIMENTO!C:C,[1]EMPREENDIMENTO!A:A),"-")</f>
        <v>MARÍLIA</v>
      </c>
      <c r="D408" s="28" t="s">
        <v>29</v>
      </c>
      <c r="E408" s="28" t="s">
        <v>766</v>
      </c>
      <c r="F408" s="28" t="s">
        <v>39</v>
      </c>
      <c r="G408" s="28" t="s">
        <v>770</v>
      </c>
      <c r="H408" s="28">
        <v>54594</v>
      </c>
      <c r="I408" s="29">
        <f>IFERROR(_xlfn.XLOOKUP(E408,[1]EMPREENDIMENTO!C:C,[1]EMPREENDIMENTO!E:E),"0")</f>
        <v>384</v>
      </c>
      <c r="J408" s="30">
        <v>46411</v>
      </c>
      <c r="K408" s="28" t="s">
        <v>33</v>
      </c>
      <c r="L408" s="31">
        <v>45733</v>
      </c>
      <c r="M408" s="32">
        <v>78942700</v>
      </c>
      <c r="N408" s="32">
        <v>100332800</v>
      </c>
      <c r="O408" s="32">
        <v>95674000</v>
      </c>
      <c r="P408" s="28" t="s">
        <v>34</v>
      </c>
      <c r="Q408" s="28" t="s">
        <v>771</v>
      </c>
      <c r="R408" s="30">
        <v>45751</v>
      </c>
      <c r="S408" s="30">
        <v>45733</v>
      </c>
      <c r="T408" s="33"/>
      <c r="U408" s="34" t="str">
        <f>IFERROR(_xlfn.XLOOKUP(E408,[1]EMPREENDIMENTO!C:C,[1]EMPREENDIMENTO!D:D),"")</f>
        <v>42fb1256-75a7-e711-8e92-009c02b0cb58</v>
      </c>
    </row>
    <row r="409" spans="1:21" hidden="1" x14ac:dyDescent="0.35">
      <c r="A409" s="28" t="str">
        <f>IFERROR(_xlfn.XLOOKUP(C409,[1]DIRETORIA!C:C,[1]DIRETORIA!A:A),"-")</f>
        <v>DIR. COM E CRED NE</v>
      </c>
      <c r="B409" s="28" t="str">
        <f>IFERROR(_xlfn.XLOOKUP(C409,[1]DIRETORIA!C:C,[1]DIRETORIA!B:B),"-")</f>
        <v>GST. COM NE5 (RN+PB)</v>
      </c>
      <c r="C409" s="28" t="str">
        <f>IFERROR(_xlfn.XLOOKUP(E409,[1]EMPREENDIMENTO!C:C,[1]EMPREENDIMENTO!A:A),"-")</f>
        <v>PARNAMIRIM</v>
      </c>
      <c r="D409" s="28" t="s">
        <v>29</v>
      </c>
      <c r="E409" s="28" t="s">
        <v>772</v>
      </c>
      <c r="F409" s="28" t="s">
        <v>31</v>
      </c>
      <c r="G409" s="28" t="s">
        <v>773</v>
      </c>
      <c r="H409" s="28">
        <v>33924</v>
      </c>
      <c r="I409" s="29">
        <f>IFERROR(_xlfn.XLOOKUP(E409,[1]EMPREENDIMENTO!C:C,[1]EMPREENDIMENTO!E:E),"0")</f>
        <v>488</v>
      </c>
      <c r="J409" s="30"/>
      <c r="K409" s="28" t="s">
        <v>33</v>
      </c>
      <c r="L409" s="31">
        <v>46262</v>
      </c>
      <c r="M409" s="32">
        <v>103299043</v>
      </c>
      <c r="N409" s="32">
        <v>108434149</v>
      </c>
      <c r="O409" s="32">
        <v>105370713</v>
      </c>
      <c r="P409" s="28" t="s">
        <v>6</v>
      </c>
      <c r="Q409" s="28" t="s">
        <v>774</v>
      </c>
      <c r="R409" s="30">
        <v>46265</v>
      </c>
      <c r="S409" s="30"/>
      <c r="T409" s="33"/>
      <c r="U409" s="34" t="str">
        <f>IFERROR(_xlfn.XLOOKUP(E409,[1]EMPREENDIMENTO!C:C,[1]EMPREENDIMENTO!D:D),"")</f>
        <v>676565c4-85f4-eb11-ac3b-005056856b6c</v>
      </c>
    </row>
    <row r="410" spans="1:21" hidden="1" x14ac:dyDescent="0.35">
      <c r="A410" s="28" t="str">
        <f>IFERROR(_xlfn.XLOOKUP(C410,[1]DIRETORIA!C:C,[1]DIRETORIA!A:A),"-")</f>
        <v>DIR. COM E CRED NE</v>
      </c>
      <c r="B410" s="28" t="str">
        <f>IFERROR(_xlfn.XLOOKUP(C410,[1]DIRETORIA!C:C,[1]DIRETORIA!B:B),"-")</f>
        <v>GST. COM NE5 (RN+PB)</v>
      </c>
      <c r="C410" s="28" t="str">
        <f>IFERROR(_xlfn.XLOOKUP(E410,[1]EMPREENDIMENTO!C:C,[1]EMPREENDIMENTO!A:A),"-")</f>
        <v>PARNAMIRIM</v>
      </c>
      <c r="D410" s="28" t="s">
        <v>29</v>
      </c>
      <c r="E410" s="28" t="s">
        <v>772</v>
      </c>
      <c r="F410" s="28" t="s">
        <v>36</v>
      </c>
      <c r="G410" s="28" t="s">
        <v>775</v>
      </c>
      <c r="H410" s="28">
        <v>61141</v>
      </c>
      <c r="I410" s="29">
        <f>IFERROR(_xlfn.XLOOKUP(E410,[1]EMPREENDIMENTO!C:C,[1]EMPREENDIMENTO!E:E),"0")</f>
        <v>488</v>
      </c>
      <c r="J410" s="30"/>
      <c r="K410" s="28" t="s">
        <v>33</v>
      </c>
      <c r="L410" s="31">
        <v>46262</v>
      </c>
      <c r="M410" s="32">
        <v>103299043</v>
      </c>
      <c r="N410" s="32">
        <v>108434149</v>
      </c>
      <c r="O410" s="32">
        <v>105370713</v>
      </c>
      <c r="P410" s="28" t="s">
        <v>6</v>
      </c>
      <c r="Q410" s="28" t="s">
        <v>774</v>
      </c>
      <c r="R410" s="30">
        <v>46265</v>
      </c>
      <c r="S410" s="30"/>
      <c r="T410" s="33"/>
      <c r="U410" s="34" t="str">
        <f>IFERROR(_xlfn.XLOOKUP(E410,[1]EMPREENDIMENTO!C:C,[1]EMPREENDIMENTO!D:D),"")</f>
        <v>676565c4-85f4-eb11-ac3b-005056856b6c</v>
      </c>
    </row>
    <row r="411" spans="1:21" hidden="1" x14ac:dyDescent="0.35">
      <c r="A411" s="28" t="str">
        <f>IFERROR(_xlfn.XLOOKUP(C411,[1]DIRETORIA!C:C,[1]DIRETORIA!A:A),"-")</f>
        <v>DIR. COM E CRED NE</v>
      </c>
      <c r="B411" s="28" t="str">
        <f>IFERROR(_xlfn.XLOOKUP(C411,[1]DIRETORIA!C:C,[1]DIRETORIA!B:B),"-")</f>
        <v>GST. COM NE5 (RN+PB)</v>
      </c>
      <c r="C411" s="28" t="str">
        <f>IFERROR(_xlfn.XLOOKUP(E411,[1]EMPREENDIMENTO!C:C,[1]EMPREENDIMENTO!A:A),"-")</f>
        <v>PARNAMIRIM</v>
      </c>
      <c r="D411" s="28" t="s">
        <v>29</v>
      </c>
      <c r="E411" s="28" t="s">
        <v>772</v>
      </c>
      <c r="F411" s="28" t="s">
        <v>39</v>
      </c>
      <c r="G411" s="28" t="s">
        <v>776</v>
      </c>
      <c r="H411" s="28">
        <v>63903</v>
      </c>
      <c r="I411" s="29">
        <f>IFERROR(_xlfn.XLOOKUP(E411,[1]EMPREENDIMENTO!C:C,[1]EMPREENDIMENTO!E:E),"0")</f>
        <v>488</v>
      </c>
      <c r="J411" s="30"/>
      <c r="K411" s="28" t="s">
        <v>33</v>
      </c>
      <c r="L411" s="31">
        <v>46262</v>
      </c>
      <c r="M411" s="32">
        <v>103299043</v>
      </c>
      <c r="N411" s="32">
        <v>108434149</v>
      </c>
      <c r="O411" s="32">
        <v>105370713</v>
      </c>
      <c r="P411" s="28" t="s">
        <v>6</v>
      </c>
      <c r="Q411" s="28" t="s">
        <v>774</v>
      </c>
      <c r="R411" s="30">
        <v>46265</v>
      </c>
      <c r="S411" s="30"/>
      <c r="T411" s="33"/>
      <c r="U411" s="34" t="str">
        <f>IFERROR(_xlfn.XLOOKUP(E411,[1]EMPREENDIMENTO!C:C,[1]EMPREENDIMENTO!D:D),"")</f>
        <v>676565c4-85f4-eb11-ac3b-005056856b6c</v>
      </c>
    </row>
    <row r="412" spans="1:21" hidden="1" x14ac:dyDescent="0.35">
      <c r="A412" s="28" t="str">
        <f>IFERROR(_xlfn.XLOOKUP(C412,[1]DIRETORIA!C:C,[1]DIRETORIA!A:A),"-")</f>
        <v>DIR. COM E CRED NE</v>
      </c>
      <c r="B412" s="28" t="str">
        <f>IFERROR(_xlfn.XLOOKUP(C412,[1]DIRETORIA!C:C,[1]DIRETORIA!B:B),"-")</f>
        <v>GST. COM NE5 (RN+PB)</v>
      </c>
      <c r="C412" s="28" t="str">
        <f>IFERROR(_xlfn.XLOOKUP(E412,[1]EMPREENDIMENTO!C:C,[1]EMPREENDIMENTO!A:A),"-")</f>
        <v>PARNAMIRIM</v>
      </c>
      <c r="D412" s="28" t="s">
        <v>85</v>
      </c>
      <c r="E412" s="28" t="s">
        <v>772</v>
      </c>
      <c r="F412" s="28" t="s">
        <v>50</v>
      </c>
      <c r="G412" s="28" t="s">
        <v>268</v>
      </c>
      <c r="H412" s="28">
        <v>68316</v>
      </c>
      <c r="I412" s="29">
        <f>IFERROR(_xlfn.XLOOKUP(E412,[1]EMPREENDIMENTO!C:C,[1]EMPREENDIMENTO!E:E),"0")</f>
        <v>488</v>
      </c>
      <c r="J412" s="30"/>
      <c r="K412" s="28" t="s">
        <v>33</v>
      </c>
      <c r="L412" s="31">
        <v>46262</v>
      </c>
      <c r="M412" s="32">
        <v>103299043</v>
      </c>
      <c r="N412" s="32">
        <v>108434149</v>
      </c>
      <c r="O412" s="32">
        <v>105370713</v>
      </c>
      <c r="P412" s="28" t="s">
        <v>6</v>
      </c>
      <c r="Q412" s="28" t="s">
        <v>774</v>
      </c>
      <c r="R412" s="30">
        <v>46265</v>
      </c>
      <c r="S412" s="30"/>
      <c r="T412" s="33"/>
      <c r="U412" s="34" t="str">
        <f>IFERROR(_xlfn.XLOOKUP(E412,[1]EMPREENDIMENTO!C:C,[1]EMPREENDIMENTO!D:D),"")</f>
        <v>676565c4-85f4-eb11-ac3b-005056856b6c</v>
      </c>
    </row>
    <row r="413" spans="1:21" x14ac:dyDescent="0.35">
      <c r="A413" s="28" t="str">
        <f>IFERROR(_xlfn.XLOOKUP(C413,[1]DIRETORIA!C:C,[1]DIRETORIA!A:A),"-")</f>
        <v>DIR. COM E CRED SPI CP</v>
      </c>
      <c r="B413" s="28" t="str">
        <f>IFERROR(_xlfn.XLOOKUP(C413,[1]DIRETORIA!C:C,[1]DIRETORIA!B:B),"-")</f>
        <v>GST. COM CP1</v>
      </c>
      <c r="C413" s="28" t="str">
        <f>IFERROR(_xlfn.XLOOKUP(E413,[1]EMPREENDIMENTO!C:C,[1]EMPREENDIMENTO!A:A),"-")</f>
        <v>CAMPINAS</v>
      </c>
      <c r="D413" s="28" t="s">
        <v>29</v>
      </c>
      <c r="E413" s="28" t="s">
        <v>777</v>
      </c>
      <c r="F413" s="28" t="s">
        <v>31</v>
      </c>
      <c r="G413" s="28" t="s">
        <v>778</v>
      </c>
      <c r="H413" s="28">
        <v>37544</v>
      </c>
      <c r="I413" s="29">
        <f>IFERROR(_xlfn.XLOOKUP(E413,[1]EMPREENDIMENTO!C:C,[1]EMPREENDIMENTO!E:E),"0")</f>
        <v>296</v>
      </c>
      <c r="J413" s="30">
        <v>46663</v>
      </c>
      <c r="K413" s="28" t="s">
        <v>33</v>
      </c>
      <c r="L413" s="31">
        <v>45852</v>
      </c>
      <c r="M413" s="32">
        <v>78179450</v>
      </c>
      <c r="N413" s="32">
        <v>91912900</v>
      </c>
      <c r="O413" s="32">
        <v>81856200</v>
      </c>
      <c r="P413" s="28" t="s">
        <v>34</v>
      </c>
      <c r="Q413" s="28" t="s">
        <v>779</v>
      </c>
      <c r="R413" s="30">
        <v>45870</v>
      </c>
      <c r="S413" s="30">
        <v>45853</v>
      </c>
      <c r="T413" s="33"/>
      <c r="U413" s="34" t="str">
        <f>IFERROR(_xlfn.XLOOKUP(E413,[1]EMPREENDIMENTO!C:C,[1]EMPREENDIMENTO!D:D),"")</f>
        <v>8f6b10b1-3b15-e711-b3b8-009c02b0cb58</v>
      </c>
    </row>
    <row r="414" spans="1:21" x14ac:dyDescent="0.35">
      <c r="A414" s="28" t="str">
        <f>IFERROR(_xlfn.XLOOKUP(C414,[1]DIRETORIA!C:C,[1]DIRETORIA!A:A),"-")</f>
        <v>DIR. COM E CRED SPI CP</v>
      </c>
      <c r="B414" s="28" t="str">
        <f>IFERROR(_xlfn.XLOOKUP(C414,[1]DIRETORIA!C:C,[1]DIRETORIA!B:B),"-")</f>
        <v>GST. COM CP1</v>
      </c>
      <c r="C414" s="28" t="str">
        <f>IFERROR(_xlfn.XLOOKUP(E414,[1]EMPREENDIMENTO!C:C,[1]EMPREENDIMENTO!A:A),"-")</f>
        <v>CAMPINAS</v>
      </c>
      <c r="D414" s="28" t="s">
        <v>29</v>
      </c>
      <c r="E414" s="28" t="s">
        <v>777</v>
      </c>
      <c r="F414" s="28" t="s">
        <v>36</v>
      </c>
      <c r="G414" s="28" t="s">
        <v>780</v>
      </c>
      <c r="H414" s="28">
        <v>45648</v>
      </c>
      <c r="I414" s="29">
        <f>IFERROR(_xlfn.XLOOKUP(E414,[1]EMPREENDIMENTO!C:C,[1]EMPREENDIMENTO!E:E),"0")</f>
        <v>296</v>
      </c>
      <c r="J414" s="30">
        <v>46663</v>
      </c>
      <c r="K414" s="28" t="s">
        <v>33</v>
      </c>
      <c r="L414" s="31">
        <v>45852</v>
      </c>
      <c r="M414" s="32">
        <v>78179450</v>
      </c>
      <c r="N414" s="32">
        <v>91912900</v>
      </c>
      <c r="O414" s="32">
        <v>81856200</v>
      </c>
      <c r="P414" s="28" t="s">
        <v>34</v>
      </c>
      <c r="Q414" s="28" t="s">
        <v>779</v>
      </c>
      <c r="R414" s="30">
        <v>45870</v>
      </c>
      <c r="S414" s="30">
        <v>45853</v>
      </c>
      <c r="T414" s="33"/>
      <c r="U414" s="34" t="str">
        <f>IFERROR(_xlfn.XLOOKUP(E414,[1]EMPREENDIMENTO!C:C,[1]EMPREENDIMENTO!D:D),"")</f>
        <v>8f6b10b1-3b15-e711-b3b8-009c02b0cb58</v>
      </c>
    </row>
    <row r="415" spans="1:21" hidden="1" x14ac:dyDescent="0.35">
      <c r="A415" s="28" t="str">
        <f>IFERROR(_xlfn.XLOOKUP(C415,[1]DIRETORIA!C:C,[1]DIRETORIA!A:A),"-")</f>
        <v>DIR. COM E CRED SUL</v>
      </c>
      <c r="B415" s="28" t="str">
        <f>IFERROR(_xlfn.XLOOKUP(C415,[1]DIRETORIA!C:C,[1]DIRETORIA!B:B),"-")</f>
        <v>GST. COM SC</v>
      </c>
      <c r="C415" s="28" t="str">
        <f>IFERROR(_xlfn.XLOOKUP(E415,[1]EMPREENDIMENTO!C:C,[1]EMPREENDIMENTO!A:A),"-")</f>
        <v>JOINVILLE</v>
      </c>
      <c r="D415" s="28" t="s">
        <v>29</v>
      </c>
      <c r="E415" s="28" t="s">
        <v>781</v>
      </c>
      <c r="F415" s="28" t="s">
        <v>42</v>
      </c>
      <c r="G415" s="28" t="s">
        <v>782</v>
      </c>
      <c r="H415" s="28">
        <v>13304</v>
      </c>
      <c r="I415" s="29">
        <f>IFERROR(_xlfn.XLOOKUP(E415,[1]EMPREENDIMENTO!C:C,[1]EMPREENDIMENTO!E:E),"0")</f>
        <v>192</v>
      </c>
      <c r="J415" s="30">
        <v>46383</v>
      </c>
      <c r="K415" s="28" t="s">
        <v>33</v>
      </c>
      <c r="L415" s="31">
        <v>45659</v>
      </c>
      <c r="M415" s="32">
        <v>50664000</v>
      </c>
      <c r="N415" s="32">
        <v>54684000</v>
      </c>
      <c r="O415" s="32">
        <v>53244000</v>
      </c>
      <c r="P415" s="28" t="s">
        <v>34</v>
      </c>
      <c r="Q415" s="28" t="s">
        <v>783</v>
      </c>
      <c r="R415" s="30">
        <v>45665</v>
      </c>
      <c r="S415" s="30">
        <v>45660</v>
      </c>
      <c r="T415" s="33"/>
      <c r="U415" s="34" t="str">
        <f>IFERROR(_xlfn.XLOOKUP(E415,[1]EMPREENDIMENTO!C:C,[1]EMPREENDIMENTO!D:D),"")</f>
        <v>796c9a53-84b9-e711-a541-009c02b0cb58</v>
      </c>
    </row>
    <row r="416" spans="1:21" hidden="1" x14ac:dyDescent="0.35">
      <c r="A416" s="28" t="str">
        <f>IFERROR(_xlfn.XLOOKUP(C416,[1]DIRETORIA!C:C,[1]DIRETORIA!A:A),"-")</f>
        <v>DIR. COM E CRED NE</v>
      </c>
      <c r="B416" s="28" t="str">
        <f>IFERROR(_xlfn.XLOOKUP(C416,[1]DIRETORIA!C:C,[1]DIRETORIA!B:B),"-")</f>
        <v>GST. COM NE2 (PE)</v>
      </c>
      <c r="C416" s="28" t="str">
        <f>IFERROR(_xlfn.XLOOKUP(E416,[1]EMPREENDIMENTO!C:C,[1]EMPREENDIMENTO!A:A),"-")</f>
        <v>CAMARAGIBE</v>
      </c>
      <c r="D416" s="28" t="s">
        <v>29</v>
      </c>
      <c r="E416" s="28" t="s">
        <v>784</v>
      </c>
      <c r="F416" s="28" t="s">
        <v>31</v>
      </c>
      <c r="G416" s="28" t="s">
        <v>785</v>
      </c>
      <c r="H416" s="28">
        <v>37713</v>
      </c>
      <c r="I416" s="29">
        <f>IFERROR(_xlfn.XLOOKUP(E416,[1]EMPREENDIMENTO!C:C,[1]EMPREENDIMENTO!E:E),"0")</f>
        <v>248</v>
      </c>
      <c r="J416" s="30">
        <v>46671</v>
      </c>
      <c r="K416" s="28" t="s">
        <v>786</v>
      </c>
      <c r="L416" s="31">
        <v>45944</v>
      </c>
      <c r="M416" s="32">
        <v>60140687</v>
      </c>
      <c r="N416" s="32">
        <v>64466211</v>
      </c>
      <c r="O416" s="32">
        <v>63938003</v>
      </c>
      <c r="P416" s="28" t="s">
        <v>34</v>
      </c>
      <c r="Q416" s="28" t="s">
        <v>787</v>
      </c>
      <c r="R416" s="30">
        <v>45945</v>
      </c>
      <c r="S416" s="30">
        <v>45944</v>
      </c>
      <c r="T416" s="33"/>
      <c r="U416" s="34" t="str">
        <f>IFERROR(_xlfn.XLOOKUP(E416,[1]EMPREENDIMENTO!C:C,[1]EMPREENDIMENTO!D:D),"")</f>
        <v>719f30b6-421a-e711-ac8c-80c16e075108</v>
      </c>
    </row>
    <row r="417" spans="1:21" hidden="1" x14ac:dyDescent="0.35">
      <c r="A417" s="28" t="str">
        <f>IFERROR(_xlfn.XLOOKUP(C417,[1]DIRETORIA!C:C,[1]DIRETORIA!A:A),"-")</f>
        <v>DIR. COM E CRED NE</v>
      </c>
      <c r="B417" s="28" t="str">
        <f>IFERROR(_xlfn.XLOOKUP(C417,[1]DIRETORIA!C:C,[1]DIRETORIA!B:B),"-")</f>
        <v>GST. COM NE2 (PE)</v>
      </c>
      <c r="C417" s="28" t="str">
        <f>IFERROR(_xlfn.XLOOKUP(E417,[1]EMPREENDIMENTO!C:C,[1]EMPREENDIMENTO!A:A),"-")</f>
        <v>CAMARAGIBE</v>
      </c>
      <c r="D417" s="28" t="s">
        <v>29</v>
      </c>
      <c r="E417" s="28" t="s">
        <v>784</v>
      </c>
      <c r="F417" s="28" t="s">
        <v>36</v>
      </c>
      <c r="G417" s="28" t="s">
        <v>788</v>
      </c>
      <c r="H417" s="28">
        <v>44797</v>
      </c>
      <c r="I417" s="29">
        <f>IFERROR(_xlfn.XLOOKUP(E417,[1]EMPREENDIMENTO!C:C,[1]EMPREENDIMENTO!E:E),"0")</f>
        <v>248</v>
      </c>
      <c r="J417" s="30">
        <v>46671</v>
      </c>
      <c r="K417" s="28" t="s">
        <v>786</v>
      </c>
      <c r="L417" s="31">
        <v>45944</v>
      </c>
      <c r="M417" s="32">
        <v>60140687</v>
      </c>
      <c r="N417" s="32">
        <v>64466211</v>
      </c>
      <c r="O417" s="32">
        <v>63938003</v>
      </c>
      <c r="P417" s="28" t="s">
        <v>34</v>
      </c>
      <c r="Q417" s="28" t="s">
        <v>787</v>
      </c>
      <c r="R417" s="30">
        <v>45945</v>
      </c>
      <c r="S417" s="30">
        <v>45944</v>
      </c>
      <c r="T417" s="33"/>
      <c r="U417" s="34" t="str">
        <f>IFERROR(_xlfn.XLOOKUP(E417,[1]EMPREENDIMENTO!C:C,[1]EMPREENDIMENTO!D:D),"")</f>
        <v>719f30b6-421a-e711-ac8c-80c16e075108</v>
      </c>
    </row>
    <row r="418" spans="1:21" hidden="1" x14ac:dyDescent="0.35">
      <c r="A418" s="28" t="str">
        <f>IFERROR(_xlfn.XLOOKUP(C418,[1]DIRETORIA!C:C,[1]DIRETORIA!A:A),"-")</f>
        <v>DIR. COM E CRED SUL</v>
      </c>
      <c r="B418" s="28" t="str">
        <f>IFERROR(_xlfn.XLOOKUP(C418,[1]DIRETORIA!C:C,[1]DIRETORIA!B:B),"-")</f>
        <v>GST. COM LONDRINA</v>
      </c>
      <c r="C418" s="28" t="str">
        <f>IFERROR(_xlfn.XLOOKUP(E418,[1]EMPREENDIMENTO!C:C,[1]EMPREENDIMENTO!A:A),"-")</f>
        <v>LONDRINA</v>
      </c>
      <c r="D418" s="28" t="s">
        <v>29</v>
      </c>
      <c r="E418" s="28" t="s">
        <v>789</v>
      </c>
      <c r="F418" s="28" t="s">
        <v>31</v>
      </c>
      <c r="G418" s="28" t="s">
        <v>790</v>
      </c>
      <c r="H418" s="28">
        <v>37606</v>
      </c>
      <c r="I418" s="29">
        <f>IFERROR(_xlfn.XLOOKUP(E418,[1]EMPREENDIMENTO!C:C,[1]EMPREENDIMENTO!E:E),"0")</f>
        <v>288</v>
      </c>
      <c r="J418" s="30">
        <v>46391</v>
      </c>
      <c r="K418" s="28" t="s">
        <v>33</v>
      </c>
      <c r="L418" s="31">
        <v>45426</v>
      </c>
      <c r="M418" s="32">
        <v>69010000</v>
      </c>
      <c r="N418" s="32">
        <v>78045700</v>
      </c>
      <c r="O418" s="32">
        <v>76637000</v>
      </c>
      <c r="P418" s="28" t="s">
        <v>34</v>
      </c>
      <c r="Q418" s="28" t="s">
        <v>791</v>
      </c>
      <c r="R418" s="30">
        <v>45439</v>
      </c>
      <c r="S418" s="30">
        <v>45426</v>
      </c>
      <c r="T418" s="33"/>
      <c r="U418" s="34" t="str">
        <f>IFERROR(_xlfn.XLOOKUP(E418,[1]EMPREENDIMENTO!C:C,[1]EMPREENDIMENTO!D:D),"")</f>
        <v>c066d1ce-55de-ea11-88c0-0050568aa20f</v>
      </c>
    </row>
    <row r="419" spans="1:21" hidden="1" x14ac:dyDescent="0.35">
      <c r="A419" s="28" t="str">
        <f>IFERROR(_xlfn.XLOOKUP(C419,[1]DIRETORIA!C:C,[1]DIRETORIA!A:A),"-")</f>
        <v>DIR. COM E CRED SUL</v>
      </c>
      <c r="B419" s="28" t="str">
        <f>IFERROR(_xlfn.XLOOKUP(C419,[1]DIRETORIA!C:C,[1]DIRETORIA!B:B),"-")</f>
        <v>GST. COM LONDRINA</v>
      </c>
      <c r="C419" s="28" t="str">
        <f>IFERROR(_xlfn.XLOOKUP(E419,[1]EMPREENDIMENTO!C:C,[1]EMPREENDIMENTO!A:A),"-")</f>
        <v>LONDRINA</v>
      </c>
      <c r="D419" s="28" t="s">
        <v>29</v>
      </c>
      <c r="E419" s="28" t="s">
        <v>789</v>
      </c>
      <c r="F419" s="28" t="s">
        <v>36</v>
      </c>
      <c r="G419" s="28" t="s">
        <v>792</v>
      </c>
      <c r="H419" s="28">
        <v>39144</v>
      </c>
      <c r="I419" s="29">
        <f>IFERROR(_xlfn.XLOOKUP(E419,[1]EMPREENDIMENTO!C:C,[1]EMPREENDIMENTO!E:E),"0")</f>
        <v>288</v>
      </c>
      <c r="J419" s="30">
        <v>46391</v>
      </c>
      <c r="K419" s="28" t="s">
        <v>33</v>
      </c>
      <c r="L419" s="31">
        <v>45426</v>
      </c>
      <c r="M419" s="32">
        <v>69010000</v>
      </c>
      <c r="N419" s="32">
        <v>78045700</v>
      </c>
      <c r="O419" s="32">
        <v>76637000</v>
      </c>
      <c r="P419" s="28" t="s">
        <v>34</v>
      </c>
      <c r="Q419" s="28" t="s">
        <v>791</v>
      </c>
      <c r="R419" s="30">
        <v>45439</v>
      </c>
      <c r="S419" s="30">
        <v>45426</v>
      </c>
      <c r="T419" s="33"/>
      <c r="U419" s="34" t="str">
        <f>IFERROR(_xlfn.XLOOKUP(E419,[1]EMPREENDIMENTO!C:C,[1]EMPREENDIMENTO!D:D),"")</f>
        <v>c066d1ce-55de-ea11-88c0-0050568aa20f</v>
      </c>
    </row>
    <row r="420" spans="1:21" hidden="1" x14ac:dyDescent="0.35">
      <c r="A420" s="28" t="str">
        <f>IFERROR(_xlfn.XLOOKUP(C420,[1]DIRETORIA!C:C,[1]DIRETORIA!A:A),"-")</f>
        <v>DIR. COM E CRED SUL</v>
      </c>
      <c r="B420" s="28" t="str">
        <f>IFERROR(_xlfn.XLOOKUP(C420,[1]DIRETORIA!C:C,[1]DIRETORIA!B:B),"-")</f>
        <v>GST. COM LONDRINA</v>
      </c>
      <c r="C420" s="28" t="str">
        <f>IFERROR(_xlfn.XLOOKUP(E420,[1]EMPREENDIMENTO!C:C,[1]EMPREENDIMENTO!A:A),"-")</f>
        <v>LONDRINA</v>
      </c>
      <c r="D420" s="28" t="s">
        <v>29</v>
      </c>
      <c r="E420" s="28" t="s">
        <v>789</v>
      </c>
      <c r="F420" s="28" t="s">
        <v>39</v>
      </c>
      <c r="G420" s="28" t="s">
        <v>793</v>
      </c>
      <c r="H420" s="28">
        <v>40499</v>
      </c>
      <c r="I420" s="29">
        <f>IFERROR(_xlfn.XLOOKUP(E420,[1]EMPREENDIMENTO!C:C,[1]EMPREENDIMENTO!E:E),"0")</f>
        <v>288</v>
      </c>
      <c r="J420" s="30">
        <v>46391</v>
      </c>
      <c r="K420" s="28" t="s">
        <v>33</v>
      </c>
      <c r="L420" s="31">
        <v>45426</v>
      </c>
      <c r="M420" s="32">
        <v>69010000</v>
      </c>
      <c r="N420" s="32">
        <v>78045700</v>
      </c>
      <c r="O420" s="32">
        <v>76637000</v>
      </c>
      <c r="P420" s="28" t="s">
        <v>34</v>
      </c>
      <c r="Q420" s="28" t="s">
        <v>791</v>
      </c>
      <c r="R420" s="30">
        <v>45439</v>
      </c>
      <c r="S420" s="30">
        <v>45426</v>
      </c>
      <c r="T420" s="33"/>
      <c r="U420" s="34" t="str">
        <f>IFERROR(_xlfn.XLOOKUP(E420,[1]EMPREENDIMENTO!C:C,[1]EMPREENDIMENTO!D:D),"")</f>
        <v>c066d1ce-55de-ea11-88c0-0050568aa20f</v>
      </c>
    </row>
    <row r="421" spans="1:21" hidden="1" x14ac:dyDescent="0.35">
      <c r="A421" s="28" t="str">
        <f>IFERROR(_xlfn.XLOOKUP(C421,[1]DIRETORIA!C:C,[1]DIRETORIA!A:A),"-")</f>
        <v>DIR. COM E CRED RJ</v>
      </c>
      <c r="B421" s="28" t="str">
        <f>IFERROR(_xlfn.XLOOKUP(C421,[1]DIRETORIA!C:C,[1]DIRETORIA!B:B),"-")</f>
        <v>GST. COM RJ1</v>
      </c>
      <c r="C421" s="28" t="str">
        <f>IFERROR(_xlfn.XLOOKUP(E421,[1]EMPREENDIMENTO!C:C,[1]EMPREENDIMENTO!A:A),"-")</f>
        <v>RIO DE JANEIRO</v>
      </c>
      <c r="D421" s="28" t="s">
        <v>29</v>
      </c>
      <c r="E421" s="28" t="s">
        <v>794</v>
      </c>
      <c r="F421" s="28" t="s">
        <v>42</v>
      </c>
      <c r="G421" s="28" t="s">
        <v>795</v>
      </c>
      <c r="H421" s="28">
        <v>36945</v>
      </c>
      <c r="I421" s="29">
        <f>IFERROR(_xlfn.XLOOKUP(E421,[1]EMPREENDIMENTO!C:C,[1]EMPREENDIMENTO!E:E),"0")</f>
        <v>288</v>
      </c>
      <c r="J421" s="30">
        <v>46664</v>
      </c>
      <c r="K421" s="28" t="s">
        <v>33</v>
      </c>
      <c r="L421" s="31">
        <v>45964</v>
      </c>
      <c r="M421" s="32">
        <v>314299800</v>
      </c>
      <c r="N421" s="32">
        <v>350473214</v>
      </c>
      <c r="O421" s="32">
        <v>350329651</v>
      </c>
      <c r="P421" s="28" t="s">
        <v>34</v>
      </c>
      <c r="Q421" s="28" t="s">
        <v>796</v>
      </c>
      <c r="R421" s="30">
        <v>45964</v>
      </c>
      <c r="S421" s="30">
        <v>45965</v>
      </c>
      <c r="T421" s="33"/>
      <c r="U421" s="34" t="str">
        <f>IFERROR(_xlfn.XLOOKUP(E421,[1]EMPREENDIMENTO!C:C,[1]EMPREENDIMENTO!D:D),"")</f>
        <v>e82390e4-d25d-ec11-b2fe-005056895191</v>
      </c>
    </row>
    <row r="422" spans="1:21" x14ac:dyDescent="0.35">
      <c r="A422" s="28" t="str">
        <f>IFERROR(_xlfn.XLOOKUP(C422,[1]DIRETORIA!C:C,[1]DIRETORIA!A:A),"-")</f>
        <v>DIR. COM E CRED SPI CP</v>
      </c>
      <c r="B422" s="28" t="str">
        <f>IFERROR(_xlfn.XLOOKUP(C422,[1]DIRETORIA!C:C,[1]DIRETORIA!B:B),"-")</f>
        <v>GST. COM CP1</v>
      </c>
      <c r="C422" s="28" t="str">
        <f>IFERROR(_xlfn.XLOOKUP(E422,[1]EMPREENDIMENTO!C:C,[1]EMPREENDIMENTO!A:A),"-")</f>
        <v>CAMPINAS</v>
      </c>
      <c r="D422" s="28" t="s">
        <v>29</v>
      </c>
      <c r="E422" s="28" t="s">
        <v>797</v>
      </c>
      <c r="F422" s="28" t="s">
        <v>31</v>
      </c>
      <c r="G422" s="28" t="s">
        <v>798</v>
      </c>
      <c r="H422" s="28">
        <v>26944</v>
      </c>
      <c r="I422" s="29">
        <f>IFERROR(_xlfn.XLOOKUP(E422,[1]EMPREENDIMENTO!C:C,[1]EMPREENDIMENTO!E:E),"0")</f>
        <v>288</v>
      </c>
      <c r="J422" s="30">
        <v>46241</v>
      </c>
      <c r="K422" s="28" t="s">
        <v>33</v>
      </c>
      <c r="L422" s="31">
        <v>46126</v>
      </c>
      <c r="M422" s="32">
        <v>85581900</v>
      </c>
      <c r="N422" s="32">
        <v>95851728</v>
      </c>
      <c r="O422" s="32">
        <v>95836352</v>
      </c>
      <c r="P422" s="28" t="s">
        <v>34</v>
      </c>
      <c r="Q422" s="28" t="s">
        <v>799</v>
      </c>
      <c r="R422" s="30">
        <v>46129</v>
      </c>
      <c r="S422" s="30"/>
      <c r="T422" s="33"/>
      <c r="U422" s="34" t="str">
        <f>IFERROR(_xlfn.XLOOKUP(E422,[1]EMPREENDIMENTO!C:C,[1]EMPREENDIMENTO!D:D),"")</f>
        <v>92b6a31c-34c0-e911-a2e9-0050568aa20f</v>
      </c>
    </row>
    <row r="423" spans="1:21" x14ac:dyDescent="0.35">
      <c r="A423" s="28" t="str">
        <f>IFERROR(_xlfn.XLOOKUP(C423,[1]DIRETORIA!C:C,[1]DIRETORIA!A:A),"-")</f>
        <v>DIR. COM E CRED SPI CP</v>
      </c>
      <c r="B423" s="28" t="str">
        <f>IFERROR(_xlfn.XLOOKUP(C423,[1]DIRETORIA!C:C,[1]DIRETORIA!B:B),"-")</f>
        <v>GST. COM CP1</v>
      </c>
      <c r="C423" s="28" t="str">
        <f>IFERROR(_xlfn.XLOOKUP(E423,[1]EMPREENDIMENTO!C:C,[1]EMPREENDIMENTO!A:A),"-")</f>
        <v>CAMPINAS</v>
      </c>
      <c r="D423" s="28" t="s">
        <v>29</v>
      </c>
      <c r="E423" s="28" t="s">
        <v>797</v>
      </c>
      <c r="F423" s="28" t="s">
        <v>36</v>
      </c>
      <c r="G423" s="28" t="s">
        <v>800</v>
      </c>
      <c r="H423" s="28">
        <v>40014</v>
      </c>
      <c r="I423" s="29">
        <f>IFERROR(_xlfn.XLOOKUP(E423,[1]EMPREENDIMENTO!C:C,[1]EMPREENDIMENTO!E:E),"0")</f>
        <v>288</v>
      </c>
      <c r="J423" s="30">
        <v>46241</v>
      </c>
      <c r="K423" s="28" t="s">
        <v>33</v>
      </c>
      <c r="L423" s="31">
        <v>46126</v>
      </c>
      <c r="M423" s="32">
        <v>85581900</v>
      </c>
      <c r="N423" s="32">
        <v>95851728</v>
      </c>
      <c r="O423" s="32">
        <v>95836352</v>
      </c>
      <c r="P423" s="28" t="s">
        <v>34</v>
      </c>
      <c r="Q423" s="28" t="s">
        <v>799</v>
      </c>
      <c r="R423" s="30">
        <v>46129</v>
      </c>
      <c r="S423" s="30"/>
      <c r="T423" s="33"/>
      <c r="U423" s="34" t="str">
        <f>IFERROR(_xlfn.XLOOKUP(E423,[1]EMPREENDIMENTO!C:C,[1]EMPREENDIMENTO!D:D),"")</f>
        <v>92b6a31c-34c0-e911-a2e9-0050568aa20f</v>
      </c>
    </row>
    <row r="424" spans="1:21" hidden="1" x14ac:dyDescent="0.35">
      <c r="A424" s="28" t="str">
        <f>IFERROR(_xlfn.XLOOKUP(C424,[1]DIRETORIA!C:C,[1]DIRETORIA!A:A),"-")</f>
        <v>DIR. COM E CRED SUL</v>
      </c>
      <c r="B424" s="28" t="str">
        <f>IFERROR(_xlfn.XLOOKUP(C424,[1]DIRETORIA!C:C,[1]DIRETORIA!B:B),"-")</f>
        <v>GST. COM LONDRINA</v>
      </c>
      <c r="C424" s="28" t="str">
        <f>IFERROR(_xlfn.XLOOKUP(E424,[1]EMPREENDIMENTO!C:C,[1]EMPREENDIMENTO!A:A),"-")</f>
        <v>LONDRINA</v>
      </c>
      <c r="D424" s="28" t="s">
        <v>29</v>
      </c>
      <c r="E424" s="28" t="s">
        <v>801</v>
      </c>
      <c r="F424" s="28" t="s">
        <v>42</v>
      </c>
      <c r="G424" s="28" t="s">
        <v>802</v>
      </c>
      <c r="H424" s="28">
        <v>33554</v>
      </c>
      <c r="I424" s="29">
        <f>IFERROR(_xlfn.XLOOKUP(E424,[1]EMPREENDIMENTO!C:C,[1]EMPREENDIMENTO!E:E),"0")</f>
        <v>128</v>
      </c>
      <c r="J424" s="30">
        <v>45533</v>
      </c>
      <c r="K424" s="28" t="s">
        <v>33</v>
      </c>
      <c r="L424" s="31">
        <v>45296</v>
      </c>
      <c r="M424" s="32">
        <v>26433000</v>
      </c>
      <c r="N424" s="32">
        <v>27930000</v>
      </c>
      <c r="O424" s="32">
        <v>26907000</v>
      </c>
      <c r="P424" s="28" t="s">
        <v>34</v>
      </c>
      <c r="Q424" s="28" t="s">
        <v>803</v>
      </c>
      <c r="R424" s="30">
        <v>45288</v>
      </c>
      <c r="S424" s="30">
        <v>45296</v>
      </c>
      <c r="T424" s="33"/>
      <c r="U424" s="34" t="str">
        <f>IFERROR(_xlfn.XLOOKUP(E424,[1]EMPREENDIMENTO!C:C,[1]EMPREENDIMENTO!D:D),"")</f>
        <v>F30745C2-4CDB-EA11-88C0-0050568AA20F</v>
      </c>
    </row>
    <row r="425" spans="1:21" hidden="1" x14ac:dyDescent="0.35">
      <c r="A425" s="28" t="str">
        <f>IFERROR(_xlfn.XLOOKUP(C425,[1]DIRETORIA!C:C,[1]DIRETORIA!A:A),"-")</f>
        <v>DIR. COM E CRED NE</v>
      </c>
      <c r="B425" s="28" t="str">
        <f>IFERROR(_xlfn.XLOOKUP(C425,[1]DIRETORIA!C:C,[1]DIRETORIA!B:B),"-")</f>
        <v>GST. COM NE 3 (SE+AL)</v>
      </c>
      <c r="C425" s="28" t="str">
        <f>IFERROR(_xlfn.XLOOKUP(E425,[1]EMPREENDIMENTO!C:C,[1]EMPREENDIMENTO!A:A),"-")</f>
        <v>ARACAJU</v>
      </c>
      <c r="D425" s="28" t="s">
        <v>29</v>
      </c>
      <c r="E425" s="28" t="s">
        <v>804</v>
      </c>
      <c r="F425" s="28" t="s">
        <v>31</v>
      </c>
      <c r="G425" s="28" t="s">
        <v>805</v>
      </c>
      <c r="H425" s="28">
        <v>39222</v>
      </c>
      <c r="I425" s="29">
        <f>IFERROR(_xlfn.XLOOKUP(E425,[1]EMPREENDIMENTO!C:C,[1]EMPREENDIMENTO!E:E),"0")</f>
        <v>384</v>
      </c>
      <c r="J425" s="30">
        <v>46292</v>
      </c>
      <c r="K425" s="28" t="s">
        <v>33</v>
      </c>
      <c r="L425" s="31">
        <v>46132</v>
      </c>
      <c r="M425" s="32">
        <v>161336845</v>
      </c>
      <c r="N425" s="32"/>
      <c r="O425" s="32"/>
      <c r="P425" s="28" t="s">
        <v>2</v>
      </c>
      <c r="Q425" s="28" t="s">
        <v>806</v>
      </c>
      <c r="R425" s="30">
        <v>46279</v>
      </c>
      <c r="S425" s="30"/>
      <c r="T425" s="33"/>
      <c r="U425" s="34" t="str">
        <f>IFERROR(_xlfn.XLOOKUP(E425,[1]EMPREENDIMENTO!C:C,[1]EMPREENDIMENTO!D:D),"")</f>
        <v>b0fff6f9-6f66-eb11-8864-0050568aa20f</v>
      </c>
    </row>
    <row r="426" spans="1:21" hidden="1" x14ac:dyDescent="0.35">
      <c r="A426" s="28" t="str">
        <f>IFERROR(_xlfn.XLOOKUP(C426,[1]DIRETORIA!C:C,[1]DIRETORIA!A:A),"-")</f>
        <v>DIR. COM E CRED NE</v>
      </c>
      <c r="B426" s="28" t="str">
        <f>IFERROR(_xlfn.XLOOKUP(C426,[1]DIRETORIA!C:C,[1]DIRETORIA!B:B),"-")</f>
        <v>GST. COM NE 3 (SE+AL)</v>
      </c>
      <c r="C426" s="28" t="str">
        <f>IFERROR(_xlfn.XLOOKUP(E426,[1]EMPREENDIMENTO!C:C,[1]EMPREENDIMENTO!A:A),"-")</f>
        <v>ARACAJU</v>
      </c>
      <c r="D426" s="28" t="s">
        <v>29</v>
      </c>
      <c r="E426" s="28" t="s">
        <v>804</v>
      </c>
      <c r="F426" s="28" t="s">
        <v>36</v>
      </c>
      <c r="G426" s="28" t="s">
        <v>807</v>
      </c>
      <c r="H426" s="28">
        <v>45095</v>
      </c>
      <c r="I426" s="29">
        <f>IFERROR(_xlfn.XLOOKUP(E426,[1]EMPREENDIMENTO!C:C,[1]EMPREENDIMENTO!E:E),"0")</f>
        <v>384</v>
      </c>
      <c r="J426" s="30">
        <v>46292</v>
      </c>
      <c r="K426" s="28" t="s">
        <v>33</v>
      </c>
      <c r="L426" s="31">
        <v>46132</v>
      </c>
      <c r="M426" s="32">
        <v>161336845</v>
      </c>
      <c r="N426" s="32"/>
      <c r="O426" s="32"/>
      <c r="P426" s="28" t="s">
        <v>2</v>
      </c>
      <c r="Q426" s="28" t="s">
        <v>806</v>
      </c>
      <c r="R426" s="30">
        <v>46279</v>
      </c>
      <c r="S426" s="30"/>
      <c r="T426" s="33"/>
      <c r="U426" s="34" t="str">
        <f>IFERROR(_xlfn.XLOOKUP(E426,[1]EMPREENDIMENTO!C:C,[1]EMPREENDIMENTO!D:D),"")</f>
        <v>b0fff6f9-6f66-eb11-8864-0050568aa20f</v>
      </c>
    </row>
    <row r="427" spans="1:21" x14ac:dyDescent="0.35">
      <c r="A427" s="28" t="str">
        <f>IFERROR(_xlfn.XLOOKUP(C427,[1]DIRETORIA!C:C,[1]DIRETORIA!A:A),"-")</f>
        <v>DIR. COM E CRED SPI CP</v>
      </c>
      <c r="B427" s="28" t="str">
        <f>IFERROR(_xlfn.XLOOKUP(C427,[1]DIRETORIA!C:C,[1]DIRETORIA!B:B),"-")</f>
        <v>GST. COM CP3</v>
      </c>
      <c r="C427" s="28" t="str">
        <f>IFERROR(_xlfn.XLOOKUP(E427,[1]EMPREENDIMENTO!C:C,[1]EMPREENDIMENTO!A:A),"-")</f>
        <v>PIRACICABA</v>
      </c>
      <c r="D427" s="28" t="s">
        <v>29</v>
      </c>
      <c r="E427" s="28" t="s">
        <v>808</v>
      </c>
      <c r="F427" s="28" t="s">
        <v>31</v>
      </c>
      <c r="G427" s="28" t="s">
        <v>809</v>
      </c>
      <c r="H427" s="28">
        <v>37616</v>
      </c>
      <c r="I427" s="29">
        <f>IFERROR(_xlfn.XLOOKUP(E427,[1]EMPREENDIMENTO!C:C,[1]EMPREENDIMENTO!E:E),"0")</f>
        <v>292</v>
      </c>
      <c r="J427" s="30">
        <v>46720</v>
      </c>
      <c r="K427" s="28" t="s">
        <v>33</v>
      </c>
      <c r="L427" s="31">
        <v>45643</v>
      </c>
      <c r="M427" s="32">
        <v>64710400</v>
      </c>
      <c r="N427" s="32">
        <v>74932500</v>
      </c>
      <c r="O427" s="32">
        <v>69860800</v>
      </c>
      <c r="P427" s="28" t="s">
        <v>34</v>
      </c>
      <c r="Q427" s="28" t="s">
        <v>810</v>
      </c>
      <c r="R427" s="30">
        <v>46160</v>
      </c>
      <c r="S427" s="30"/>
      <c r="T427" s="33" t="s">
        <v>811</v>
      </c>
      <c r="U427" s="34" t="str">
        <f>IFERROR(_xlfn.XLOOKUP(E427,[1]EMPREENDIMENTO!C:C,[1]EMPREENDIMENTO!D:D),"")</f>
        <v>a84a2de5-4b6e-ec11-a871-005056895191</v>
      </c>
    </row>
    <row r="428" spans="1:21" x14ac:dyDescent="0.35">
      <c r="A428" s="28" t="str">
        <f>IFERROR(_xlfn.XLOOKUP(C428,[1]DIRETORIA!C:C,[1]DIRETORIA!A:A),"-")</f>
        <v>DIR. COM E CRED SPI CP</v>
      </c>
      <c r="B428" s="28" t="str">
        <f>IFERROR(_xlfn.XLOOKUP(C428,[1]DIRETORIA!C:C,[1]DIRETORIA!B:B),"-")</f>
        <v>GST. COM CP3</v>
      </c>
      <c r="C428" s="28" t="str">
        <f>IFERROR(_xlfn.XLOOKUP(E428,[1]EMPREENDIMENTO!C:C,[1]EMPREENDIMENTO!A:A),"-")</f>
        <v>PIRACICABA</v>
      </c>
      <c r="D428" s="28" t="s">
        <v>29</v>
      </c>
      <c r="E428" s="28" t="s">
        <v>808</v>
      </c>
      <c r="F428" s="28" t="s">
        <v>36</v>
      </c>
      <c r="G428" s="28" t="s">
        <v>812</v>
      </c>
      <c r="H428" s="28">
        <v>52332</v>
      </c>
      <c r="I428" s="29">
        <f>IFERROR(_xlfn.XLOOKUP(E428,[1]EMPREENDIMENTO!C:C,[1]EMPREENDIMENTO!E:E),"0")</f>
        <v>292</v>
      </c>
      <c r="J428" s="30">
        <v>46720</v>
      </c>
      <c r="K428" s="28" t="s">
        <v>33</v>
      </c>
      <c r="L428" s="31">
        <v>45643</v>
      </c>
      <c r="M428" s="32">
        <v>64710400</v>
      </c>
      <c r="N428" s="32">
        <v>74932500</v>
      </c>
      <c r="O428" s="32">
        <v>69860800</v>
      </c>
      <c r="P428" s="28" t="s">
        <v>34</v>
      </c>
      <c r="Q428" s="28" t="s">
        <v>810</v>
      </c>
      <c r="R428" s="30">
        <v>46160</v>
      </c>
      <c r="S428" s="30"/>
      <c r="T428" s="33" t="s">
        <v>811</v>
      </c>
      <c r="U428" s="34" t="str">
        <f>IFERROR(_xlfn.XLOOKUP(E428,[1]EMPREENDIMENTO!C:C,[1]EMPREENDIMENTO!D:D),"")</f>
        <v>a84a2de5-4b6e-ec11-a871-005056895191</v>
      </c>
    </row>
    <row r="429" spans="1:21" hidden="1" x14ac:dyDescent="0.35">
      <c r="A429" s="28" t="str">
        <f>IFERROR(_xlfn.XLOOKUP(C429,[1]DIRETORIA!C:C,[1]DIRETORIA!A:A),"-")</f>
        <v>DIR. COM E CRED NE</v>
      </c>
      <c r="B429" s="28" t="str">
        <f>IFERROR(_xlfn.XLOOKUP(C429,[1]DIRETORIA!C:C,[1]DIRETORIA!B:B),"-")</f>
        <v>GST. COM NE2 (PE)</v>
      </c>
      <c r="C429" s="28" t="str">
        <f>IFERROR(_xlfn.XLOOKUP(E429,[1]EMPREENDIMENTO!C:C,[1]EMPREENDIMENTO!A:A),"-")</f>
        <v>PAULISTA</v>
      </c>
      <c r="D429" s="28" t="s">
        <v>29</v>
      </c>
      <c r="E429" s="28" t="s">
        <v>813</v>
      </c>
      <c r="F429" s="28" t="s">
        <v>31</v>
      </c>
      <c r="G429" s="28" t="s">
        <v>814</v>
      </c>
      <c r="H429" s="28">
        <v>38246</v>
      </c>
      <c r="I429" s="29">
        <f>IFERROR(_xlfn.XLOOKUP(E429,[1]EMPREENDIMENTO!C:C,[1]EMPREENDIMENTO!E:E),"0")</f>
        <v>500</v>
      </c>
      <c r="J429" s="30">
        <v>46660</v>
      </c>
      <c r="K429" s="28" t="s">
        <v>164</v>
      </c>
      <c r="L429" s="31">
        <v>45814</v>
      </c>
      <c r="M429" s="32">
        <v>108583050</v>
      </c>
      <c r="N429" s="32">
        <v>110142050</v>
      </c>
      <c r="O429" s="32">
        <v>110142050</v>
      </c>
      <c r="P429" s="28" t="s">
        <v>34</v>
      </c>
      <c r="Q429" s="28" t="s">
        <v>815</v>
      </c>
      <c r="R429" s="30">
        <v>45823</v>
      </c>
      <c r="S429" s="30">
        <v>45814</v>
      </c>
      <c r="T429" s="33"/>
      <c r="U429" s="34" t="str">
        <f>IFERROR(_xlfn.XLOOKUP(E429,[1]EMPREENDIMENTO!C:C,[1]EMPREENDIMENTO!D:D),"")</f>
        <v>36654722-6a81-ed11-879a-80c16e075108</v>
      </c>
    </row>
    <row r="430" spans="1:21" hidden="1" x14ac:dyDescent="0.35">
      <c r="A430" s="28" t="str">
        <f>IFERROR(_xlfn.XLOOKUP(C430,[1]DIRETORIA!C:C,[1]DIRETORIA!A:A),"-")</f>
        <v>DIR. COM E CRED NE</v>
      </c>
      <c r="B430" s="28" t="str">
        <f>IFERROR(_xlfn.XLOOKUP(C430,[1]DIRETORIA!C:C,[1]DIRETORIA!B:B),"-")</f>
        <v>GST. COM NE2 (PE)</v>
      </c>
      <c r="C430" s="28" t="str">
        <f>IFERROR(_xlfn.XLOOKUP(E430,[1]EMPREENDIMENTO!C:C,[1]EMPREENDIMENTO!A:A),"-")</f>
        <v>PAULISTA</v>
      </c>
      <c r="D430" s="28" t="s">
        <v>29</v>
      </c>
      <c r="E430" s="28" t="s">
        <v>813</v>
      </c>
      <c r="F430" s="28" t="s">
        <v>36</v>
      </c>
      <c r="G430" s="28" t="s">
        <v>816</v>
      </c>
      <c r="H430" s="28">
        <v>43703</v>
      </c>
      <c r="I430" s="29">
        <f>IFERROR(_xlfn.XLOOKUP(E430,[1]EMPREENDIMENTO!C:C,[1]EMPREENDIMENTO!E:E),"0")</f>
        <v>500</v>
      </c>
      <c r="J430" s="30">
        <v>46660</v>
      </c>
      <c r="K430" s="28" t="s">
        <v>164</v>
      </c>
      <c r="L430" s="31">
        <v>45814</v>
      </c>
      <c r="M430" s="32">
        <v>108583050</v>
      </c>
      <c r="N430" s="32">
        <v>110142050</v>
      </c>
      <c r="O430" s="32">
        <v>110142050</v>
      </c>
      <c r="P430" s="28" t="s">
        <v>34</v>
      </c>
      <c r="Q430" s="28" t="s">
        <v>815</v>
      </c>
      <c r="R430" s="30">
        <v>45823</v>
      </c>
      <c r="S430" s="30">
        <v>45814</v>
      </c>
      <c r="T430" s="33"/>
      <c r="U430" s="34" t="str">
        <f>IFERROR(_xlfn.XLOOKUP(E430,[1]EMPREENDIMENTO!C:C,[1]EMPREENDIMENTO!D:D),"")</f>
        <v>36654722-6a81-ed11-879a-80c16e075108</v>
      </c>
    </row>
    <row r="431" spans="1:21" hidden="1" x14ac:dyDescent="0.35">
      <c r="A431" s="28" t="str">
        <f>IFERROR(_xlfn.XLOOKUP(C431,[1]DIRETORIA!C:C,[1]DIRETORIA!A:A),"-")</f>
        <v>DIR. COM E CRED NE</v>
      </c>
      <c r="B431" s="28" t="str">
        <f>IFERROR(_xlfn.XLOOKUP(C431,[1]DIRETORIA!C:C,[1]DIRETORIA!B:B),"-")</f>
        <v>GST. COM NE2 (PE)</v>
      </c>
      <c r="C431" s="28" t="str">
        <f>IFERROR(_xlfn.XLOOKUP(E431,[1]EMPREENDIMENTO!C:C,[1]EMPREENDIMENTO!A:A),"-")</f>
        <v>PAULISTA</v>
      </c>
      <c r="D431" s="28" t="s">
        <v>29</v>
      </c>
      <c r="E431" s="28" t="s">
        <v>813</v>
      </c>
      <c r="F431" s="28" t="s">
        <v>39</v>
      </c>
      <c r="G431" s="28" t="s">
        <v>817</v>
      </c>
      <c r="H431" s="28">
        <v>44810</v>
      </c>
      <c r="I431" s="29">
        <f>IFERROR(_xlfn.XLOOKUP(E431,[1]EMPREENDIMENTO!C:C,[1]EMPREENDIMENTO!E:E),"0")</f>
        <v>500</v>
      </c>
      <c r="J431" s="30">
        <v>46660</v>
      </c>
      <c r="K431" s="28" t="s">
        <v>164</v>
      </c>
      <c r="L431" s="31">
        <v>45814</v>
      </c>
      <c r="M431" s="32">
        <v>108583050</v>
      </c>
      <c r="N431" s="32">
        <v>110142050</v>
      </c>
      <c r="O431" s="32">
        <v>110142050</v>
      </c>
      <c r="P431" s="28" t="s">
        <v>34</v>
      </c>
      <c r="Q431" s="28" t="s">
        <v>815</v>
      </c>
      <c r="R431" s="30">
        <v>45823</v>
      </c>
      <c r="S431" s="30">
        <v>45814</v>
      </c>
      <c r="T431" s="33"/>
      <c r="U431" s="34" t="str">
        <f>IFERROR(_xlfn.XLOOKUP(E431,[1]EMPREENDIMENTO!C:C,[1]EMPREENDIMENTO!D:D),"")</f>
        <v>36654722-6a81-ed11-879a-80c16e075108</v>
      </c>
    </row>
    <row r="432" spans="1:21" hidden="1" x14ac:dyDescent="0.35">
      <c r="A432" s="28" t="str">
        <f>IFERROR(_xlfn.XLOOKUP(C432,[1]DIRETORIA!C:C,[1]DIRETORIA!A:A),"-")</f>
        <v>DIR. COM E CRED NE</v>
      </c>
      <c r="B432" s="28" t="str">
        <f>IFERROR(_xlfn.XLOOKUP(C432,[1]DIRETORIA!C:C,[1]DIRETORIA!B:B),"-")</f>
        <v>GST. COM NE2 (PE)</v>
      </c>
      <c r="C432" s="28" t="str">
        <f>IFERROR(_xlfn.XLOOKUP(E432,[1]EMPREENDIMENTO!C:C,[1]EMPREENDIMENTO!A:A),"-")</f>
        <v>PAULISTA</v>
      </c>
      <c r="D432" s="28" t="s">
        <v>29</v>
      </c>
      <c r="E432" s="28" t="s">
        <v>813</v>
      </c>
      <c r="F432" s="28" t="s">
        <v>50</v>
      </c>
      <c r="G432" s="28" t="s">
        <v>818</v>
      </c>
      <c r="H432" s="28">
        <v>46061</v>
      </c>
      <c r="I432" s="29">
        <f>IFERROR(_xlfn.XLOOKUP(E432,[1]EMPREENDIMENTO!C:C,[1]EMPREENDIMENTO!E:E),"0")</f>
        <v>500</v>
      </c>
      <c r="J432" s="30">
        <v>46660</v>
      </c>
      <c r="K432" s="28" t="s">
        <v>164</v>
      </c>
      <c r="L432" s="31">
        <v>45814</v>
      </c>
      <c r="M432" s="32">
        <v>108583050</v>
      </c>
      <c r="N432" s="32">
        <v>110142050</v>
      </c>
      <c r="O432" s="32">
        <v>110142050</v>
      </c>
      <c r="P432" s="28" t="s">
        <v>34</v>
      </c>
      <c r="Q432" s="28" t="s">
        <v>815</v>
      </c>
      <c r="R432" s="30">
        <v>45823</v>
      </c>
      <c r="S432" s="30">
        <v>45814</v>
      </c>
      <c r="T432" s="33"/>
      <c r="U432" s="34" t="str">
        <f>IFERROR(_xlfn.XLOOKUP(E432,[1]EMPREENDIMENTO!C:C,[1]EMPREENDIMENTO!D:D),"")</f>
        <v>36654722-6a81-ed11-879a-80c16e075108</v>
      </c>
    </row>
    <row r="433" spans="1:21" hidden="1" x14ac:dyDescent="0.35">
      <c r="A433" s="28" t="str">
        <f>IFERROR(_xlfn.XLOOKUP(C433,[1]DIRETORIA!C:C,[1]DIRETORIA!A:A),"-")</f>
        <v>DIR. COM E CRED SP E VL</v>
      </c>
      <c r="B433" s="28" t="str">
        <f>IFERROR(_xlfn.XLOOKUP(C433,[1]DIRETORIA!C:C,[1]DIRETORIA!B:B),"-")</f>
        <v>GST. COM SP2</v>
      </c>
      <c r="C433" s="28" t="str">
        <f>IFERROR(_xlfn.XLOOKUP(E433,[1]EMPREENDIMENTO!C:C,[1]EMPREENDIMENTO!A:A),"-")</f>
        <v>SÃO PAULO</v>
      </c>
      <c r="D433" s="28" t="s">
        <v>29</v>
      </c>
      <c r="E433" s="28" t="s">
        <v>819</v>
      </c>
      <c r="F433" s="28" t="s">
        <v>42</v>
      </c>
      <c r="G433" s="28" t="s">
        <v>820</v>
      </c>
      <c r="H433" s="28">
        <v>37874</v>
      </c>
      <c r="I433" s="29">
        <f>IFERROR(_xlfn.XLOOKUP(E433,[1]EMPREENDIMENTO!C:C,[1]EMPREENDIMENTO!E:E),"0")</f>
        <v>416</v>
      </c>
      <c r="J433" s="30">
        <v>46383</v>
      </c>
      <c r="K433" s="28" t="s">
        <v>164</v>
      </c>
      <c r="L433" s="31">
        <v>45079</v>
      </c>
      <c r="M433" s="32">
        <v>103892000</v>
      </c>
      <c r="N433" s="32">
        <v>103892000</v>
      </c>
      <c r="O433" s="32">
        <v>103636000</v>
      </c>
      <c r="P433" s="28" t="s">
        <v>34</v>
      </c>
      <c r="Q433" s="28"/>
      <c r="R433" s="30"/>
      <c r="S433" s="30">
        <v>45079</v>
      </c>
      <c r="T433" s="33"/>
      <c r="U433" s="34" t="str">
        <f>IFERROR(_xlfn.XLOOKUP(E433,[1]EMPREENDIMENTO!C:C,[1]EMPREENDIMENTO!D:D),"")</f>
        <v>bcdfff0e-3b62-eb11-aa45-005056856875</v>
      </c>
    </row>
    <row r="434" spans="1:21" hidden="1" x14ac:dyDescent="0.35">
      <c r="A434" s="28" t="str">
        <f>IFERROR(_xlfn.XLOOKUP(C434,[1]DIRETORIA!C:C,[1]DIRETORIA!A:A),"-")</f>
        <v>DIR. COM E CRED SP E VL</v>
      </c>
      <c r="B434" s="28" t="str">
        <f>IFERROR(_xlfn.XLOOKUP(C434,[1]DIRETORIA!C:C,[1]DIRETORIA!B:B),"-")</f>
        <v>GST. COM SP2</v>
      </c>
      <c r="C434" s="28" t="str">
        <f>IFERROR(_xlfn.XLOOKUP(E434,[1]EMPREENDIMENTO!C:C,[1]EMPREENDIMENTO!A:A),"-")</f>
        <v>SÃO PAULO</v>
      </c>
      <c r="D434" s="28" t="s">
        <v>29</v>
      </c>
      <c r="E434" s="28" t="s">
        <v>821</v>
      </c>
      <c r="F434" s="28" t="s">
        <v>42</v>
      </c>
      <c r="G434" s="28" t="s">
        <v>822</v>
      </c>
      <c r="H434" s="28">
        <v>44144</v>
      </c>
      <c r="I434" s="29">
        <f>IFERROR(_xlfn.XLOOKUP(E434,[1]EMPREENDIMENTO!C:C,[1]EMPREENDIMENTO!E:E),"0")</f>
        <v>288</v>
      </c>
      <c r="J434" s="30">
        <v>46523</v>
      </c>
      <c r="K434" s="28" t="s">
        <v>33</v>
      </c>
      <c r="L434" s="31">
        <v>45845</v>
      </c>
      <c r="M434" s="32">
        <v>80841000</v>
      </c>
      <c r="N434" s="32">
        <v>95663579</v>
      </c>
      <c r="O434" s="32">
        <v>95022882</v>
      </c>
      <c r="P434" s="28" t="s">
        <v>34</v>
      </c>
      <c r="Q434" s="28" t="s">
        <v>823</v>
      </c>
      <c r="R434" s="30">
        <v>45848</v>
      </c>
      <c r="S434" s="30">
        <v>45845</v>
      </c>
      <c r="T434" s="33"/>
      <c r="U434" s="34" t="str">
        <f>IFERROR(_xlfn.XLOOKUP(E434,[1]EMPREENDIMENTO!C:C,[1]EMPREENDIMENTO!D:D),"")</f>
        <v>049404c6-6593-ec11-b501-005056856b6c</v>
      </c>
    </row>
    <row r="435" spans="1:21" hidden="1" x14ac:dyDescent="0.35">
      <c r="A435" s="28" t="str">
        <f>IFERROR(_xlfn.XLOOKUP(C435,[1]DIRETORIA!C:C,[1]DIRETORIA!A:A),"-")</f>
        <v>DIR. COM E CRED NE</v>
      </c>
      <c r="B435" s="28" t="str">
        <f>IFERROR(_xlfn.XLOOKUP(C435,[1]DIRETORIA!C:C,[1]DIRETORIA!B:B),"-")</f>
        <v>GST. COM NE1 (BA 1)</v>
      </c>
      <c r="C435" s="28" t="str">
        <f>IFERROR(_xlfn.XLOOKUP(E435,[1]EMPREENDIMENTO!C:C,[1]EMPREENDIMENTO!A:A),"-")</f>
        <v>SALVADOR</v>
      </c>
      <c r="D435" s="28" t="s">
        <v>29</v>
      </c>
      <c r="E435" s="28" t="s">
        <v>824</v>
      </c>
      <c r="F435" s="28" t="s">
        <v>31</v>
      </c>
      <c r="G435" s="28" t="s">
        <v>825</v>
      </c>
      <c r="H435" s="28">
        <v>27303</v>
      </c>
      <c r="I435" s="29">
        <f>IFERROR(_xlfn.XLOOKUP(E435,[1]EMPREENDIMENTO!C:C,[1]EMPREENDIMENTO!E:E),"0")</f>
        <v>512</v>
      </c>
      <c r="J435" s="30">
        <v>46531</v>
      </c>
      <c r="K435" s="28" t="s">
        <v>33</v>
      </c>
      <c r="L435" s="31">
        <v>46029</v>
      </c>
      <c r="M435" s="32">
        <v>134989009</v>
      </c>
      <c r="N435" s="32">
        <v>138168578</v>
      </c>
      <c r="O435" s="32">
        <v>136176761</v>
      </c>
      <c r="P435" s="28" t="s">
        <v>34</v>
      </c>
      <c r="Q435" s="28" t="s">
        <v>826</v>
      </c>
      <c r="R435" s="30">
        <v>46044</v>
      </c>
      <c r="S435" s="30">
        <v>46029</v>
      </c>
      <c r="T435" s="33"/>
      <c r="U435" s="34" t="str">
        <f>IFERROR(_xlfn.XLOOKUP(E435,[1]EMPREENDIMENTO!C:C,[1]EMPREENDIMENTO!D:D),"")</f>
        <v>c91ccccd-2bde-e911-a6a0-005056856875</v>
      </c>
    </row>
    <row r="436" spans="1:21" hidden="1" x14ac:dyDescent="0.35">
      <c r="A436" s="28" t="str">
        <f>IFERROR(_xlfn.XLOOKUP(C436,[1]DIRETORIA!C:C,[1]DIRETORIA!A:A),"-")</f>
        <v>DIR. COM E CRED NE</v>
      </c>
      <c r="B436" s="28" t="str">
        <f>IFERROR(_xlfn.XLOOKUP(C436,[1]DIRETORIA!C:C,[1]DIRETORIA!B:B),"-")</f>
        <v>GST. COM NE1 (BA 1)</v>
      </c>
      <c r="C436" s="28" t="str">
        <f>IFERROR(_xlfn.XLOOKUP(E436,[1]EMPREENDIMENTO!C:C,[1]EMPREENDIMENTO!A:A),"-")</f>
        <v>SALVADOR</v>
      </c>
      <c r="D436" s="28" t="s">
        <v>29</v>
      </c>
      <c r="E436" s="28" t="s">
        <v>824</v>
      </c>
      <c r="F436" s="28" t="s">
        <v>36</v>
      </c>
      <c r="G436" s="28" t="s">
        <v>827</v>
      </c>
      <c r="H436" s="28">
        <v>36465</v>
      </c>
      <c r="I436" s="29">
        <f>IFERROR(_xlfn.XLOOKUP(E436,[1]EMPREENDIMENTO!C:C,[1]EMPREENDIMENTO!E:E),"0")</f>
        <v>512</v>
      </c>
      <c r="J436" s="30">
        <v>46531</v>
      </c>
      <c r="K436" s="28" t="s">
        <v>33</v>
      </c>
      <c r="L436" s="31">
        <v>46029</v>
      </c>
      <c r="M436" s="32">
        <v>134989009</v>
      </c>
      <c r="N436" s="32">
        <v>138168578</v>
      </c>
      <c r="O436" s="32">
        <v>136176761</v>
      </c>
      <c r="P436" s="28" t="s">
        <v>34</v>
      </c>
      <c r="Q436" s="28" t="s">
        <v>826</v>
      </c>
      <c r="R436" s="30">
        <v>46044</v>
      </c>
      <c r="S436" s="30">
        <v>46029</v>
      </c>
      <c r="T436" s="33"/>
      <c r="U436" s="34" t="str">
        <f>IFERROR(_xlfn.XLOOKUP(E436,[1]EMPREENDIMENTO!C:C,[1]EMPREENDIMENTO!D:D),"")</f>
        <v>c91ccccd-2bde-e911-a6a0-005056856875</v>
      </c>
    </row>
    <row r="437" spans="1:21" hidden="1" x14ac:dyDescent="0.35">
      <c r="A437" s="28" t="str">
        <f>IFERROR(_xlfn.XLOOKUP(C437,[1]DIRETORIA!C:C,[1]DIRETORIA!A:A),"-")</f>
        <v>DIR. COM E CRED NE</v>
      </c>
      <c r="B437" s="28" t="str">
        <f>IFERROR(_xlfn.XLOOKUP(C437,[1]DIRETORIA!C:C,[1]DIRETORIA!B:B),"-")</f>
        <v>GST. COM NE1 (BA 1)</v>
      </c>
      <c r="C437" s="28" t="str">
        <f>IFERROR(_xlfn.XLOOKUP(E437,[1]EMPREENDIMENTO!C:C,[1]EMPREENDIMENTO!A:A),"-")</f>
        <v>SALVADOR</v>
      </c>
      <c r="D437" s="28" t="s">
        <v>29</v>
      </c>
      <c r="E437" s="28" t="s">
        <v>824</v>
      </c>
      <c r="F437" s="28" t="s">
        <v>39</v>
      </c>
      <c r="G437" s="28" t="s">
        <v>828</v>
      </c>
      <c r="H437" s="28">
        <v>39736</v>
      </c>
      <c r="I437" s="29">
        <f>IFERROR(_xlfn.XLOOKUP(E437,[1]EMPREENDIMENTO!C:C,[1]EMPREENDIMENTO!E:E),"0")</f>
        <v>512</v>
      </c>
      <c r="J437" s="30">
        <v>46531</v>
      </c>
      <c r="K437" s="28" t="s">
        <v>33</v>
      </c>
      <c r="L437" s="31">
        <v>46029</v>
      </c>
      <c r="M437" s="32">
        <v>134989009</v>
      </c>
      <c r="N437" s="32">
        <v>138168578</v>
      </c>
      <c r="O437" s="32">
        <v>136176761</v>
      </c>
      <c r="P437" s="28" t="s">
        <v>34</v>
      </c>
      <c r="Q437" s="28" t="s">
        <v>826</v>
      </c>
      <c r="R437" s="30">
        <v>46044</v>
      </c>
      <c r="S437" s="30">
        <v>46029</v>
      </c>
      <c r="T437" s="33"/>
      <c r="U437" s="34" t="str">
        <f>IFERROR(_xlfn.XLOOKUP(E437,[1]EMPREENDIMENTO!C:C,[1]EMPREENDIMENTO!D:D),"")</f>
        <v>c91ccccd-2bde-e911-a6a0-005056856875</v>
      </c>
    </row>
    <row r="438" spans="1:21" hidden="1" x14ac:dyDescent="0.35">
      <c r="A438" s="28" t="str">
        <f>IFERROR(_xlfn.XLOOKUP(C438,[1]DIRETORIA!C:C,[1]DIRETORIA!A:A),"-")</f>
        <v>DIR. COM E CRED NE</v>
      </c>
      <c r="B438" s="28" t="str">
        <f>IFERROR(_xlfn.XLOOKUP(C438,[1]DIRETORIA!C:C,[1]DIRETORIA!B:B),"-")</f>
        <v>GST. COM NE1 (BA 1)</v>
      </c>
      <c r="C438" s="28" t="str">
        <f>IFERROR(_xlfn.XLOOKUP(E438,[1]EMPREENDIMENTO!C:C,[1]EMPREENDIMENTO!A:A),"-")</f>
        <v>SALVADOR</v>
      </c>
      <c r="D438" s="28" t="s">
        <v>29</v>
      </c>
      <c r="E438" s="28" t="s">
        <v>824</v>
      </c>
      <c r="F438" s="28" t="s">
        <v>50</v>
      </c>
      <c r="G438" s="28" t="s">
        <v>829</v>
      </c>
      <c r="H438" s="28">
        <v>41281</v>
      </c>
      <c r="I438" s="29">
        <f>IFERROR(_xlfn.XLOOKUP(E438,[1]EMPREENDIMENTO!C:C,[1]EMPREENDIMENTO!E:E),"0")</f>
        <v>512</v>
      </c>
      <c r="J438" s="30">
        <v>46531</v>
      </c>
      <c r="K438" s="28" t="s">
        <v>33</v>
      </c>
      <c r="L438" s="31">
        <v>46029</v>
      </c>
      <c r="M438" s="32">
        <v>134989009</v>
      </c>
      <c r="N438" s="32">
        <v>138168578</v>
      </c>
      <c r="O438" s="32">
        <v>136176761</v>
      </c>
      <c r="P438" s="28" t="s">
        <v>34</v>
      </c>
      <c r="Q438" s="28" t="s">
        <v>826</v>
      </c>
      <c r="R438" s="30">
        <v>46044</v>
      </c>
      <c r="S438" s="30">
        <v>46029</v>
      </c>
      <c r="T438" s="33"/>
      <c r="U438" s="34" t="str">
        <f>IFERROR(_xlfn.XLOOKUP(E438,[1]EMPREENDIMENTO!C:C,[1]EMPREENDIMENTO!D:D),"")</f>
        <v>c91ccccd-2bde-e911-a6a0-005056856875</v>
      </c>
    </row>
    <row r="439" spans="1:21" hidden="1" x14ac:dyDescent="0.35">
      <c r="A439" s="28" t="str">
        <f>IFERROR(_xlfn.XLOOKUP(C439,[1]DIRETORIA!C:C,[1]DIRETORIA!A:A),"-")</f>
        <v>DIR. COM E CRED SUL</v>
      </c>
      <c r="B439" s="28" t="str">
        <f>IFERROR(_xlfn.XLOOKUP(C439,[1]DIRETORIA!C:C,[1]DIRETORIA!B:B),"-")</f>
        <v>GST. COM LONDRINA</v>
      </c>
      <c r="C439" s="28" t="str">
        <f>IFERROR(_xlfn.XLOOKUP(E439,[1]EMPREENDIMENTO!C:C,[1]EMPREENDIMENTO!A:A),"-")</f>
        <v>LONDRINA</v>
      </c>
      <c r="D439" s="28" t="s">
        <v>29</v>
      </c>
      <c r="E439" s="28" t="s">
        <v>830</v>
      </c>
      <c r="F439" s="28" t="s">
        <v>31</v>
      </c>
      <c r="G439" s="28" t="s">
        <v>831</v>
      </c>
      <c r="H439" s="28">
        <v>38363</v>
      </c>
      <c r="I439" s="29">
        <f>IFERROR(_xlfn.XLOOKUP(E439,[1]EMPREENDIMENTO!C:C,[1]EMPREENDIMENTO!E:E),"0")</f>
        <v>324</v>
      </c>
      <c r="J439" s="30">
        <v>46350</v>
      </c>
      <c r="K439" s="28" t="s">
        <v>33</v>
      </c>
      <c r="L439" s="31">
        <v>45870</v>
      </c>
      <c r="M439" s="32">
        <v>102559160</v>
      </c>
      <c r="N439" s="32">
        <v>110659160</v>
      </c>
      <c r="O439" s="32">
        <v>109234085</v>
      </c>
      <c r="P439" s="28" t="s">
        <v>34</v>
      </c>
      <c r="Q439" s="28" t="s">
        <v>832</v>
      </c>
      <c r="R439" s="30">
        <v>45880</v>
      </c>
      <c r="S439" s="30">
        <v>45873</v>
      </c>
      <c r="T439" s="33"/>
      <c r="U439" s="34" t="str">
        <f>IFERROR(_xlfn.XLOOKUP(E439,[1]EMPREENDIMENTO!C:C,[1]EMPREENDIMENTO!D:D),"")</f>
        <v>f5ee60f6-1bb4-eb11-94b3-005056856875</v>
      </c>
    </row>
    <row r="440" spans="1:21" hidden="1" x14ac:dyDescent="0.35">
      <c r="A440" s="28" t="str">
        <f>IFERROR(_xlfn.XLOOKUP(C440,[1]DIRETORIA!C:C,[1]DIRETORIA!A:A),"-")</f>
        <v>DIR. COM E CRED SUL</v>
      </c>
      <c r="B440" s="28" t="str">
        <f>IFERROR(_xlfn.XLOOKUP(C440,[1]DIRETORIA!C:C,[1]DIRETORIA!B:B),"-")</f>
        <v>GST. COM LONDRINA</v>
      </c>
      <c r="C440" s="28" t="str">
        <f>IFERROR(_xlfn.XLOOKUP(E440,[1]EMPREENDIMENTO!C:C,[1]EMPREENDIMENTO!A:A),"-")</f>
        <v>LONDRINA</v>
      </c>
      <c r="D440" s="28" t="s">
        <v>29</v>
      </c>
      <c r="E440" s="28" t="s">
        <v>830</v>
      </c>
      <c r="F440" s="28" t="s">
        <v>36</v>
      </c>
      <c r="G440" s="28" t="s">
        <v>833</v>
      </c>
      <c r="H440" s="28">
        <v>40686</v>
      </c>
      <c r="I440" s="29">
        <f>IFERROR(_xlfn.XLOOKUP(E440,[1]EMPREENDIMENTO!C:C,[1]EMPREENDIMENTO!E:E),"0")</f>
        <v>324</v>
      </c>
      <c r="J440" s="30">
        <v>46350</v>
      </c>
      <c r="K440" s="28" t="s">
        <v>33</v>
      </c>
      <c r="L440" s="31">
        <v>45870</v>
      </c>
      <c r="M440" s="32">
        <v>102559160</v>
      </c>
      <c r="N440" s="32">
        <v>110659160</v>
      </c>
      <c r="O440" s="32">
        <v>109234085</v>
      </c>
      <c r="P440" s="28" t="s">
        <v>34</v>
      </c>
      <c r="Q440" s="28" t="s">
        <v>832</v>
      </c>
      <c r="R440" s="30">
        <v>45880</v>
      </c>
      <c r="S440" s="30">
        <v>45873</v>
      </c>
      <c r="T440" s="33"/>
      <c r="U440" s="34" t="str">
        <f>IFERROR(_xlfn.XLOOKUP(E440,[1]EMPREENDIMENTO!C:C,[1]EMPREENDIMENTO!D:D),"")</f>
        <v>f5ee60f6-1bb4-eb11-94b3-005056856875</v>
      </c>
    </row>
    <row r="441" spans="1:21" hidden="1" x14ac:dyDescent="0.35">
      <c r="A441" s="28" t="str">
        <f>IFERROR(_xlfn.XLOOKUP(C441,[1]DIRETORIA!C:C,[1]DIRETORIA!A:A),"-")</f>
        <v>DIR. COM E CRED SUL</v>
      </c>
      <c r="B441" s="28" t="str">
        <f>IFERROR(_xlfn.XLOOKUP(C441,[1]DIRETORIA!C:C,[1]DIRETORIA!B:B),"-")</f>
        <v>GST. COM SC</v>
      </c>
      <c r="C441" s="28" t="str">
        <f>IFERROR(_xlfn.XLOOKUP(E441,[1]EMPREENDIMENTO!C:C,[1]EMPREENDIMENTO!A:A),"-")</f>
        <v>BIGUAÇU</v>
      </c>
      <c r="D441" s="28" t="s">
        <v>29</v>
      </c>
      <c r="E441" s="28" t="s">
        <v>834</v>
      </c>
      <c r="F441" s="28" t="s">
        <v>31</v>
      </c>
      <c r="G441" s="28" t="s">
        <v>835</v>
      </c>
      <c r="H441" s="28">
        <v>30174</v>
      </c>
      <c r="I441" s="29">
        <f>IFERROR(_xlfn.XLOOKUP(E441,[1]EMPREENDIMENTO!C:C,[1]EMPREENDIMENTO!E:E),"0")</f>
        <v>640</v>
      </c>
      <c r="J441" s="30">
        <v>46301</v>
      </c>
      <c r="K441" s="28" t="s">
        <v>33</v>
      </c>
      <c r="L441" s="31">
        <v>45337</v>
      </c>
      <c r="M441" s="32">
        <v>129983000</v>
      </c>
      <c r="N441" s="32">
        <v>139685000</v>
      </c>
      <c r="O441" s="32">
        <v>138987000</v>
      </c>
      <c r="P441" s="28" t="s">
        <v>34</v>
      </c>
      <c r="Q441" s="28" t="s">
        <v>836</v>
      </c>
      <c r="R441" s="30">
        <v>45356</v>
      </c>
      <c r="S441" s="30">
        <v>45337</v>
      </c>
      <c r="T441" s="33"/>
      <c r="U441" s="34" t="str">
        <f>IFERROR(_xlfn.XLOOKUP(E441,[1]EMPREENDIMENTO!C:C,[1]EMPREENDIMENTO!D:D),"")</f>
        <v>e80b55a6-225c-eb11-ac7f-005056856875</v>
      </c>
    </row>
    <row r="442" spans="1:21" hidden="1" x14ac:dyDescent="0.35">
      <c r="A442" s="28" t="str">
        <f>IFERROR(_xlfn.XLOOKUP(C442,[1]DIRETORIA!C:C,[1]DIRETORIA!A:A),"-")</f>
        <v>DIR. COM E CRED SUL</v>
      </c>
      <c r="B442" s="28" t="str">
        <f>IFERROR(_xlfn.XLOOKUP(C442,[1]DIRETORIA!C:C,[1]DIRETORIA!B:B),"-")</f>
        <v>GST. COM SC</v>
      </c>
      <c r="C442" s="28" t="str">
        <f>IFERROR(_xlfn.XLOOKUP(E442,[1]EMPREENDIMENTO!C:C,[1]EMPREENDIMENTO!A:A),"-")</f>
        <v>BIGUAÇU</v>
      </c>
      <c r="D442" s="28" t="s">
        <v>29</v>
      </c>
      <c r="E442" s="28" t="s">
        <v>834</v>
      </c>
      <c r="F442" s="28" t="s">
        <v>36</v>
      </c>
      <c r="G442" s="28" t="s">
        <v>837</v>
      </c>
      <c r="H442" s="28">
        <v>39145</v>
      </c>
      <c r="I442" s="29">
        <f>IFERROR(_xlfn.XLOOKUP(E442,[1]EMPREENDIMENTO!C:C,[1]EMPREENDIMENTO!E:E),"0")</f>
        <v>640</v>
      </c>
      <c r="J442" s="30">
        <v>46301</v>
      </c>
      <c r="K442" s="28" t="s">
        <v>33</v>
      </c>
      <c r="L442" s="31">
        <v>45337</v>
      </c>
      <c r="M442" s="32">
        <v>129983000</v>
      </c>
      <c r="N442" s="32">
        <v>139685000</v>
      </c>
      <c r="O442" s="32">
        <v>138987000</v>
      </c>
      <c r="P442" s="28" t="s">
        <v>34</v>
      </c>
      <c r="Q442" s="28" t="s">
        <v>836</v>
      </c>
      <c r="R442" s="30">
        <v>45356</v>
      </c>
      <c r="S442" s="30">
        <v>45337</v>
      </c>
      <c r="T442" s="33"/>
      <c r="U442" s="34" t="str">
        <f>IFERROR(_xlfn.XLOOKUP(E442,[1]EMPREENDIMENTO!C:C,[1]EMPREENDIMENTO!D:D),"")</f>
        <v>e80b55a6-225c-eb11-ac7f-005056856875</v>
      </c>
    </row>
    <row r="443" spans="1:21" hidden="1" x14ac:dyDescent="0.35">
      <c r="A443" s="28" t="str">
        <f>IFERROR(_xlfn.XLOOKUP(C443,[1]DIRETORIA!C:C,[1]DIRETORIA!A:A),"-")</f>
        <v>DIR. COM E CRED SUL</v>
      </c>
      <c r="B443" s="28" t="str">
        <f>IFERROR(_xlfn.XLOOKUP(C443,[1]DIRETORIA!C:C,[1]DIRETORIA!B:B),"-")</f>
        <v>GST. COM SC</v>
      </c>
      <c r="C443" s="28" t="str">
        <f>IFERROR(_xlfn.XLOOKUP(E443,[1]EMPREENDIMENTO!C:C,[1]EMPREENDIMENTO!A:A),"-")</f>
        <v>BIGUAÇU</v>
      </c>
      <c r="D443" s="28" t="s">
        <v>29</v>
      </c>
      <c r="E443" s="28" t="s">
        <v>834</v>
      </c>
      <c r="F443" s="28" t="s">
        <v>39</v>
      </c>
      <c r="G443" s="28" t="s">
        <v>838</v>
      </c>
      <c r="H443" s="28">
        <v>39750</v>
      </c>
      <c r="I443" s="29">
        <f>IFERROR(_xlfn.XLOOKUP(E443,[1]EMPREENDIMENTO!C:C,[1]EMPREENDIMENTO!E:E),"0")</f>
        <v>640</v>
      </c>
      <c r="J443" s="30">
        <v>46301</v>
      </c>
      <c r="K443" s="28" t="s">
        <v>33</v>
      </c>
      <c r="L443" s="31">
        <v>45337</v>
      </c>
      <c r="M443" s="32">
        <v>129983000</v>
      </c>
      <c r="N443" s="32">
        <v>139685000</v>
      </c>
      <c r="O443" s="32">
        <v>138987000</v>
      </c>
      <c r="P443" s="28" t="s">
        <v>34</v>
      </c>
      <c r="Q443" s="28" t="s">
        <v>836</v>
      </c>
      <c r="R443" s="30">
        <v>45356</v>
      </c>
      <c r="S443" s="30">
        <v>45337</v>
      </c>
      <c r="T443" s="33"/>
      <c r="U443" s="34" t="str">
        <f>IFERROR(_xlfn.XLOOKUP(E443,[1]EMPREENDIMENTO!C:C,[1]EMPREENDIMENTO!D:D),"")</f>
        <v>e80b55a6-225c-eb11-ac7f-005056856875</v>
      </c>
    </row>
    <row r="444" spans="1:21" hidden="1" x14ac:dyDescent="0.35">
      <c r="A444" s="28" t="str">
        <f>IFERROR(_xlfn.XLOOKUP(C444,[1]DIRETORIA!C:C,[1]DIRETORIA!A:A),"-")</f>
        <v>DIR. COM E CRED SUL</v>
      </c>
      <c r="B444" s="28" t="str">
        <f>IFERROR(_xlfn.XLOOKUP(C444,[1]DIRETORIA!C:C,[1]DIRETORIA!B:B),"-")</f>
        <v>GST. COM SC</v>
      </c>
      <c r="C444" s="28" t="str">
        <f>IFERROR(_xlfn.XLOOKUP(E444,[1]EMPREENDIMENTO!C:C,[1]EMPREENDIMENTO!A:A),"-")</f>
        <v>BIGUAÇU</v>
      </c>
      <c r="D444" s="28" t="s">
        <v>29</v>
      </c>
      <c r="E444" s="28" t="s">
        <v>834</v>
      </c>
      <c r="F444" s="28" t="s">
        <v>50</v>
      </c>
      <c r="G444" s="28" t="s">
        <v>839</v>
      </c>
      <c r="H444" s="28">
        <v>40152</v>
      </c>
      <c r="I444" s="29">
        <f>IFERROR(_xlfn.XLOOKUP(E444,[1]EMPREENDIMENTO!C:C,[1]EMPREENDIMENTO!E:E),"0")</f>
        <v>640</v>
      </c>
      <c r="J444" s="30">
        <v>46301</v>
      </c>
      <c r="K444" s="28" t="s">
        <v>33</v>
      </c>
      <c r="L444" s="31">
        <v>45337</v>
      </c>
      <c r="M444" s="32">
        <v>129983000</v>
      </c>
      <c r="N444" s="32">
        <v>139685000</v>
      </c>
      <c r="O444" s="32">
        <v>138987000</v>
      </c>
      <c r="P444" s="28" t="s">
        <v>34</v>
      </c>
      <c r="Q444" s="28" t="s">
        <v>836</v>
      </c>
      <c r="R444" s="30">
        <v>45356</v>
      </c>
      <c r="S444" s="30">
        <v>45337</v>
      </c>
      <c r="T444" s="33"/>
      <c r="U444" s="34" t="str">
        <f>IFERROR(_xlfn.XLOOKUP(E444,[1]EMPREENDIMENTO!C:C,[1]EMPREENDIMENTO!D:D),"")</f>
        <v>e80b55a6-225c-eb11-ac7f-005056856875</v>
      </c>
    </row>
    <row r="445" spans="1:21" hidden="1" x14ac:dyDescent="0.35">
      <c r="A445" s="28" t="str">
        <f>IFERROR(_xlfn.XLOOKUP(C445,[1]DIRETORIA!C:C,[1]DIRETORIA!A:A),"-")</f>
        <v>DIR. COM E CRED NE</v>
      </c>
      <c r="B445" s="28" t="str">
        <f>IFERROR(_xlfn.XLOOKUP(C445,[1]DIRETORIA!C:C,[1]DIRETORIA!B:B),"-")</f>
        <v>GST. COM NE5 (RN+PB)</v>
      </c>
      <c r="C445" s="28" t="str">
        <f>IFERROR(_xlfn.XLOOKUP(E445,[1]EMPREENDIMENTO!C:C,[1]EMPREENDIMENTO!A:A),"-")</f>
        <v>JOÃO PESSOA</v>
      </c>
      <c r="D445" s="28" t="s">
        <v>29</v>
      </c>
      <c r="E445" s="28" t="s">
        <v>840</v>
      </c>
      <c r="F445" s="28" t="s">
        <v>31</v>
      </c>
      <c r="G445" s="28" t="s">
        <v>841</v>
      </c>
      <c r="H445" s="28">
        <v>34720</v>
      </c>
      <c r="I445" s="29">
        <f>IFERROR(_xlfn.XLOOKUP(E445,[1]EMPREENDIMENTO!C:C,[1]EMPREENDIMENTO!E:E),"0")</f>
        <v>480</v>
      </c>
      <c r="J445" s="30"/>
      <c r="K445" s="28" t="s">
        <v>33</v>
      </c>
      <c r="L445" s="31">
        <v>46223</v>
      </c>
      <c r="M445" s="32">
        <v>233950000</v>
      </c>
      <c r="N445" s="32">
        <v>287228136</v>
      </c>
      <c r="O445" s="32">
        <v>234397000</v>
      </c>
      <c r="P445" s="28" t="s">
        <v>34</v>
      </c>
      <c r="Q445" s="28" t="s">
        <v>842</v>
      </c>
      <c r="R445" s="30">
        <v>46220</v>
      </c>
      <c r="S445" s="30">
        <v>46227</v>
      </c>
      <c r="T445" s="33"/>
      <c r="U445" s="34" t="str">
        <f>IFERROR(_xlfn.XLOOKUP(E445,[1]EMPREENDIMENTO!C:C,[1]EMPREENDIMENTO!D:D),"")</f>
        <v>49f66dc0-17b9-e911-a3f3-005056856b6c</v>
      </c>
    </row>
    <row r="446" spans="1:21" hidden="1" x14ac:dyDescent="0.35">
      <c r="A446" s="28" t="str">
        <f>IFERROR(_xlfn.XLOOKUP(C446,[1]DIRETORIA!C:C,[1]DIRETORIA!A:A),"-")</f>
        <v>DIR. COM E CRED NE</v>
      </c>
      <c r="B446" s="28" t="str">
        <f>IFERROR(_xlfn.XLOOKUP(C446,[1]DIRETORIA!C:C,[1]DIRETORIA!B:B),"-")</f>
        <v>GST. COM NE5 (RN+PB)</v>
      </c>
      <c r="C446" s="28" t="str">
        <f>IFERROR(_xlfn.XLOOKUP(E446,[1]EMPREENDIMENTO!C:C,[1]EMPREENDIMENTO!A:A),"-")</f>
        <v>JOÃO PESSOA</v>
      </c>
      <c r="D446" s="28" t="s">
        <v>85</v>
      </c>
      <c r="E446" s="28" t="s">
        <v>840</v>
      </c>
      <c r="F446" s="28" t="s">
        <v>36</v>
      </c>
      <c r="G446" s="28" t="s">
        <v>843</v>
      </c>
      <c r="H446" s="28">
        <v>60539</v>
      </c>
      <c r="I446" s="29">
        <f>IFERROR(_xlfn.XLOOKUP(E446,[1]EMPREENDIMENTO!C:C,[1]EMPREENDIMENTO!E:E),"0")</f>
        <v>480</v>
      </c>
      <c r="J446" s="30"/>
      <c r="K446" s="28" t="s">
        <v>33</v>
      </c>
      <c r="L446" s="31">
        <v>46223</v>
      </c>
      <c r="M446" s="32">
        <v>233950000</v>
      </c>
      <c r="N446" s="32">
        <v>287228136</v>
      </c>
      <c r="O446" s="32">
        <v>234397000</v>
      </c>
      <c r="P446" s="28" t="s">
        <v>34</v>
      </c>
      <c r="Q446" s="28" t="s">
        <v>842</v>
      </c>
      <c r="R446" s="30">
        <v>46220</v>
      </c>
      <c r="S446" s="30">
        <v>46227</v>
      </c>
      <c r="T446" s="33"/>
      <c r="U446" s="34" t="str">
        <f>IFERROR(_xlfn.XLOOKUP(E446,[1]EMPREENDIMENTO!C:C,[1]EMPREENDIMENTO!D:D),"")</f>
        <v>49f66dc0-17b9-e911-a3f3-005056856b6c</v>
      </c>
    </row>
    <row r="447" spans="1:21" hidden="1" x14ac:dyDescent="0.35">
      <c r="A447" s="28" t="str">
        <f>IFERROR(_xlfn.XLOOKUP(C447,[1]DIRETORIA!C:C,[1]DIRETORIA!A:A),"-")</f>
        <v>DIR. COM E CRED NE</v>
      </c>
      <c r="B447" s="28" t="str">
        <f>IFERROR(_xlfn.XLOOKUP(C447,[1]DIRETORIA!C:C,[1]DIRETORIA!B:B),"-")</f>
        <v>GST. COM NE5 (RN+PB)</v>
      </c>
      <c r="C447" s="28" t="str">
        <f>IFERROR(_xlfn.XLOOKUP(E447,[1]EMPREENDIMENTO!C:C,[1]EMPREENDIMENTO!A:A),"-")</f>
        <v>JOÃO PESSOA</v>
      </c>
      <c r="D447" s="28" t="s">
        <v>85</v>
      </c>
      <c r="E447" s="28" t="s">
        <v>840</v>
      </c>
      <c r="F447" s="28" t="s">
        <v>39</v>
      </c>
      <c r="G447" s="28" t="s">
        <v>844</v>
      </c>
      <c r="H447" s="28" t="s">
        <v>844</v>
      </c>
      <c r="I447" s="29">
        <f>IFERROR(_xlfn.XLOOKUP(E447,[1]EMPREENDIMENTO!C:C,[1]EMPREENDIMENTO!E:E),"0")</f>
        <v>480</v>
      </c>
      <c r="J447" s="30"/>
      <c r="K447" s="28" t="s">
        <v>33</v>
      </c>
      <c r="L447" s="31">
        <v>46223</v>
      </c>
      <c r="M447" s="32">
        <v>233950000</v>
      </c>
      <c r="N447" s="32">
        <v>287228136</v>
      </c>
      <c r="O447" s="32">
        <v>234397000</v>
      </c>
      <c r="P447" s="28" t="s">
        <v>34</v>
      </c>
      <c r="Q447" s="28" t="s">
        <v>842</v>
      </c>
      <c r="R447" s="30">
        <v>46220</v>
      </c>
      <c r="S447" s="30">
        <v>46227</v>
      </c>
      <c r="T447" s="33"/>
      <c r="U447" s="34" t="str">
        <f>IFERROR(_xlfn.XLOOKUP(E447,[1]EMPREENDIMENTO!C:C,[1]EMPREENDIMENTO!D:D),"")</f>
        <v>49f66dc0-17b9-e911-a3f3-005056856b6c</v>
      </c>
    </row>
    <row r="448" spans="1:21" x14ac:dyDescent="0.35">
      <c r="A448" s="28" t="str">
        <f>IFERROR(_xlfn.XLOOKUP(C448,[1]DIRETORIA!C:C,[1]DIRETORIA!A:A),"-")</f>
        <v>DIR. COM E CRED SPI</v>
      </c>
      <c r="B448" s="28" t="str">
        <f>IFERROR(_xlfn.XLOOKUP(C448,[1]DIRETORIA!C:C,[1]DIRETORIA!B:B),"-")</f>
        <v>GST. COM RP 1</v>
      </c>
      <c r="C448" s="28" t="str">
        <f>IFERROR(_xlfn.XLOOKUP(E448,[1]EMPREENDIMENTO!C:C,[1]EMPREENDIMENTO!A:A),"-")</f>
        <v>RIBEIRÃO PRETO</v>
      </c>
      <c r="D448" s="28" t="s">
        <v>29</v>
      </c>
      <c r="E448" s="28" t="s">
        <v>845</v>
      </c>
      <c r="F448" s="28" t="s">
        <v>31</v>
      </c>
      <c r="G448" s="28" t="s">
        <v>846</v>
      </c>
      <c r="H448" s="28">
        <v>29453</v>
      </c>
      <c r="I448" s="29">
        <f>IFERROR(_xlfn.XLOOKUP(E448,[1]EMPREENDIMENTO!C:C,[1]EMPREENDIMENTO!E:E),"0")</f>
        <v>304</v>
      </c>
      <c r="J448" s="30">
        <v>45562</v>
      </c>
      <c r="K448" s="28" t="s">
        <v>33</v>
      </c>
      <c r="L448" s="31">
        <v>45075</v>
      </c>
      <c r="M448" s="32">
        <v>59372000</v>
      </c>
      <c r="N448" s="32">
        <v>68973000</v>
      </c>
      <c r="O448" s="32">
        <v>68966000</v>
      </c>
      <c r="P448" s="28" t="s">
        <v>34</v>
      </c>
      <c r="Q448" s="28" t="s">
        <v>847</v>
      </c>
      <c r="R448" s="30">
        <v>45082</v>
      </c>
      <c r="S448" s="30">
        <v>45075</v>
      </c>
      <c r="T448" s="33"/>
      <c r="U448" s="34" t="str">
        <f>IFERROR(_xlfn.XLOOKUP(E448,[1]EMPREENDIMENTO!C:C,[1]EMPREENDIMENTO!D:D),"")</f>
        <v>837B92DB-63B6-E611-B1E9-009C02B0CB58</v>
      </c>
    </row>
    <row r="449" spans="1:21" x14ac:dyDescent="0.35">
      <c r="A449" s="28" t="str">
        <f>IFERROR(_xlfn.XLOOKUP(C449,[1]DIRETORIA!C:C,[1]DIRETORIA!A:A),"-")</f>
        <v>DIR. COM E CRED SPI</v>
      </c>
      <c r="B449" s="28" t="str">
        <f>IFERROR(_xlfn.XLOOKUP(C449,[1]DIRETORIA!C:C,[1]DIRETORIA!B:B),"-")</f>
        <v>GST. COM RP 1</v>
      </c>
      <c r="C449" s="28" t="str">
        <f>IFERROR(_xlfn.XLOOKUP(E449,[1]EMPREENDIMENTO!C:C,[1]EMPREENDIMENTO!A:A),"-")</f>
        <v>RIBEIRÃO PRETO</v>
      </c>
      <c r="D449" s="28" t="s">
        <v>29</v>
      </c>
      <c r="E449" s="28" t="s">
        <v>845</v>
      </c>
      <c r="F449" s="28" t="s">
        <v>36</v>
      </c>
      <c r="G449" s="28" t="s">
        <v>848</v>
      </c>
      <c r="H449" s="28">
        <v>29456</v>
      </c>
      <c r="I449" s="29">
        <f>IFERROR(_xlfn.XLOOKUP(E449,[1]EMPREENDIMENTO!C:C,[1]EMPREENDIMENTO!E:E),"0")</f>
        <v>304</v>
      </c>
      <c r="J449" s="30">
        <v>45562</v>
      </c>
      <c r="K449" s="28" t="s">
        <v>33</v>
      </c>
      <c r="L449" s="31">
        <v>45075</v>
      </c>
      <c r="M449" s="32">
        <v>59372000</v>
      </c>
      <c r="N449" s="32">
        <v>68973000</v>
      </c>
      <c r="O449" s="32">
        <v>68966000</v>
      </c>
      <c r="P449" s="28" t="s">
        <v>34</v>
      </c>
      <c r="Q449" s="28" t="s">
        <v>847</v>
      </c>
      <c r="R449" s="30">
        <v>45082</v>
      </c>
      <c r="S449" s="30">
        <v>45075</v>
      </c>
      <c r="T449" s="33"/>
      <c r="U449" s="34" t="str">
        <f>IFERROR(_xlfn.XLOOKUP(E449,[1]EMPREENDIMENTO!C:C,[1]EMPREENDIMENTO!D:D),"")</f>
        <v>837B92DB-63B6-E611-B1E9-009C02B0CB58</v>
      </c>
    </row>
    <row r="450" spans="1:21" x14ac:dyDescent="0.35">
      <c r="A450" s="28" t="str">
        <f>IFERROR(_xlfn.XLOOKUP(C450,[1]DIRETORIA!C:C,[1]DIRETORIA!A:A),"-")</f>
        <v>DIR. COM E CRED SPI</v>
      </c>
      <c r="B450" s="28" t="str">
        <f>IFERROR(_xlfn.XLOOKUP(C450,[1]DIRETORIA!C:C,[1]DIRETORIA!B:B),"-")</f>
        <v>GST. COM RP 1</v>
      </c>
      <c r="C450" s="28" t="str">
        <f>IFERROR(_xlfn.XLOOKUP(E450,[1]EMPREENDIMENTO!C:C,[1]EMPREENDIMENTO!A:A),"-")</f>
        <v>RIBEIRÃO PRETO</v>
      </c>
      <c r="D450" s="28" t="s">
        <v>29</v>
      </c>
      <c r="E450" s="28" t="s">
        <v>845</v>
      </c>
      <c r="F450" s="28" t="s">
        <v>39</v>
      </c>
      <c r="G450" s="28" t="s">
        <v>849</v>
      </c>
      <c r="H450" s="28">
        <v>29457</v>
      </c>
      <c r="I450" s="29">
        <f>IFERROR(_xlfn.XLOOKUP(E450,[1]EMPREENDIMENTO!C:C,[1]EMPREENDIMENTO!E:E),"0")</f>
        <v>304</v>
      </c>
      <c r="J450" s="30">
        <v>45562</v>
      </c>
      <c r="K450" s="28" t="s">
        <v>33</v>
      </c>
      <c r="L450" s="31">
        <v>45075</v>
      </c>
      <c r="M450" s="32">
        <v>59372000</v>
      </c>
      <c r="N450" s="32">
        <v>68973000</v>
      </c>
      <c r="O450" s="32">
        <v>68966000</v>
      </c>
      <c r="P450" s="28" t="s">
        <v>34</v>
      </c>
      <c r="Q450" s="28" t="s">
        <v>847</v>
      </c>
      <c r="R450" s="30">
        <v>45082</v>
      </c>
      <c r="S450" s="30">
        <v>45075</v>
      </c>
      <c r="T450" s="33"/>
      <c r="U450" s="34" t="str">
        <f>IFERROR(_xlfn.XLOOKUP(E450,[1]EMPREENDIMENTO!C:C,[1]EMPREENDIMENTO!D:D),"")</f>
        <v>837B92DB-63B6-E611-B1E9-009C02B0CB58</v>
      </c>
    </row>
    <row r="451" spans="1:21" x14ac:dyDescent="0.35">
      <c r="A451" s="28" t="str">
        <f>IFERROR(_xlfn.XLOOKUP(C451,[1]DIRETORIA!C:C,[1]DIRETORIA!A:A),"-")</f>
        <v>DIR. COM E CRED SPI</v>
      </c>
      <c r="B451" s="28" t="str">
        <f>IFERROR(_xlfn.XLOOKUP(C451,[1]DIRETORIA!C:C,[1]DIRETORIA!B:B),"-")</f>
        <v>GST. COM RP 1</v>
      </c>
      <c r="C451" s="28" t="str">
        <f>IFERROR(_xlfn.XLOOKUP(E451,[1]EMPREENDIMENTO!C:C,[1]EMPREENDIMENTO!A:A),"-")</f>
        <v>RIBEIRÃO PRETO</v>
      </c>
      <c r="D451" s="28" t="s">
        <v>29</v>
      </c>
      <c r="E451" s="28" t="s">
        <v>845</v>
      </c>
      <c r="F451" s="28" t="s">
        <v>50</v>
      </c>
      <c r="G451" s="28" t="s">
        <v>850</v>
      </c>
      <c r="H451" s="28">
        <v>33966</v>
      </c>
      <c r="I451" s="29">
        <f>IFERROR(_xlfn.XLOOKUP(E451,[1]EMPREENDIMENTO!C:C,[1]EMPREENDIMENTO!E:E),"0")</f>
        <v>304</v>
      </c>
      <c r="J451" s="30">
        <v>45562</v>
      </c>
      <c r="K451" s="28" t="s">
        <v>33</v>
      </c>
      <c r="L451" s="31">
        <v>45075</v>
      </c>
      <c r="M451" s="32">
        <v>59372000</v>
      </c>
      <c r="N451" s="32">
        <v>68973000</v>
      </c>
      <c r="O451" s="32">
        <v>68966000</v>
      </c>
      <c r="P451" s="28" t="s">
        <v>34</v>
      </c>
      <c r="Q451" s="28" t="s">
        <v>847</v>
      </c>
      <c r="R451" s="30">
        <v>45082</v>
      </c>
      <c r="S451" s="30">
        <v>45075</v>
      </c>
      <c r="T451" s="33"/>
      <c r="U451" s="34" t="str">
        <f>IFERROR(_xlfn.XLOOKUP(E451,[1]EMPREENDIMENTO!C:C,[1]EMPREENDIMENTO!D:D),"")</f>
        <v>837B92DB-63B6-E611-B1E9-009C02B0CB58</v>
      </c>
    </row>
    <row r="452" spans="1:21" hidden="1" x14ac:dyDescent="0.35">
      <c r="A452" s="28" t="str">
        <f>IFERROR(_xlfn.XLOOKUP(C452,[1]DIRETORIA!C:C,[1]DIRETORIA!A:A),"-")</f>
        <v>DIR. COM E CRED CO E AM</v>
      </c>
      <c r="B452" s="28" t="str">
        <f>IFERROR(_xlfn.XLOOKUP(C452,[1]DIRETORIA!C:C,[1]DIRETORIA!B:B),"-")</f>
        <v>GST. COM AM</v>
      </c>
      <c r="C452" s="28" t="str">
        <f>IFERROR(_xlfn.XLOOKUP(E452,[1]EMPREENDIMENTO!C:C,[1]EMPREENDIMENTO!A:A),"-")</f>
        <v>MANAUS</v>
      </c>
      <c r="D452" s="28" t="s">
        <v>29</v>
      </c>
      <c r="E452" s="28" t="s">
        <v>851</v>
      </c>
      <c r="F452" s="28" t="s">
        <v>31</v>
      </c>
      <c r="G452" s="28" t="s">
        <v>852</v>
      </c>
      <c r="H452" s="28">
        <v>29304</v>
      </c>
      <c r="I452" s="29">
        <f>IFERROR(_xlfn.XLOOKUP(E452,[1]EMPREENDIMENTO!C:C,[1]EMPREENDIMENTO!E:E),"0")</f>
        <v>304</v>
      </c>
      <c r="J452" s="30">
        <v>46678</v>
      </c>
      <c r="K452" s="28" t="s">
        <v>33</v>
      </c>
      <c r="L452" s="31">
        <v>45986</v>
      </c>
      <c r="M452" s="32">
        <v>157805200</v>
      </c>
      <c r="N452" s="32">
        <v>162365200</v>
      </c>
      <c r="O452" s="32">
        <v>162052900</v>
      </c>
      <c r="P452" s="28" t="s">
        <v>34</v>
      </c>
      <c r="Q452" s="28" t="s">
        <v>853</v>
      </c>
      <c r="R452" s="30">
        <v>46191</v>
      </c>
      <c r="S452" s="30">
        <v>46183</v>
      </c>
      <c r="T452" s="33"/>
      <c r="U452" s="34" t="str">
        <f>IFERROR(_xlfn.XLOOKUP(E452,[1]EMPREENDIMENTO!C:C,[1]EMPREENDIMENTO!D:D),"")</f>
        <v>59ed7d9f-5a47-ea11-801d-005056856875</v>
      </c>
    </row>
    <row r="453" spans="1:21" hidden="1" x14ac:dyDescent="0.35">
      <c r="A453" s="28" t="str">
        <f>IFERROR(_xlfn.XLOOKUP(C453,[1]DIRETORIA!C:C,[1]DIRETORIA!A:A),"-")</f>
        <v>DIR. COM E CRED CO E AM</v>
      </c>
      <c r="B453" s="28" t="str">
        <f>IFERROR(_xlfn.XLOOKUP(C453,[1]DIRETORIA!C:C,[1]DIRETORIA!B:B),"-")</f>
        <v>GST. COM AM</v>
      </c>
      <c r="C453" s="28" t="str">
        <f>IFERROR(_xlfn.XLOOKUP(E453,[1]EMPREENDIMENTO!C:C,[1]EMPREENDIMENTO!A:A),"-")</f>
        <v>MANAUS</v>
      </c>
      <c r="D453" s="28" t="s">
        <v>85</v>
      </c>
      <c r="E453" s="28" t="s">
        <v>851</v>
      </c>
      <c r="F453" s="28" t="s">
        <v>36</v>
      </c>
      <c r="G453" s="28" t="s">
        <v>854</v>
      </c>
      <c r="H453" s="28">
        <v>31569</v>
      </c>
      <c r="I453" s="29">
        <f>IFERROR(_xlfn.XLOOKUP(E453,[1]EMPREENDIMENTO!C:C,[1]EMPREENDIMENTO!E:E),"0")</f>
        <v>304</v>
      </c>
      <c r="J453" s="30">
        <v>46678</v>
      </c>
      <c r="K453" s="28" t="s">
        <v>33</v>
      </c>
      <c r="L453" s="31">
        <v>45986</v>
      </c>
      <c r="M453" s="32">
        <v>157805200</v>
      </c>
      <c r="N453" s="32">
        <v>162365200</v>
      </c>
      <c r="O453" s="32">
        <v>162052900</v>
      </c>
      <c r="P453" s="28" t="s">
        <v>34</v>
      </c>
      <c r="Q453" s="28" t="s">
        <v>853</v>
      </c>
      <c r="R453" s="30">
        <v>46191</v>
      </c>
      <c r="S453" s="30">
        <v>46183</v>
      </c>
      <c r="T453" s="33"/>
      <c r="U453" s="34" t="str">
        <f>IFERROR(_xlfn.XLOOKUP(E453,[1]EMPREENDIMENTO!C:C,[1]EMPREENDIMENTO!D:D),"")</f>
        <v>59ed7d9f-5a47-ea11-801d-005056856875</v>
      </c>
    </row>
    <row r="454" spans="1:21" hidden="1" x14ac:dyDescent="0.35">
      <c r="A454" s="28" t="str">
        <f>IFERROR(_xlfn.XLOOKUP(C454,[1]DIRETORIA!C:C,[1]DIRETORIA!A:A),"-")</f>
        <v>DIR. COM E CRED NE</v>
      </c>
      <c r="B454" s="28" t="str">
        <f>IFERROR(_xlfn.XLOOKUP(C454,[1]DIRETORIA!C:C,[1]DIRETORIA!B:B),"-")</f>
        <v>GST. COM NE1 (BA 1)</v>
      </c>
      <c r="C454" s="28" t="str">
        <f>IFERROR(_xlfn.XLOOKUP(E454,[1]EMPREENDIMENTO!C:C,[1]EMPREENDIMENTO!A:A),"-")</f>
        <v>SALVADOR</v>
      </c>
      <c r="D454" s="28" t="s">
        <v>85</v>
      </c>
      <c r="E454" s="28" t="s">
        <v>855</v>
      </c>
      <c r="F454" s="28" t="s">
        <v>42</v>
      </c>
      <c r="G454" s="28" t="s">
        <v>856</v>
      </c>
      <c r="H454" s="28">
        <v>36293</v>
      </c>
      <c r="I454" s="29">
        <f>IFERROR(_xlfn.XLOOKUP(E454,[1]EMPREENDIMENTO!C:C,[1]EMPREENDIMENTO!E:E),"0")</f>
        <v>408</v>
      </c>
      <c r="J454" s="30"/>
      <c r="K454" s="28" t="s">
        <v>33</v>
      </c>
      <c r="L454" s="31">
        <v>45808</v>
      </c>
      <c r="M454" s="32">
        <v>80727000</v>
      </c>
      <c r="N454" s="32">
        <v>96576000</v>
      </c>
      <c r="O454" s="32">
        <v>96415200</v>
      </c>
      <c r="P454" s="28" t="s">
        <v>34</v>
      </c>
      <c r="Q454" s="28">
        <v>368355</v>
      </c>
      <c r="R454" s="30">
        <v>45112</v>
      </c>
      <c r="S454" s="30">
        <v>45810</v>
      </c>
      <c r="T454" s="33"/>
      <c r="U454" s="34" t="str">
        <f>IFERROR(_xlfn.XLOOKUP(E454,[1]EMPREENDIMENTO!C:C,[1]EMPREENDIMENTO!D:D),"")</f>
        <v>D05F23C1-10D6-EC11-B1AD-005056856875</v>
      </c>
    </row>
    <row r="455" spans="1:21" hidden="1" x14ac:dyDescent="0.35">
      <c r="A455" s="28" t="str">
        <f>IFERROR(_xlfn.XLOOKUP(C455,[1]DIRETORIA!C:C,[1]DIRETORIA!A:A),"-")</f>
        <v>DIR. COM E CRED SP E VL</v>
      </c>
      <c r="B455" s="28" t="str">
        <f>IFERROR(_xlfn.XLOOKUP(C455,[1]DIRETORIA!C:C,[1]DIRETORIA!B:B),"-")</f>
        <v>GST. COM VL2</v>
      </c>
      <c r="C455" s="28" t="str">
        <f>IFERROR(_xlfn.XLOOKUP(E455,[1]EMPREENDIMENTO!C:C,[1]EMPREENDIMENTO!A:A),"-")</f>
        <v>ITAQUAQUECETUBA</v>
      </c>
      <c r="D455" s="28" t="s">
        <v>29</v>
      </c>
      <c r="E455" s="28" t="s">
        <v>857</v>
      </c>
      <c r="F455" s="28" t="s">
        <v>31</v>
      </c>
      <c r="G455" s="28" t="s">
        <v>858</v>
      </c>
      <c r="H455" s="28">
        <v>35650</v>
      </c>
      <c r="I455" s="29">
        <f>IFERROR(_xlfn.XLOOKUP(E455,[1]EMPREENDIMENTO!C:C,[1]EMPREENDIMENTO!E:E),"0")</f>
        <v>240</v>
      </c>
      <c r="J455" s="30">
        <v>46441</v>
      </c>
      <c r="K455" s="28" t="s">
        <v>33</v>
      </c>
      <c r="L455" s="31">
        <v>45631</v>
      </c>
      <c r="M455" s="32">
        <v>60480000</v>
      </c>
      <c r="N455" s="32">
        <v>63864000</v>
      </c>
      <c r="O455" s="32">
        <v>63696000</v>
      </c>
      <c r="P455" s="28" t="s">
        <v>34</v>
      </c>
      <c r="Q455" s="28" t="s">
        <v>859</v>
      </c>
      <c r="R455" s="30">
        <v>45605</v>
      </c>
      <c r="S455" s="30">
        <v>45631</v>
      </c>
      <c r="T455" s="33"/>
      <c r="U455" s="34" t="str">
        <f>IFERROR(_xlfn.XLOOKUP(E455,[1]EMPREENDIMENTO!C:C,[1]EMPREENDIMENTO!D:D),"")</f>
        <v>e0a882c5-67cf-eb11-ba93-005056856875</v>
      </c>
    </row>
    <row r="456" spans="1:21" hidden="1" x14ac:dyDescent="0.35">
      <c r="A456" s="28" t="str">
        <f>IFERROR(_xlfn.XLOOKUP(C456,[1]DIRETORIA!C:C,[1]DIRETORIA!A:A),"-")</f>
        <v>DIR. COM E CRED SP E VL</v>
      </c>
      <c r="B456" s="28" t="str">
        <f>IFERROR(_xlfn.XLOOKUP(C456,[1]DIRETORIA!C:C,[1]DIRETORIA!B:B),"-")</f>
        <v>GST. COM VL2</v>
      </c>
      <c r="C456" s="28" t="str">
        <f>IFERROR(_xlfn.XLOOKUP(E456,[1]EMPREENDIMENTO!C:C,[1]EMPREENDIMENTO!A:A),"-")</f>
        <v>ITAQUAQUECETUBA</v>
      </c>
      <c r="D456" s="28" t="s">
        <v>29</v>
      </c>
      <c r="E456" s="28" t="s">
        <v>857</v>
      </c>
      <c r="F456" s="28" t="s">
        <v>36</v>
      </c>
      <c r="G456" s="28" t="s">
        <v>860</v>
      </c>
      <c r="H456" s="28">
        <v>41736</v>
      </c>
      <c r="I456" s="29">
        <f>IFERROR(_xlfn.XLOOKUP(E456,[1]EMPREENDIMENTO!C:C,[1]EMPREENDIMENTO!E:E),"0")</f>
        <v>240</v>
      </c>
      <c r="J456" s="30">
        <v>46441</v>
      </c>
      <c r="K456" s="28" t="s">
        <v>33</v>
      </c>
      <c r="L456" s="31">
        <v>45631</v>
      </c>
      <c r="M456" s="32">
        <v>60480000</v>
      </c>
      <c r="N456" s="32">
        <v>63864000</v>
      </c>
      <c r="O456" s="32">
        <v>63696000</v>
      </c>
      <c r="P456" s="28" t="s">
        <v>34</v>
      </c>
      <c r="Q456" s="28" t="s">
        <v>859</v>
      </c>
      <c r="R456" s="30">
        <v>45605</v>
      </c>
      <c r="S456" s="30">
        <v>45631</v>
      </c>
      <c r="T456" s="33"/>
      <c r="U456" s="34" t="str">
        <f>IFERROR(_xlfn.XLOOKUP(E456,[1]EMPREENDIMENTO!C:C,[1]EMPREENDIMENTO!D:D),"")</f>
        <v>e0a882c5-67cf-eb11-ba93-005056856875</v>
      </c>
    </row>
    <row r="457" spans="1:21" hidden="1" x14ac:dyDescent="0.35">
      <c r="A457" s="28" t="str">
        <f>IFERROR(_xlfn.XLOOKUP(C457,[1]DIRETORIA!C:C,[1]DIRETORIA!A:A),"-")</f>
        <v>DIR. COM E CRED SP E VL</v>
      </c>
      <c r="B457" s="28" t="str">
        <f>IFERROR(_xlfn.XLOOKUP(C457,[1]DIRETORIA!C:C,[1]DIRETORIA!B:B),"-")</f>
        <v>GST. COM SP2</v>
      </c>
      <c r="C457" s="28" t="str">
        <f>IFERROR(_xlfn.XLOOKUP(E457,[1]EMPREENDIMENTO!C:C,[1]EMPREENDIMENTO!A:A),"-")</f>
        <v>TREMEMBÉ</v>
      </c>
      <c r="D457" s="28" t="s">
        <v>29</v>
      </c>
      <c r="E457" s="28" t="s">
        <v>861</v>
      </c>
      <c r="F457" s="28" t="s">
        <v>31</v>
      </c>
      <c r="G457" s="28" t="s">
        <v>862</v>
      </c>
      <c r="H457" s="28">
        <v>38653</v>
      </c>
      <c r="I457" s="29">
        <f>IFERROR(_xlfn.XLOOKUP(E457,[1]EMPREENDIMENTO!C:C,[1]EMPREENDIMENTO!E:E),"0")</f>
        <v>576</v>
      </c>
      <c r="J457" s="30">
        <v>46629</v>
      </c>
      <c r="K457" s="28" t="s">
        <v>33</v>
      </c>
      <c r="L457" s="31">
        <v>45881</v>
      </c>
      <c r="M457" s="32">
        <v>124561600</v>
      </c>
      <c r="N457" s="32">
        <v>135234053</v>
      </c>
      <c r="O457" s="32">
        <v>135194165</v>
      </c>
      <c r="P457" s="28" t="s">
        <v>34</v>
      </c>
      <c r="Q457" s="28" t="s">
        <v>863</v>
      </c>
      <c r="R457" s="30">
        <v>45898</v>
      </c>
      <c r="S457" s="30">
        <v>45881</v>
      </c>
      <c r="T457" s="33"/>
      <c r="U457" s="34" t="str">
        <f>IFERROR(_xlfn.XLOOKUP(E457,[1]EMPREENDIMENTO!C:C,[1]EMPREENDIMENTO!D:D),"")</f>
        <v>6c4529bb-b673-ec11-b501-005056856b6c</v>
      </c>
    </row>
    <row r="458" spans="1:21" hidden="1" x14ac:dyDescent="0.35">
      <c r="A458" s="28" t="str">
        <f>IFERROR(_xlfn.XLOOKUP(C458,[1]DIRETORIA!C:C,[1]DIRETORIA!A:A),"-")</f>
        <v>DIR. COM E CRED SP E VL</v>
      </c>
      <c r="B458" s="28" t="str">
        <f>IFERROR(_xlfn.XLOOKUP(C458,[1]DIRETORIA!C:C,[1]DIRETORIA!B:B),"-")</f>
        <v>GST. COM SP2</v>
      </c>
      <c r="C458" s="28" t="str">
        <f>IFERROR(_xlfn.XLOOKUP(E458,[1]EMPREENDIMENTO!C:C,[1]EMPREENDIMENTO!A:A),"-")</f>
        <v>TREMEMBÉ</v>
      </c>
      <c r="D458" s="28" t="s">
        <v>29</v>
      </c>
      <c r="E458" s="28" t="s">
        <v>861</v>
      </c>
      <c r="F458" s="28" t="s">
        <v>36</v>
      </c>
      <c r="G458" s="28" t="s">
        <v>864</v>
      </c>
      <c r="H458" s="28">
        <v>44372</v>
      </c>
      <c r="I458" s="29">
        <f>IFERROR(_xlfn.XLOOKUP(E458,[1]EMPREENDIMENTO!C:C,[1]EMPREENDIMENTO!E:E),"0")</f>
        <v>576</v>
      </c>
      <c r="J458" s="30">
        <v>46629</v>
      </c>
      <c r="K458" s="28" t="s">
        <v>33</v>
      </c>
      <c r="L458" s="31">
        <v>45881</v>
      </c>
      <c r="M458" s="32">
        <v>124561600</v>
      </c>
      <c r="N458" s="32">
        <v>135234053</v>
      </c>
      <c r="O458" s="32">
        <v>135194165</v>
      </c>
      <c r="P458" s="28" t="s">
        <v>34</v>
      </c>
      <c r="Q458" s="28" t="s">
        <v>863</v>
      </c>
      <c r="R458" s="30">
        <v>45898</v>
      </c>
      <c r="S458" s="30">
        <v>45881</v>
      </c>
      <c r="T458" s="33"/>
      <c r="U458" s="34" t="str">
        <f>IFERROR(_xlfn.XLOOKUP(E458,[1]EMPREENDIMENTO!C:C,[1]EMPREENDIMENTO!D:D),"")</f>
        <v>6c4529bb-b673-ec11-b501-005056856b6c</v>
      </c>
    </row>
    <row r="459" spans="1:21" hidden="1" x14ac:dyDescent="0.35">
      <c r="A459" s="28" t="str">
        <f>IFERROR(_xlfn.XLOOKUP(C459,[1]DIRETORIA!C:C,[1]DIRETORIA!A:A),"-")</f>
        <v>DIR. COM E CRED SP E VL</v>
      </c>
      <c r="B459" s="28" t="str">
        <f>IFERROR(_xlfn.XLOOKUP(C459,[1]DIRETORIA!C:C,[1]DIRETORIA!B:B),"-")</f>
        <v>GST. COM SP2</v>
      </c>
      <c r="C459" s="28" t="str">
        <f>IFERROR(_xlfn.XLOOKUP(E459,[1]EMPREENDIMENTO!C:C,[1]EMPREENDIMENTO!A:A),"-")</f>
        <v>TREMEMBÉ</v>
      </c>
      <c r="D459" s="28" t="s">
        <v>29</v>
      </c>
      <c r="E459" s="28" t="s">
        <v>861</v>
      </c>
      <c r="F459" s="28" t="s">
        <v>39</v>
      </c>
      <c r="G459" s="28" t="s">
        <v>865</v>
      </c>
      <c r="H459" s="28">
        <v>44449</v>
      </c>
      <c r="I459" s="29">
        <f>IFERROR(_xlfn.XLOOKUP(E459,[1]EMPREENDIMENTO!C:C,[1]EMPREENDIMENTO!E:E),"0")</f>
        <v>576</v>
      </c>
      <c r="J459" s="30">
        <v>46629</v>
      </c>
      <c r="K459" s="28" t="s">
        <v>33</v>
      </c>
      <c r="L459" s="31">
        <v>45881</v>
      </c>
      <c r="M459" s="32">
        <v>124561600</v>
      </c>
      <c r="N459" s="32">
        <v>135234053</v>
      </c>
      <c r="O459" s="32">
        <v>135194165</v>
      </c>
      <c r="P459" s="28" t="s">
        <v>34</v>
      </c>
      <c r="Q459" s="28" t="s">
        <v>863</v>
      </c>
      <c r="R459" s="30">
        <v>45898</v>
      </c>
      <c r="S459" s="30">
        <v>45881</v>
      </c>
      <c r="T459" s="33"/>
      <c r="U459" s="34" t="str">
        <f>IFERROR(_xlfn.XLOOKUP(E459,[1]EMPREENDIMENTO!C:C,[1]EMPREENDIMENTO!D:D),"")</f>
        <v>6c4529bb-b673-ec11-b501-005056856b6c</v>
      </c>
    </row>
    <row r="460" spans="1:21" x14ac:dyDescent="0.35">
      <c r="A460" s="28" t="str">
        <f>IFERROR(_xlfn.XLOOKUP(C460,[1]DIRETORIA!C:C,[1]DIRETORIA!A:A),"-")</f>
        <v>DIR. COM E CRED SPI CP</v>
      </c>
      <c r="B460" s="28" t="str">
        <f>IFERROR(_xlfn.XLOOKUP(C460,[1]DIRETORIA!C:C,[1]DIRETORIA!B:B),"-")</f>
        <v>GST. COM CP1</v>
      </c>
      <c r="C460" s="28" t="str">
        <f>IFERROR(_xlfn.XLOOKUP(E460,[1]EMPREENDIMENTO!C:C,[1]EMPREENDIMENTO!A:A),"-")</f>
        <v>CAMPINAS</v>
      </c>
      <c r="D460" s="28" t="s">
        <v>29</v>
      </c>
      <c r="E460" s="28" t="s">
        <v>866</v>
      </c>
      <c r="F460" s="28" t="s">
        <v>31</v>
      </c>
      <c r="G460" s="28" t="s">
        <v>867</v>
      </c>
      <c r="H460" s="28">
        <v>35097</v>
      </c>
      <c r="I460" s="29">
        <f>IFERROR(_xlfn.XLOOKUP(E460,[1]EMPREENDIMENTO!C:C,[1]EMPREENDIMENTO!E:E),"0")</f>
        <v>384</v>
      </c>
      <c r="J460" s="30">
        <v>46294</v>
      </c>
      <c r="K460" s="28" t="s">
        <v>33</v>
      </c>
      <c r="L460" s="31">
        <v>45644</v>
      </c>
      <c r="M460" s="32">
        <v>91653300</v>
      </c>
      <c r="N460" s="32">
        <v>100202100</v>
      </c>
      <c r="O460" s="32">
        <v>95399500</v>
      </c>
      <c r="P460" s="28" t="s">
        <v>34</v>
      </c>
      <c r="Q460" s="28" t="s">
        <v>868</v>
      </c>
      <c r="R460" s="30">
        <v>45661</v>
      </c>
      <c r="S460" s="30">
        <v>45646</v>
      </c>
      <c r="T460" s="33"/>
      <c r="U460" s="34" t="str">
        <f>IFERROR(_xlfn.XLOOKUP(E460,[1]EMPREENDIMENTO!C:C,[1]EMPREENDIMENTO!D:D),"")</f>
        <v>07b64311-239f-ec11-b501-005056856b6c</v>
      </c>
    </row>
    <row r="461" spans="1:21" x14ac:dyDescent="0.35">
      <c r="A461" s="28" t="str">
        <f>IFERROR(_xlfn.XLOOKUP(C461,[1]DIRETORIA!C:C,[1]DIRETORIA!A:A),"-")</f>
        <v>DIR. COM E CRED SPI CP</v>
      </c>
      <c r="B461" s="28" t="str">
        <f>IFERROR(_xlfn.XLOOKUP(C461,[1]DIRETORIA!C:C,[1]DIRETORIA!B:B),"-")</f>
        <v>GST. COM CP1</v>
      </c>
      <c r="C461" s="28" t="str">
        <f>IFERROR(_xlfn.XLOOKUP(E461,[1]EMPREENDIMENTO!C:C,[1]EMPREENDIMENTO!A:A),"-")</f>
        <v>CAMPINAS</v>
      </c>
      <c r="D461" s="28" t="s">
        <v>29</v>
      </c>
      <c r="E461" s="28" t="s">
        <v>866</v>
      </c>
      <c r="F461" s="28" t="s">
        <v>36</v>
      </c>
      <c r="G461" s="28" t="s">
        <v>869</v>
      </c>
      <c r="H461" s="28">
        <v>38660</v>
      </c>
      <c r="I461" s="29">
        <f>IFERROR(_xlfn.XLOOKUP(E461,[1]EMPREENDIMENTO!C:C,[1]EMPREENDIMENTO!E:E),"0")</f>
        <v>384</v>
      </c>
      <c r="J461" s="30">
        <v>46294</v>
      </c>
      <c r="K461" s="28" t="s">
        <v>33</v>
      </c>
      <c r="L461" s="31">
        <v>45644</v>
      </c>
      <c r="M461" s="32">
        <v>91653300</v>
      </c>
      <c r="N461" s="32">
        <v>100202100</v>
      </c>
      <c r="O461" s="32">
        <v>95399500</v>
      </c>
      <c r="P461" s="28" t="s">
        <v>34</v>
      </c>
      <c r="Q461" s="28" t="s">
        <v>868</v>
      </c>
      <c r="R461" s="30">
        <v>45661</v>
      </c>
      <c r="S461" s="30">
        <v>45646</v>
      </c>
      <c r="T461" s="33"/>
      <c r="U461" s="34" t="str">
        <f>IFERROR(_xlfn.XLOOKUP(E461,[1]EMPREENDIMENTO!C:C,[1]EMPREENDIMENTO!D:D),"")</f>
        <v>07b64311-239f-ec11-b501-005056856b6c</v>
      </c>
    </row>
    <row r="462" spans="1:21" hidden="1" x14ac:dyDescent="0.35">
      <c r="A462" s="28" t="str">
        <f>IFERROR(_xlfn.XLOOKUP(C462,[1]DIRETORIA!C:C,[1]DIRETORIA!A:A),"-")</f>
        <v>DIR. COM E CRED NE</v>
      </c>
      <c r="B462" s="28" t="str">
        <f>IFERROR(_xlfn.XLOOKUP(C462,[1]DIRETORIA!C:C,[1]DIRETORIA!B:B),"-")</f>
        <v>GST. COM NE1 (BA 1)</v>
      </c>
      <c r="C462" s="28" t="str">
        <f>IFERROR(_xlfn.XLOOKUP(E462,[1]EMPREENDIMENTO!C:C,[1]EMPREENDIMENTO!A:A),"-")</f>
        <v>SALVADOR</v>
      </c>
      <c r="D462" s="28" t="s">
        <v>85</v>
      </c>
      <c r="E462" s="28" t="s">
        <v>870</v>
      </c>
      <c r="F462" s="28" t="s">
        <v>42</v>
      </c>
      <c r="G462" s="28" t="s">
        <v>871</v>
      </c>
      <c r="H462" s="28">
        <v>34112</v>
      </c>
      <c r="I462" s="29">
        <f>IFERROR(_xlfn.XLOOKUP(E462,[1]EMPREENDIMENTO!C:C,[1]EMPREENDIMENTO!E:E),"0")</f>
        <v>320</v>
      </c>
      <c r="J462" s="30"/>
      <c r="K462" s="28" t="s">
        <v>33</v>
      </c>
      <c r="L462" s="31">
        <v>45092</v>
      </c>
      <c r="M462" s="32">
        <v>166304500</v>
      </c>
      <c r="N462" s="32">
        <v>201530900</v>
      </c>
      <c r="O462" s="32">
        <v>200152200</v>
      </c>
      <c r="P462" s="28" t="s">
        <v>34</v>
      </c>
      <c r="Q462" s="28">
        <v>363820</v>
      </c>
      <c r="R462" s="30">
        <v>45096</v>
      </c>
      <c r="S462" s="30">
        <v>45093</v>
      </c>
      <c r="T462" s="33"/>
      <c r="U462" s="34" t="str">
        <f>IFERROR(_xlfn.XLOOKUP(E462,[1]EMPREENDIMENTO!C:C,[1]EMPREENDIMENTO!D:D),"")</f>
        <v>6f86e328-6071-eb11-aa45-005056856875</v>
      </c>
    </row>
    <row r="463" spans="1:21" hidden="1" x14ac:dyDescent="0.35">
      <c r="A463" s="28" t="str">
        <f>IFERROR(_xlfn.XLOOKUP(C463,[1]DIRETORIA!C:C,[1]DIRETORIA!A:A),"-")</f>
        <v>DIR. COM E CRED SP E VL</v>
      </c>
      <c r="B463" s="28" t="str">
        <f>IFERROR(_xlfn.XLOOKUP(C463,[1]DIRETORIA!C:C,[1]DIRETORIA!B:B),"-")</f>
        <v>GST. COM SP2</v>
      </c>
      <c r="C463" s="28" t="str">
        <f>IFERROR(_xlfn.XLOOKUP(E463,[1]EMPREENDIMENTO!C:C,[1]EMPREENDIMENTO!A:A),"-")</f>
        <v>SÃO PAULO</v>
      </c>
      <c r="D463" s="28" t="s">
        <v>29</v>
      </c>
      <c r="E463" s="28" t="s">
        <v>872</v>
      </c>
      <c r="F463" s="28" t="s">
        <v>42</v>
      </c>
      <c r="G463" s="28" t="s">
        <v>873</v>
      </c>
      <c r="H463" s="28">
        <v>27944</v>
      </c>
      <c r="I463" s="29">
        <f>IFERROR(_xlfn.XLOOKUP(E463,[1]EMPREENDIMENTO!C:C,[1]EMPREENDIMENTO!E:E),"0")</f>
        <v>256</v>
      </c>
      <c r="J463" s="30">
        <v>45807</v>
      </c>
      <c r="K463" s="28" t="s">
        <v>33</v>
      </c>
      <c r="L463" s="31">
        <v>45882</v>
      </c>
      <c r="M463" s="32">
        <v>120734575</v>
      </c>
      <c r="N463" s="32"/>
      <c r="O463" s="32"/>
      <c r="P463" s="28" t="s">
        <v>34</v>
      </c>
      <c r="Q463" s="28" t="s">
        <v>874</v>
      </c>
      <c r="R463" s="30">
        <v>45945</v>
      </c>
      <c r="S463" s="30">
        <v>45883</v>
      </c>
      <c r="T463" s="33"/>
      <c r="U463" s="34" t="str">
        <f>IFERROR(_xlfn.XLOOKUP(E463,[1]EMPREENDIMENTO!C:C,[1]EMPREENDIMENTO!D:D),"")</f>
        <v>1e5037e5-320a-ea11-ba0a-0050568aa20f</v>
      </c>
    </row>
    <row r="464" spans="1:21" x14ac:dyDescent="0.35">
      <c r="A464" s="28" t="str">
        <f>IFERROR(_xlfn.XLOOKUP(C464,[1]DIRETORIA!C:C,[1]DIRETORIA!A:A),"-")</f>
        <v>DIR. COM E CRED SPI</v>
      </c>
      <c r="B464" s="28" t="str">
        <f>IFERROR(_xlfn.XLOOKUP(C464,[1]DIRETORIA!C:C,[1]DIRETORIA!B:B),"-")</f>
        <v>GST. COM OP 2</v>
      </c>
      <c r="C464" s="28" t="str">
        <f>IFERROR(_xlfn.XLOOKUP(E464,[1]EMPREENDIMENTO!C:C,[1]EMPREENDIMENTO!A:A),"-")</f>
        <v>BAURU</v>
      </c>
      <c r="D464" s="28" t="s">
        <v>29</v>
      </c>
      <c r="E464" s="28" t="s">
        <v>875</v>
      </c>
      <c r="F464" s="28" t="s">
        <v>31</v>
      </c>
      <c r="G464" s="28" t="s">
        <v>876</v>
      </c>
      <c r="H464" s="28">
        <v>12326</v>
      </c>
      <c r="I464" s="29">
        <f>IFERROR(_xlfn.XLOOKUP(E464,[1]EMPREENDIMENTO!C:C,[1]EMPREENDIMENTO!E:E),"0")</f>
        <v>140</v>
      </c>
      <c r="J464" s="30">
        <v>46660</v>
      </c>
      <c r="K464" s="28" t="s">
        <v>164</v>
      </c>
      <c r="L464" s="31">
        <v>45785</v>
      </c>
      <c r="M464" s="32">
        <v>30825400</v>
      </c>
      <c r="N464" s="32">
        <v>35592000</v>
      </c>
      <c r="O464" s="32">
        <v>33801650</v>
      </c>
      <c r="P464" s="28" t="s">
        <v>34</v>
      </c>
      <c r="Q464" s="28" t="s">
        <v>877</v>
      </c>
      <c r="R464" s="30">
        <v>45803</v>
      </c>
      <c r="S464" s="30">
        <v>45786</v>
      </c>
      <c r="T464" s="33"/>
      <c r="U464" s="34" t="str">
        <f>IFERROR(_xlfn.XLOOKUP(E464,[1]EMPREENDIMENTO!C:C,[1]EMPREENDIMENTO!D:D),"")</f>
        <v>7a5c28a0-61d0-e711-b989-80c16e075108</v>
      </c>
    </row>
    <row r="465" spans="1:21" x14ac:dyDescent="0.35">
      <c r="A465" s="28" t="str">
        <f>IFERROR(_xlfn.XLOOKUP(C465,[1]DIRETORIA!C:C,[1]DIRETORIA!A:A),"-")</f>
        <v>DIR. COM E CRED SPI</v>
      </c>
      <c r="B465" s="28" t="str">
        <f>IFERROR(_xlfn.XLOOKUP(C465,[1]DIRETORIA!C:C,[1]DIRETORIA!B:B),"-")</f>
        <v>GST. COM OP 2</v>
      </c>
      <c r="C465" s="28" t="str">
        <f>IFERROR(_xlfn.XLOOKUP(E465,[1]EMPREENDIMENTO!C:C,[1]EMPREENDIMENTO!A:A),"-")</f>
        <v>BAURU</v>
      </c>
      <c r="D465" s="28" t="s">
        <v>29</v>
      </c>
      <c r="E465" s="28" t="s">
        <v>875</v>
      </c>
      <c r="F465" s="28" t="s">
        <v>36</v>
      </c>
      <c r="G465" s="28" t="s">
        <v>878</v>
      </c>
      <c r="H465" s="28">
        <v>45539</v>
      </c>
      <c r="I465" s="29">
        <f>IFERROR(_xlfn.XLOOKUP(E465,[1]EMPREENDIMENTO!C:C,[1]EMPREENDIMENTO!E:E),"0")</f>
        <v>140</v>
      </c>
      <c r="J465" s="30">
        <v>46660</v>
      </c>
      <c r="K465" s="28" t="s">
        <v>164</v>
      </c>
      <c r="L465" s="31">
        <v>45785</v>
      </c>
      <c r="M465" s="32">
        <v>30825400</v>
      </c>
      <c r="N465" s="32">
        <v>35592000</v>
      </c>
      <c r="O465" s="32">
        <v>33801650</v>
      </c>
      <c r="P465" s="28" t="s">
        <v>34</v>
      </c>
      <c r="Q465" s="28" t="s">
        <v>877</v>
      </c>
      <c r="R465" s="30">
        <v>45803</v>
      </c>
      <c r="S465" s="30">
        <v>45786</v>
      </c>
      <c r="T465" s="33"/>
      <c r="U465" s="34" t="str">
        <f>IFERROR(_xlfn.XLOOKUP(E465,[1]EMPREENDIMENTO!C:C,[1]EMPREENDIMENTO!D:D),"")</f>
        <v>7a5c28a0-61d0-e711-b989-80c16e075108</v>
      </c>
    </row>
    <row r="466" spans="1:21" hidden="1" x14ac:dyDescent="0.35">
      <c r="A466" s="28" t="str">
        <f>IFERROR(_xlfn.XLOOKUP(C466,[1]DIRETORIA!C:C,[1]DIRETORIA!A:A),"-")</f>
        <v>DIR. COM E CRED SUL</v>
      </c>
      <c r="B466" s="28" t="str">
        <f>IFERROR(_xlfn.XLOOKUP(C466,[1]DIRETORIA!C:C,[1]DIRETORIA!B:B),"-")</f>
        <v>GST. COM LONDRINA</v>
      </c>
      <c r="C466" s="28" t="str">
        <f>IFERROR(_xlfn.XLOOKUP(E466,[1]EMPREENDIMENTO!C:C,[1]EMPREENDIMENTO!A:A),"-")</f>
        <v>LONDRINA</v>
      </c>
      <c r="D466" s="28" t="s">
        <v>29</v>
      </c>
      <c r="E466" s="28" t="s">
        <v>879</v>
      </c>
      <c r="F466" s="28" t="s">
        <v>31</v>
      </c>
      <c r="G466" s="28" t="s">
        <v>880</v>
      </c>
      <c r="H466" s="28">
        <v>38686</v>
      </c>
      <c r="I466" s="29">
        <f>IFERROR(_xlfn.XLOOKUP(E466,[1]EMPREENDIMENTO!C:C,[1]EMPREENDIMENTO!E:E),"0")</f>
        <v>240</v>
      </c>
      <c r="J466" s="30">
        <v>46418</v>
      </c>
      <c r="K466" s="28" t="s">
        <v>33</v>
      </c>
      <c r="L466" s="31">
        <v>45590</v>
      </c>
      <c r="M466" s="32">
        <v>52058355</v>
      </c>
      <c r="N466" s="32">
        <v>57838555</v>
      </c>
      <c r="O466" s="32">
        <v>54083660</v>
      </c>
      <c r="P466" s="28" t="s">
        <v>34</v>
      </c>
      <c r="Q466" s="28" t="s">
        <v>881</v>
      </c>
      <c r="R466" s="30">
        <v>45593</v>
      </c>
      <c r="S466" s="30">
        <v>45593</v>
      </c>
      <c r="T466" s="33"/>
      <c r="U466" s="34" t="str">
        <f>IFERROR(_xlfn.XLOOKUP(E466,[1]EMPREENDIMENTO!C:C,[1]EMPREENDIMENTO!D:D),"")</f>
        <v>84de8e39-55de-ea11-88c0-0050568aa20f</v>
      </c>
    </row>
    <row r="467" spans="1:21" hidden="1" x14ac:dyDescent="0.35">
      <c r="A467" s="28" t="str">
        <f>IFERROR(_xlfn.XLOOKUP(C467,[1]DIRETORIA!C:C,[1]DIRETORIA!A:A),"-")</f>
        <v>DIR. COM E CRED SUL</v>
      </c>
      <c r="B467" s="28" t="str">
        <f>IFERROR(_xlfn.XLOOKUP(C467,[1]DIRETORIA!C:C,[1]DIRETORIA!B:B),"-")</f>
        <v>GST. COM LONDRINA</v>
      </c>
      <c r="C467" s="28" t="str">
        <f>IFERROR(_xlfn.XLOOKUP(E467,[1]EMPREENDIMENTO!C:C,[1]EMPREENDIMENTO!A:A),"-")</f>
        <v>LONDRINA</v>
      </c>
      <c r="D467" s="28" t="s">
        <v>29</v>
      </c>
      <c r="E467" s="28" t="s">
        <v>879</v>
      </c>
      <c r="F467" s="28" t="s">
        <v>36</v>
      </c>
      <c r="G467" s="28" t="s">
        <v>882</v>
      </c>
      <c r="H467" s="28">
        <v>39142</v>
      </c>
      <c r="I467" s="29">
        <f>IFERROR(_xlfn.XLOOKUP(E467,[1]EMPREENDIMENTO!C:C,[1]EMPREENDIMENTO!E:E),"0")</f>
        <v>240</v>
      </c>
      <c r="J467" s="30">
        <v>46418</v>
      </c>
      <c r="K467" s="28" t="s">
        <v>33</v>
      </c>
      <c r="L467" s="31">
        <v>45590</v>
      </c>
      <c r="M467" s="32">
        <v>52058355</v>
      </c>
      <c r="N467" s="32">
        <v>57838555</v>
      </c>
      <c r="O467" s="32">
        <v>54083660</v>
      </c>
      <c r="P467" s="28" t="s">
        <v>34</v>
      </c>
      <c r="Q467" s="28" t="s">
        <v>881</v>
      </c>
      <c r="R467" s="30">
        <v>45593</v>
      </c>
      <c r="S467" s="30">
        <v>45593</v>
      </c>
      <c r="T467" s="33"/>
      <c r="U467" s="34" t="str">
        <f>IFERROR(_xlfn.XLOOKUP(E467,[1]EMPREENDIMENTO!C:C,[1]EMPREENDIMENTO!D:D),"")</f>
        <v>84de8e39-55de-ea11-88c0-0050568aa20f</v>
      </c>
    </row>
    <row r="468" spans="1:21" hidden="1" x14ac:dyDescent="0.35">
      <c r="A468" s="28" t="str">
        <f>IFERROR(_xlfn.XLOOKUP(C468,[1]DIRETORIA!C:C,[1]DIRETORIA!A:A),"-")</f>
        <v>DIR. COM E CRED SUL</v>
      </c>
      <c r="B468" s="28" t="str">
        <f>IFERROR(_xlfn.XLOOKUP(C468,[1]DIRETORIA!C:C,[1]DIRETORIA!B:B),"-")</f>
        <v>GST. COM CURITIBA</v>
      </c>
      <c r="C468" s="28" t="str">
        <f>IFERROR(_xlfn.XLOOKUP(E468,[1]EMPREENDIMENTO!C:C,[1]EMPREENDIMENTO!A:A),"-")</f>
        <v>CURITIBA</v>
      </c>
      <c r="D468" s="28" t="s">
        <v>85</v>
      </c>
      <c r="E468" s="28" t="s">
        <v>883</v>
      </c>
      <c r="F468" s="28" t="s">
        <v>42</v>
      </c>
      <c r="G468" s="28" t="s">
        <v>884</v>
      </c>
      <c r="H468" s="28">
        <v>38788</v>
      </c>
      <c r="I468" s="29">
        <f>IFERROR(_xlfn.XLOOKUP(E468,[1]EMPREENDIMENTO!C:C,[1]EMPREENDIMENTO!E:E),"0")</f>
        <v>248</v>
      </c>
      <c r="J468" s="30"/>
      <c r="K468" s="28" t="s">
        <v>33</v>
      </c>
      <c r="L468" s="31">
        <v>45653</v>
      </c>
      <c r="M468" s="32">
        <v>178031145</v>
      </c>
      <c r="N468" s="32">
        <v>195834260</v>
      </c>
      <c r="O468" s="32">
        <v>184333644</v>
      </c>
      <c r="P468" s="28" t="s">
        <v>34</v>
      </c>
      <c r="Q468" s="28"/>
      <c r="R468" s="30"/>
      <c r="S468" s="30">
        <v>45659</v>
      </c>
      <c r="T468" s="33"/>
      <c r="U468" s="34" t="str">
        <f>IFERROR(_xlfn.XLOOKUP(E468,[1]EMPREENDIMENTO!C:C,[1]EMPREENDIMENTO!D:D),"")</f>
        <v>fd281904-79d7-ec11-ba45-005056890018</v>
      </c>
    </row>
    <row r="469" spans="1:21" hidden="1" x14ac:dyDescent="0.35">
      <c r="A469" s="28" t="str">
        <f>IFERROR(_xlfn.XLOOKUP(C469,[1]DIRETORIA!C:C,[1]DIRETORIA!A:A),"-")</f>
        <v>DIR. COM E CRED RJ</v>
      </c>
      <c r="B469" s="28" t="str">
        <f>IFERROR(_xlfn.XLOOKUP(C469,[1]DIRETORIA!C:C,[1]DIRETORIA!B:B),"-")</f>
        <v>GST. COM RJ1</v>
      </c>
      <c r="C469" s="28" t="str">
        <f>IFERROR(_xlfn.XLOOKUP(E469,[1]EMPREENDIMENTO!C:C,[1]EMPREENDIMENTO!A:A),"-")</f>
        <v>RIO DE JANEIRO</v>
      </c>
      <c r="D469" s="28" t="s">
        <v>29</v>
      </c>
      <c r="E469" s="28" t="s">
        <v>885</v>
      </c>
      <c r="F469" s="28" t="s">
        <v>31</v>
      </c>
      <c r="G469" s="28" t="s">
        <v>886</v>
      </c>
      <c r="H469" s="28">
        <v>25764</v>
      </c>
      <c r="I469" s="29">
        <f>IFERROR(_xlfn.XLOOKUP(E469,[1]EMPREENDIMENTO!C:C,[1]EMPREENDIMENTO!E:E),"0")</f>
        <v>500</v>
      </c>
      <c r="J469" s="30">
        <v>46538</v>
      </c>
      <c r="K469" s="28" t="s">
        <v>33</v>
      </c>
      <c r="L469" s="31">
        <v>45743</v>
      </c>
      <c r="M469" s="32">
        <v>103236640</v>
      </c>
      <c r="N469" s="32">
        <v>114197083</v>
      </c>
      <c r="O469" s="32">
        <v>109828710</v>
      </c>
      <c r="P469" s="28" t="s">
        <v>34</v>
      </c>
      <c r="Q469" s="28" t="s">
        <v>887</v>
      </c>
      <c r="R469" s="30">
        <v>45754</v>
      </c>
      <c r="S469" s="30">
        <v>45747</v>
      </c>
      <c r="T469" s="33" t="s">
        <v>888</v>
      </c>
      <c r="U469" s="34" t="str">
        <f>IFERROR(_xlfn.XLOOKUP(E469,[1]EMPREENDIMENTO!C:C,[1]EMPREENDIMENTO!D:D),"")</f>
        <v>1bb4928e-8b30-ea11-ba0a-0050568aa20f</v>
      </c>
    </row>
    <row r="470" spans="1:21" hidden="1" x14ac:dyDescent="0.35">
      <c r="A470" s="28" t="str">
        <f>IFERROR(_xlfn.XLOOKUP(C470,[1]DIRETORIA!C:C,[1]DIRETORIA!A:A),"-")</f>
        <v>DIR. COM E CRED RJ</v>
      </c>
      <c r="B470" s="28" t="str">
        <f>IFERROR(_xlfn.XLOOKUP(C470,[1]DIRETORIA!C:C,[1]DIRETORIA!B:B),"-")</f>
        <v>GST. COM RJ1</v>
      </c>
      <c r="C470" s="28" t="str">
        <f>IFERROR(_xlfn.XLOOKUP(E470,[1]EMPREENDIMENTO!C:C,[1]EMPREENDIMENTO!A:A),"-")</f>
        <v>RIO DE JANEIRO</v>
      </c>
      <c r="D470" s="28" t="s">
        <v>29</v>
      </c>
      <c r="E470" s="28" t="s">
        <v>885</v>
      </c>
      <c r="F470" s="28" t="s">
        <v>36</v>
      </c>
      <c r="G470" s="28" t="s">
        <v>889</v>
      </c>
      <c r="H470" s="28">
        <v>35633</v>
      </c>
      <c r="I470" s="29">
        <f>IFERROR(_xlfn.XLOOKUP(E470,[1]EMPREENDIMENTO!C:C,[1]EMPREENDIMENTO!E:E),"0")</f>
        <v>500</v>
      </c>
      <c r="J470" s="30">
        <v>46538</v>
      </c>
      <c r="K470" s="28" t="s">
        <v>33</v>
      </c>
      <c r="L470" s="31">
        <v>45743</v>
      </c>
      <c r="M470" s="32">
        <v>103236640</v>
      </c>
      <c r="N470" s="32">
        <v>107928880</v>
      </c>
      <c r="O470" s="32">
        <v>109828710</v>
      </c>
      <c r="P470" s="28" t="s">
        <v>34</v>
      </c>
      <c r="Q470" s="28" t="s">
        <v>887</v>
      </c>
      <c r="R470" s="30">
        <v>45754</v>
      </c>
      <c r="S470" s="30">
        <v>45747</v>
      </c>
      <c r="T470" s="33" t="s">
        <v>888</v>
      </c>
      <c r="U470" s="34" t="str">
        <f>IFERROR(_xlfn.XLOOKUP(E470,[1]EMPREENDIMENTO!C:C,[1]EMPREENDIMENTO!D:D),"")</f>
        <v>1bb4928e-8b30-ea11-ba0a-0050568aa20f</v>
      </c>
    </row>
    <row r="471" spans="1:21" hidden="1" x14ac:dyDescent="0.35">
      <c r="A471" s="28" t="str">
        <f>IFERROR(_xlfn.XLOOKUP(C471,[1]DIRETORIA!C:C,[1]DIRETORIA!A:A),"-")</f>
        <v>DIR. COM E CRED RJ</v>
      </c>
      <c r="B471" s="28" t="str">
        <f>IFERROR(_xlfn.XLOOKUP(C471,[1]DIRETORIA!C:C,[1]DIRETORIA!B:B),"-")</f>
        <v>GST. COM RJ1</v>
      </c>
      <c r="C471" s="28" t="str">
        <f>IFERROR(_xlfn.XLOOKUP(E471,[1]EMPREENDIMENTO!C:C,[1]EMPREENDIMENTO!A:A),"-")</f>
        <v>RIO DE JANEIRO</v>
      </c>
      <c r="D471" s="28" t="s">
        <v>29</v>
      </c>
      <c r="E471" s="28" t="s">
        <v>885</v>
      </c>
      <c r="F471" s="28" t="s">
        <v>39</v>
      </c>
      <c r="G471" s="28" t="s">
        <v>890</v>
      </c>
      <c r="H471" s="28">
        <v>27692</v>
      </c>
      <c r="I471" s="29">
        <f>IFERROR(_xlfn.XLOOKUP(E471,[1]EMPREENDIMENTO!C:C,[1]EMPREENDIMENTO!E:E),"0")</f>
        <v>500</v>
      </c>
      <c r="J471" s="30">
        <v>46538</v>
      </c>
      <c r="K471" s="28" t="s">
        <v>33</v>
      </c>
      <c r="L471" s="31">
        <v>45743</v>
      </c>
      <c r="M471" s="32">
        <v>103236640</v>
      </c>
      <c r="N471" s="32">
        <v>107928880</v>
      </c>
      <c r="O471" s="32">
        <v>106605080</v>
      </c>
      <c r="P471" s="28" t="s">
        <v>34</v>
      </c>
      <c r="Q471" s="28" t="s">
        <v>887</v>
      </c>
      <c r="R471" s="30">
        <v>45754</v>
      </c>
      <c r="S471" s="30">
        <v>45747</v>
      </c>
      <c r="T471" s="33" t="s">
        <v>888</v>
      </c>
      <c r="U471" s="34" t="str">
        <f>IFERROR(_xlfn.XLOOKUP(E471,[1]EMPREENDIMENTO!C:C,[1]EMPREENDIMENTO!D:D),"")</f>
        <v>1bb4928e-8b30-ea11-ba0a-0050568aa20f</v>
      </c>
    </row>
    <row r="472" spans="1:21" hidden="1" x14ac:dyDescent="0.35">
      <c r="A472" s="28" t="str">
        <f>IFERROR(_xlfn.XLOOKUP(C472,[1]DIRETORIA!C:C,[1]DIRETORIA!A:A),"-")</f>
        <v>DIR. COM E CRED RJ</v>
      </c>
      <c r="B472" s="28" t="str">
        <f>IFERROR(_xlfn.XLOOKUP(C472,[1]DIRETORIA!C:C,[1]DIRETORIA!B:B),"-")</f>
        <v>GST. COM RJ1</v>
      </c>
      <c r="C472" s="28" t="str">
        <f>IFERROR(_xlfn.XLOOKUP(E472,[1]EMPREENDIMENTO!C:C,[1]EMPREENDIMENTO!A:A),"-")</f>
        <v>RIO DE JANEIRO</v>
      </c>
      <c r="D472" s="28" t="s">
        <v>29</v>
      </c>
      <c r="E472" s="28" t="s">
        <v>891</v>
      </c>
      <c r="F472" s="28" t="s">
        <v>31</v>
      </c>
      <c r="G472" s="28" t="s">
        <v>892</v>
      </c>
      <c r="H472" s="28">
        <v>38932</v>
      </c>
      <c r="I472" s="29">
        <f>IFERROR(_xlfn.XLOOKUP(E472,[1]EMPREENDIMENTO!C:C,[1]EMPREENDIMENTO!E:E),"0")</f>
        <v>320</v>
      </c>
      <c r="J472" s="30">
        <v>46692</v>
      </c>
      <c r="K472" s="28" t="s">
        <v>164</v>
      </c>
      <c r="L472" s="31">
        <v>46211</v>
      </c>
      <c r="M472" s="32">
        <v>86642759</v>
      </c>
      <c r="N472" s="32">
        <v>91816511</v>
      </c>
      <c r="O472" s="32">
        <v>91813739</v>
      </c>
      <c r="P472" s="28" t="s">
        <v>34</v>
      </c>
      <c r="Q472" s="28" t="s">
        <v>893</v>
      </c>
      <c r="R472" s="30">
        <v>46219</v>
      </c>
      <c r="S472" s="30">
        <v>46213</v>
      </c>
      <c r="T472" s="33"/>
      <c r="U472" s="34" t="str">
        <f>IFERROR(_xlfn.XLOOKUP(E472,[1]EMPREENDIMENTO!C:C,[1]EMPREENDIMENTO!D:D),"")</f>
        <v>c02a3f70-b071-e911-b1cd-009c02b0cb58</v>
      </c>
    </row>
    <row r="473" spans="1:21" hidden="1" x14ac:dyDescent="0.35">
      <c r="A473" s="28" t="str">
        <f>IFERROR(_xlfn.XLOOKUP(C473,[1]DIRETORIA!C:C,[1]DIRETORIA!A:A),"-")</f>
        <v>DIR. COM E CRED RJ</v>
      </c>
      <c r="B473" s="28" t="str">
        <f>IFERROR(_xlfn.XLOOKUP(C473,[1]DIRETORIA!C:C,[1]DIRETORIA!B:B),"-")</f>
        <v>GST. COM RJ1</v>
      </c>
      <c r="C473" s="28" t="str">
        <f>IFERROR(_xlfn.XLOOKUP(E473,[1]EMPREENDIMENTO!C:C,[1]EMPREENDIMENTO!A:A),"-")</f>
        <v>RIO DE JANEIRO</v>
      </c>
      <c r="D473" s="28" t="s">
        <v>29</v>
      </c>
      <c r="E473" s="28" t="s">
        <v>891</v>
      </c>
      <c r="F473" s="28" t="s">
        <v>36</v>
      </c>
      <c r="G473" s="28" t="s">
        <v>894</v>
      </c>
      <c r="H473" s="28">
        <v>46041</v>
      </c>
      <c r="I473" s="29">
        <f>IFERROR(_xlfn.XLOOKUP(E473,[1]EMPREENDIMENTO!C:C,[1]EMPREENDIMENTO!E:E),"0")</f>
        <v>320</v>
      </c>
      <c r="J473" s="30">
        <v>46692</v>
      </c>
      <c r="K473" s="28" t="s">
        <v>164</v>
      </c>
      <c r="L473" s="31">
        <v>46211</v>
      </c>
      <c r="M473" s="32">
        <v>86642759</v>
      </c>
      <c r="N473" s="32">
        <v>91816511</v>
      </c>
      <c r="O473" s="32">
        <v>91813739</v>
      </c>
      <c r="P473" s="28" t="s">
        <v>34</v>
      </c>
      <c r="Q473" s="28" t="s">
        <v>893</v>
      </c>
      <c r="R473" s="30">
        <v>46219</v>
      </c>
      <c r="S473" s="30">
        <v>46213</v>
      </c>
      <c r="T473" s="33"/>
      <c r="U473" s="34" t="str">
        <f>IFERROR(_xlfn.XLOOKUP(E473,[1]EMPREENDIMENTO!C:C,[1]EMPREENDIMENTO!D:D),"")</f>
        <v>c02a3f70-b071-e911-b1cd-009c02b0cb58</v>
      </c>
    </row>
    <row r="474" spans="1:21" hidden="1" x14ac:dyDescent="0.35">
      <c r="A474" s="28" t="str">
        <f>IFERROR(_xlfn.XLOOKUP(C474,[1]DIRETORIA!C:C,[1]DIRETORIA!A:A),"-")</f>
        <v>DIR. COM E CRED RJ</v>
      </c>
      <c r="B474" s="28" t="str">
        <f>IFERROR(_xlfn.XLOOKUP(C474,[1]DIRETORIA!C:C,[1]DIRETORIA!B:B),"-")</f>
        <v>GST. COM RJ1</v>
      </c>
      <c r="C474" s="28" t="str">
        <f>IFERROR(_xlfn.XLOOKUP(E474,[1]EMPREENDIMENTO!C:C,[1]EMPREENDIMENTO!A:A),"-")</f>
        <v>RIO DE JANEIRO</v>
      </c>
      <c r="D474" s="28" t="s">
        <v>29</v>
      </c>
      <c r="E474" s="28" t="s">
        <v>891</v>
      </c>
      <c r="F474" s="28" t="s">
        <v>39</v>
      </c>
      <c r="G474" s="28" t="s">
        <v>895</v>
      </c>
      <c r="H474" s="28">
        <v>46042</v>
      </c>
      <c r="I474" s="29">
        <f>IFERROR(_xlfn.XLOOKUP(E474,[1]EMPREENDIMENTO!C:C,[1]EMPREENDIMENTO!E:E),"0")</f>
        <v>320</v>
      </c>
      <c r="J474" s="30">
        <v>46692</v>
      </c>
      <c r="K474" s="28" t="s">
        <v>164</v>
      </c>
      <c r="L474" s="31">
        <v>46211</v>
      </c>
      <c r="M474" s="32">
        <v>86642759</v>
      </c>
      <c r="N474" s="32">
        <v>91816511</v>
      </c>
      <c r="O474" s="32">
        <v>91813739</v>
      </c>
      <c r="P474" s="28" t="s">
        <v>34</v>
      </c>
      <c r="Q474" s="28" t="s">
        <v>893</v>
      </c>
      <c r="R474" s="30">
        <v>46219</v>
      </c>
      <c r="S474" s="30">
        <v>46213</v>
      </c>
      <c r="T474" s="33"/>
      <c r="U474" s="34" t="str">
        <f>IFERROR(_xlfn.XLOOKUP(E474,[1]EMPREENDIMENTO!C:C,[1]EMPREENDIMENTO!D:D),"")</f>
        <v>c02a3f70-b071-e911-b1cd-009c02b0cb58</v>
      </c>
    </row>
    <row r="475" spans="1:21" hidden="1" x14ac:dyDescent="0.35">
      <c r="A475" s="28" t="str">
        <f>IFERROR(_xlfn.XLOOKUP(C475,[1]DIRETORIA!C:C,[1]DIRETORIA!A:A),"-")</f>
        <v>DIR. COM E CRED NE</v>
      </c>
      <c r="B475" s="28" t="str">
        <f>IFERROR(_xlfn.XLOOKUP(C475,[1]DIRETORIA!C:C,[1]DIRETORIA!B:B),"-")</f>
        <v>GST. COM NE5 (RN+PB)</v>
      </c>
      <c r="C475" s="28" t="str">
        <f>IFERROR(_xlfn.XLOOKUP(E475,[1]EMPREENDIMENTO!C:C,[1]EMPREENDIMENTO!A:A),"-")</f>
        <v>NATAL</v>
      </c>
      <c r="D475" s="28" t="s">
        <v>29</v>
      </c>
      <c r="E475" s="28" t="s">
        <v>896</v>
      </c>
      <c r="F475" s="28" t="s">
        <v>31</v>
      </c>
      <c r="G475" s="28" t="s">
        <v>897</v>
      </c>
      <c r="H475" s="28">
        <v>38496</v>
      </c>
      <c r="I475" s="29">
        <f>IFERROR(_xlfn.XLOOKUP(E475,[1]EMPREENDIMENTO!C:C,[1]EMPREENDIMENTO!E:E),"0")</f>
        <v>320</v>
      </c>
      <c r="J475" s="30">
        <v>46808</v>
      </c>
      <c r="K475" s="28" t="s">
        <v>33</v>
      </c>
      <c r="L475" s="31">
        <v>46126</v>
      </c>
      <c r="M475" s="32">
        <v>152467000</v>
      </c>
      <c r="N475" s="32"/>
      <c r="O475" s="32"/>
      <c r="P475" s="28" t="s">
        <v>2</v>
      </c>
      <c r="Q475" s="28" t="s">
        <v>898</v>
      </c>
      <c r="R475" s="30">
        <v>46286</v>
      </c>
      <c r="S475" s="30"/>
      <c r="T475" s="33"/>
      <c r="U475" s="34" t="str">
        <f>IFERROR(_xlfn.XLOOKUP(E475,[1]EMPREENDIMENTO!C:C,[1]EMPREENDIMENTO!D:D),"")</f>
        <v>6bd5b8ae-d9ca-eb11-8207-0050568aa20f</v>
      </c>
    </row>
    <row r="476" spans="1:21" hidden="1" x14ac:dyDescent="0.35">
      <c r="A476" s="28" t="str">
        <f>IFERROR(_xlfn.XLOOKUP(C476,[1]DIRETORIA!C:C,[1]DIRETORIA!A:A),"-")</f>
        <v>DIR. COM E CRED NE</v>
      </c>
      <c r="B476" s="28" t="str">
        <f>IFERROR(_xlfn.XLOOKUP(C476,[1]DIRETORIA!C:C,[1]DIRETORIA!B:B),"-")</f>
        <v>GST. COM NE5 (RN+PB)</v>
      </c>
      <c r="C476" s="28" t="str">
        <f>IFERROR(_xlfn.XLOOKUP(E476,[1]EMPREENDIMENTO!C:C,[1]EMPREENDIMENTO!A:A),"-")</f>
        <v>NATAL</v>
      </c>
      <c r="D476" s="28" t="s">
        <v>29</v>
      </c>
      <c r="E476" s="28" t="s">
        <v>896</v>
      </c>
      <c r="F476" s="28" t="s">
        <v>36</v>
      </c>
      <c r="G476" s="28" t="s">
        <v>899</v>
      </c>
      <c r="H476" s="28">
        <v>40471</v>
      </c>
      <c r="I476" s="29">
        <f>IFERROR(_xlfn.XLOOKUP(E476,[1]EMPREENDIMENTO!C:C,[1]EMPREENDIMENTO!E:E),"0")</f>
        <v>320</v>
      </c>
      <c r="J476" s="30">
        <v>46808</v>
      </c>
      <c r="K476" s="28" t="s">
        <v>33</v>
      </c>
      <c r="L476" s="31">
        <v>46126</v>
      </c>
      <c r="M476" s="32">
        <v>152467000</v>
      </c>
      <c r="N476" s="32"/>
      <c r="O476" s="32"/>
      <c r="P476" s="28" t="s">
        <v>2</v>
      </c>
      <c r="Q476" s="28" t="s">
        <v>898</v>
      </c>
      <c r="R476" s="30">
        <v>46286</v>
      </c>
      <c r="S476" s="30"/>
      <c r="T476" s="33"/>
      <c r="U476" s="34" t="str">
        <f>IFERROR(_xlfn.XLOOKUP(E476,[1]EMPREENDIMENTO!C:C,[1]EMPREENDIMENTO!D:D),"")</f>
        <v>6bd5b8ae-d9ca-eb11-8207-0050568aa20f</v>
      </c>
    </row>
    <row r="477" spans="1:21" x14ac:dyDescent="0.35">
      <c r="A477" s="28" t="str">
        <f>IFERROR(_xlfn.XLOOKUP(C477,[1]DIRETORIA!C:C,[1]DIRETORIA!A:A),"-")</f>
        <v>DIR. COM E CRED SPI CP</v>
      </c>
      <c r="B477" s="28" t="str">
        <f>IFERROR(_xlfn.XLOOKUP(C477,[1]DIRETORIA!C:C,[1]DIRETORIA!B:B),"-")</f>
        <v>GST. COM CP1</v>
      </c>
      <c r="C477" s="28" t="str">
        <f>IFERROR(_xlfn.XLOOKUP(E477,[1]EMPREENDIMENTO!C:C,[1]EMPREENDIMENTO!A:A),"-")</f>
        <v>CAMPINAS</v>
      </c>
      <c r="D477" s="28" t="s">
        <v>29</v>
      </c>
      <c r="E477" s="28" t="s">
        <v>900</v>
      </c>
      <c r="F477" s="28" t="s">
        <v>42</v>
      </c>
      <c r="G477" s="28" t="s">
        <v>901</v>
      </c>
      <c r="H477" s="28">
        <v>37547</v>
      </c>
      <c r="I477" s="29">
        <f>IFERROR(_xlfn.XLOOKUP(E477,[1]EMPREENDIMENTO!C:C,[1]EMPREENDIMENTO!E:E),"0")</f>
        <v>192</v>
      </c>
      <c r="J477" s="30">
        <v>46371</v>
      </c>
      <c r="K477" s="28" t="s">
        <v>33</v>
      </c>
      <c r="L477" s="31">
        <v>45307</v>
      </c>
      <c r="M477" s="32">
        <v>57323000</v>
      </c>
      <c r="N477" s="32">
        <v>69112000</v>
      </c>
      <c r="O477" s="32">
        <v>63321800</v>
      </c>
      <c r="P477" s="28" t="s">
        <v>34</v>
      </c>
      <c r="Q477" s="28" t="s">
        <v>902</v>
      </c>
      <c r="R477" s="30">
        <v>45313</v>
      </c>
      <c r="S477" s="30">
        <v>45307</v>
      </c>
      <c r="T477" s="33"/>
      <c r="U477" s="34" t="str">
        <f>IFERROR(_xlfn.XLOOKUP(E477,[1]EMPREENDIMENTO!C:C,[1]EMPREENDIMENTO!D:D),"")</f>
        <v>0c6c4d28-cef2-ea11-beeb-005056856875</v>
      </c>
    </row>
    <row r="478" spans="1:21" hidden="1" x14ac:dyDescent="0.35">
      <c r="A478" s="28" t="str">
        <f>IFERROR(_xlfn.XLOOKUP(C478,[1]DIRETORIA!C:C,[1]DIRETORIA!A:A),"-")</f>
        <v>DIR. COM E CRED NE</v>
      </c>
      <c r="B478" s="28" t="str">
        <f>IFERROR(_xlfn.XLOOKUP(C478,[1]DIRETORIA!C:C,[1]DIRETORIA!B:B),"-")</f>
        <v>GST. COM NE 7 (PI+MA)</v>
      </c>
      <c r="C478" s="28" t="str">
        <f>IFERROR(_xlfn.XLOOKUP(E478,[1]EMPREENDIMENTO!C:C,[1]EMPREENDIMENTO!A:A),"-")</f>
        <v>SÃO LUÍS</v>
      </c>
      <c r="D478" s="28" t="s">
        <v>29</v>
      </c>
      <c r="E478" s="28" t="s">
        <v>903</v>
      </c>
      <c r="F478" s="28" t="s">
        <v>31</v>
      </c>
      <c r="G478" s="28" t="s">
        <v>904</v>
      </c>
      <c r="H478" s="28">
        <v>35883</v>
      </c>
      <c r="I478" s="29">
        <f>IFERROR(_xlfn.XLOOKUP(E478,[1]EMPREENDIMENTO!C:C,[1]EMPREENDIMENTO!E:E),"0")</f>
        <v>432</v>
      </c>
      <c r="J478" s="30">
        <v>46402</v>
      </c>
      <c r="K478" s="28" t="s">
        <v>33</v>
      </c>
      <c r="L478" s="31">
        <v>45434</v>
      </c>
      <c r="M478" s="32">
        <v>106140400</v>
      </c>
      <c r="N478" s="32">
        <v>132250938</v>
      </c>
      <c r="O478" s="32">
        <v>118524600</v>
      </c>
      <c r="P478" s="28" t="s">
        <v>34</v>
      </c>
      <c r="Q478" s="28" t="s">
        <v>905</v>
      </c>
      <c r="R478" s="30">
        <v>45449</v>
      </c>
      <c r="S478" s="30">
        <v>45435</v>
      </c>
      <c r="T478" s="33"/>
      <c r="U478" s="34" t="str">
        <f>IFERROR(_xlfn.XLOOKUP(E478,[1]EMPREENDIMENTO!C:C,[1]EMPREENDIMENTO!D:D),"")</f>
        <v>cedb98e9-4e78-e911-b1cd-009c02b0cb58</v>
      </c>
    </row>
    <row r="479" spans="1:21" hidden="1" x14ac:dyDescent="0.35">
      <c r="A479" s="28" t="str">
        <f>IFERROR(_xlfn.XLOOKUP(C479,[1]DIRETORIA!C:C,[1]DIRETORIA!A:A),"-")</f>
        <v>DIR. COM E CRED NE</v>
      </c>
      <c r="B479" s="28" t="str">
        <f>IFERROR(_xlfn.XLOOKUP(C479,[1]DIRETORIA!C:C,[1]DIRETORIA!B:B),"-")</f>
        <v>GST. COM NE 7 (PI+MA)</v>
      </c>
      <c r="C479" s="28" t="str">
        <f>IFERROR(_xlfn.XLOOKUP(E479,[1]EMPREENDIMENTO!C:C,[1]EMPREENDIMENTO!A:A),"-")</f>
        <v>SÃO LUÍS</v>
      </c>
      <c r="D479" s="28" t="s">
        <v>29</v>
      </c>
      <c r="E479" s="28" t="s">
        <v>903</v>
      </c>
      <c r="F479" s="28" t="s">
        <v>36</v>
      </c>
      <c r="G479" s="28" t="s">
        <v>906</v>
      </c>
      <c r="H479" s="28">
        <v>41706</v>
      </c>
      <c r="I479" s="29">
        <f>IFERROR(_xlfn.XLOOKUP(E479,[1]EMPREENDIMENTO!C:C,[1]EMPREENDIMENTO!E:E),"0")</f>
        <v>432</v>
      </c>
      <c r="J479" s="30">
        <v>46402</v>
      </c>
      <c r="K479" s="28" t="s">
        <v>33</v>
      </c>
      <c r="L479" s="31">
        <v>45434</v>
      </c>
      <c r="M479" s="32">
        <v>106140400</v>
      </c>
      <c r="N479" s="32">
        <v>132250938</v>
      </c>
      <c r="O479" s="32">
        <v>118524600</v>
      </c>
      <c r="P479" s="28" t="s">
        <v>34</v>
      </c>
      <c r="Q479" s="28" t="s">
        <v>905</v>
      </c>
      <c r="R479" s="30">
        <v>45449</v>
      </c>
      <c r="S479" s="30">
        <v>45435</v>
      </c>
      <c r="T479" s="33"/>
      <c r="U479" s="34" t="str">
        <f>IFERROR(_xlfn.XLOOKUP(E479,[1]EMPREENDIMENTO!C:C,[1]EMPREENDIMENTO!D:D),"")</f>
        <v>cedb98e9-4e78-e911-b1cd-009c02b0cb58</v>
      </c>
    </row>
    <row r="480" spans="1:21" hidden="1" x14ac:dyDescent="0.35">
      <c r="A480" s="28" t="str">
        <f>IFERROR(_xlfn.XLOOKUP(C480,[1]DIRETORIA!C:C,[1]DIRETORIA!A:A),"-")</f>
        <v>DIR. COM E CRED NE</v>
      </c>
      <c r="B480" s="28" t="str">
        <f>IFERROR(_xlfn.XLOOKUP(C480,[1]DIRETORIA!C:C,[1]DIRETORIA!B:B),"-")</f>
        <v>GST. COM NE5 (RN+PB)</v>
      </c>
      <c r="C480" s="28" t="str">
        <f>IFERROR(_xlfn.XLOOKUP(E480,[1]EMPREENDIMENTO!C:C,[1]EMPREENDIMENTO!A:A),"-")</f>
        <v>PARNAMIRIM</v>
      </c>
      <c r="D480" s="28" t="s">
        <v>29</v>
      </c>
      <c r="E480" s="28" t="s">
        <v>907</v>
      </c>
      <c r="F480" s="28" t="s">
        <v>31</v>
      </c>
      <c r="G480" s="28" t="s">
        <v>908</v>
      </c>
      <c r="H480" s="28">
        <v>38980</v>
      </c>
      <c r="I480" s="29">
        <f>IFERROR(_xlfn.XLOOKUP(E480,[1]EMPREENDIMENTO!C:C,[1]EMPREENDIMENTO!E:E),"0")</f>
        <v>552</v>
      </c>
      <c r="J480" s="30">
        <v>46808</v>
      </c>
      <c r="K480" s="28" t="s">
        <v>33</v>
      </c>
      <c r="L480" s="31">
        <v>46154</v>
      </c>
      <c r="M480" s="32">
        <v>167983034</v>
      </c>
      <c r="N480" s="32">
        <v>182559425</v>
      </c>
      <c r="O480" s="32">
        <v>178227348</v>
      </c>
      <c r="P480" s="28" t="s">
        <v>34</v>
      </c>
      <c r="Q480" s="28" t="s">
        <v>909</v>
      </c>
      <c r="R480" s="30">
        <v>46160</v>
      </c>
      <c r="S480" s="30">
        <v>46155</v>
      </c>
      <c r="T480" s="33"/>
      <c r="U480" s="34" t="str">
        <f>IFERROR(_xlfn.XLOOKUP(E480,[1]EMPREENDIMENTO!C:C,[1]EMPREENDIMENTO!D:D),"")</f>
        <v>6a7fe2a2-ab31-ec11-b2fe-005056895191</v>
      </c>
    </row>
    <row r="481" spans="1:21" hidden="1" x14ac:dyDescent="0.35">
      <c r="A481" s="28" t="str">
        <f>IFERROR(_xlfn.XLOOKUP(C481,[1]DIRETORIA!C:C,[1]DIRETORIA!A:A),"-")</f>
        <v>DIR. COM E CRED NE</v>
      </c>
      <c r="B481" s="28" t="str">
        <f>IFERROR(_xlfn.XLOOKUP(C481,[1]DIRETORIA!C:C,[1]DIRETORIA!B:B),"-")</f>
        <v>GST. COM NE5 (RN+PB)</v>
      </c>
      <c r="C481" s="28" t="str">
        <f>IFERROR(_xlfn.XLOOKUP(E481,[1]EMPREENDIMENTO!C:C,[1]EMPREENDIMENTO!A:A),"-")</f>
        <v>PARNAMIRIM</v>
      </c>
      <c r="D481" s="28" t="s">
        <v>29</v>
      </c>
      <c r="E481" s="28" t="s">
        <v>907</v>
      </c>
      <c r="F481" s="28" t="s">
        <v>36</v>
      </c>
      <c r="G481" s="28" t="s">
        <v>910</v>
      </c>
      <c r="H481" s="28">
        <v>42318</v>
      </c>
      <c r="I481" s="29">
        <f>IFERROR(_xlfn.XLOOKUP(E481,[1]EMPREENDIMENTO!C:C,[1]EMPREENDIMENTO!E:E),"0")</f>
        <v>552</v>
      </c>
      <c r="J481" s="30">
        <v>46808</v>
      </c>
      <c r="K481" s="28" t="s">
        <v>33</v>
      </c>
      <c r="L481" s="31">
        <v>46154</v>
      </c>
      <c r="M481" s="32">
        <v>167983034</v>
      </c>
      <c r="N481" s="32">
        <v>182559425</v>
      </c>
      <c r="O481" s="32">
        <v>178227348</v>
      </c>
      <c r="P481" s="28" t="s">
        <v>34</v>
      </c>
      <c r="Q481" s="28" t="s">
        <v>909</v>
      </c>
      <c r="R481" s="30">
        <v>46160</v>
      </c>
      <c r="S481" s="30">
        <v>46155</v>
      </c>
      <c r="T481" s="33"/>
      <c r="U481" s="34" t="str">
        <f>IFERROR(_xlfn.XLOOKUP(E481,[1]EMPREENDIMENTO!C:C,[1]EMPREENDIMENTO!D:D),"")</f>
        <v>6a7fe2a2-ab31-ec11-b2fe-005056895191</v>
      </c>
    </row>
    <row r="482" spans="1:21" hidden="1" x14ac:dyDescent="0.35">
      <c r="A482" s="28" t="str">
        <f>IFERROR(_xlfn.XLOOKUP(C482,[1]DIRETORIA!C:C,[1]DIRETORIA!A:A),"-")</f>
        <v>DIR. COM E CRED NE</v>
      </c>
      <c r="B482" s="28" t="str">
        <f>IFERROR(_xlfn.XLOOKUP(C482,[1]DIRETORIA!C:C,[1]DIRETORIA!B:B),"-")</f>
        <v>GST. COM NE5 (RN+PB)</v>
      </c>
      <c r="C482" s="28" t="str">
        <f>IFERROR(_xlfn.XLOOKUP(E482,[1]EMPREENDIMENTO!C:C,[1]EMPREENDIMENTO!A:A),"-")</f>
        <v>PARNAMIRIM</v>
      </c>
      <c r="D482" s="28" t="s">
        <v>29</v>
      </c>
      <c r="E482" s="28" t="s">
        <v>907</v>
      </c>
      <c r="F482" s="28" t="s">
        <v>39</v>
      </c>
      <c r="G482" s="28" t="s">
        <v>911</v>
      </c>
      <c r="H482" s="28">
        <v>50517</v>
      </c>
      <c r="I482" s="29">
        <f>IFERROR(_xlfn.XLOOKUP(E482,[1]EMPREENDIMENTO!C:C,[1]EMPREENDIMENTO!E:E),"0")</f>
        <v>552</v>
      </c>
      <c r="J482" s="30">
        <v>46808</v>
      </c>
      <c r="K482" s="28" t="s">
        <v>33</v>
      </c>
      <c r="L482" s="31">
        <v>46154</v>
      </c>
      <c r="M482" s="32">
        <v>167983034</v>
      </c>
      <c r="N482" s="32">
        <v>182559425</v>
      </c>
      <c r="O482" s="32">
        <v>178227348</v>
      </c>
      <c r="P482" s="28" t="s">
        <v>34</v>
      </c>
      <c r="Q482" s="28" t="s">
        <v>909</v>
      </c>
      <c r="R482" s="30">
        <v>46160</v>
      </c>
      <c r="S482" s="30">
        <v>46155</v>
      </c>
      <c r="T482" s="33"/>
      <c r="U482" s="34" t="str">
        <f>IFERROR(_xlfn.XLOOKUP(E482,[1]EMPREENDIMENTO!C:C,[1]EMPREENDIMENTO!D:D),"")</f>
        <v>6a7fe2a2-ab31-ec11-b2fe-005056895191</v>
      </c>
    </row>
    <row r="483" spans="1:21" hidden="1" x14ac:dyDescent="0.35">
      <c r="A483" s="28" t="str">
        <f>IFERROR(_xlfn.XLOOKUP(C483,[1]DIRETORIA!C:C,[1]DIRETORIA!A:A),"-")</f>
        <v>DIR. COM E CRED SUL</v>
      </c>
      <c r="B483" s="28" t="str">
        <f>IFERROR(_xlfn.XLOOKUP(C483,[1]DIRETORIA!C:C,[1]DIRETORIA!B:B),"-")</f>
        <v>GST. COM LONDRINA</v>
      </c>
      <c r="C483" s="28" t="str">
        <f>IFERROR(_xlfn.XLOOKUP(E483,[1]EMPREENDIMENTO!C:C,[1]EMPREENDIMENTO!A:A),"-")</f>
        <v>LONDRINA</v>
      </c>
      <c r="D483" s="28" t="s">
        <v>85</v>
      </c>
      <c r="E483" s="28" t="s">
        <v>912</v>
      </c>
      <c r="F483" s="28" t="s">
        <v>42</v>
      </c>
      <c r="G483" s="28" t="s">
        <v>913</v>
      </c>
      <c r="H483" s="28">
        <v>36015</v>
      </c>
      <c r="I483" s="29">
        <f>IFERROR(_xlfn.XLOOKUP(E483,[1]EMPREENDIMENTO!C:C,[1]EMPREENDIMENTO!E:E),"0")</f>
        <v>320</v>
      </c>
      <c r="J483" s="30"/>
      <c r="K483" s="28" t="s">
        <v>33</v>
      </c>
      <c r="L483" s="31">
        <v>46136</v>
      </c>
      <c r="M483" s="32">
        <v>155284000</v>
      </c>
      <c r="N483" s="32">
        <v>188814015</v>
      </c>
      <c r="O483" s="32">
        <v>171345700</v>
      </c>
      <c r="P483" s="28" t="s">
        <v>34</v>
      </c>
      <c r="Q483" s="28">
        <v>829857</v>
      </c>
      <c r="R483" s="30">
        <v>46181</v>
      </c>
      <c r="S483" s="30">
        <v>46167</v>
      </c>
      <c r="T483" s="33"/>
      <c r="U483" s="34" t="str">
        <f>IFERROR(_xlfn.XLOOKUP(E483,[1]EMPREENDIMENTO!C:C,[1]EMPREENDIMENTO!D:D),"")</f>
        <v>21e58dc0-ac06-ec11-a30e-0050568a2e98</v>
      </c>
    </row>
    <row r="484" spans="1:21" hidden="1" x14ac:dyDescent="0.35">
      <c r="A484" s="28" t="str">
        <f>IFERROR(_xlfn.XLOOKUP(C484,[1]DIRETORIA!C:C,[1]DIRETORIA!A:A),"-")</f>
        <v>DIR. COM E CRED RJ</v>
      </c>
      <c r="B484" s="28" t="str">
        <f>IFERROR(_xlfn.XLOOKUP(C484,[1]DIRETORIA!C:C,[1]DIRETORIA!B:B),"-")</f>
        <v>GST. COM RJ1</v>
      </c>
      <c r="C484" s="28" t="str">
        <f>IFERROR(_xlfn.XLOOKUP(E484,[1]EMPREENDIMENTO!C:C,[1]EMPREENDIMENTO!A:A),"-")</f>
        <v>RIO DE JANEIRO</v>
      </c>
      <c r="D484" s="28" t="s">
        <v>85</v>
      </c>
      <c r="E484" s="28" t="s">
        <v>914</v>
      </c>
      <c r="F484" s="28" t="s">
        <v>42</v>
      </c>
      <c r="G484" s="28" t="s">
        <v>915</v>
      </c>
      <c r="H484" s="28">
        <v>39071</v>
      </c>
      <c r="I484" s="29">
        <f>IFERROR(_xlfn.XLOOKUP(E484,[1]EMPREENDIMENTO!C:C,[1]EMPREENDIMENTO!E:E),"0")</f>
        <v>0</v>
      </c>
      <c r="J484" s="30"/>
      <c r="K484" s="28" t="s">
        <v>33</v>
      </c>
      <c r="L484" s="31">
        <v>45082</v>
      </c>
      <c r="M484" s="32">
        <v>26022000</v>
      </c>
      <c r="N484" s="32">
        <v>26022000</v>
      </c>
      <c r="O484" s="32">
        <v>22096000</v>
      </c>
      <c r="P484" s="28" t="s">
        <v>34</v>
      </c>
      <c r="Q484" s="28"/>
      <c r="R484" s="30"/>
      <c r="S484" s="30">
        <v>45082</v>
      </c>
      <c r="T484" s="33"/>
      <c r="U484" s="34" t="str">
        <f>IFERROR(_xlfn.XLOOKUP(E484,[1]EMPREENDIMENTO!C:C,[1]EMPREENDIMENTO!D:D),"")</f>
        <v>502ECF3F-F34B-EE11-9510-005056856875</v>
      </c>
    </row>
    <row r="485" spans="1:21" x14ac:dyDescent="0.35">
      <c r="A485" s="28" t="str">
        <f>IFERROR(_xlfn.XLOOKUP(C485,[1]DIRETORIA!C:C,[1]DIRETORIA!A:A),"-")</f>
        <v>DIR. COM E CRED SPI CP</v>
      </c>
      <c r="B485" s="28" t="str">
        <f>IFERROR(_xlfn.XLOOKUP(C485,[1]DIRETORIA!C:C,[1]DIRETORIA!B:B),"-")</f>
        <v>GST. COM CP3</v>
      </c>
      <c r="C485" s="28" t="str">
        <f>IFERROR(_xlfn.XLOOKUP(E485,[1]EMPREENDIMENTO!C:C,[1]EMPREENDIMENTO!A:A),"-")</f>
        <v>PIRACICABA</v>
      </c>
      <c r="D485" s="28" t="s">
        <v>29</v>
      </c>
      <c r="E485" s="28" t="s">
        <v>916</v>
      </c>
      <c r="F485" s="28" t="s">
        <v>31</v>
      </c>
      <c r="G485" s="28" t="s">
        <v>917</v>
      </c>
      <c r="H485" s="28">
        <v>25676</v>
      </c>
      <c r="I485" s="29">
        <f>IFERROR(_xlfn.XLOOKUP(E485,[1]EMPREENDIMENTO!C:C,[1]EMPREENDIMENTO!E:E),"0")</f>
        <v>440</v>
      </c>
      <c r="J485" s="30">
        <v>46371</v>
      </c>
      <c r="K485" s="28" t="s">
        <v>33</v>
      </c>
      <c r="L485" s="31">
        <v>45673</v>
      </c>
      <c r="M485" s="32">
        <v>119912500</v>
      </c>
      <c r="N485" s="32">
        <v>153049300</v>
      </c>
      <c r="O485" s="32">
        <v>135521200</v>
      </c>
      <c r="P485" s="28" t="s">
        <v>34</v>
      </c>
      <c r="Q485" s="28" t="s">
        <v>918</v>
      </c>
      <c r="R485" s="30">
        <v>45684</v>
      </c>
      <c r="S485" s="30">
        <v>45674</v>
      </c>
      <c r="T485" s="33"/>
      <c r="U485" s="34" t="str">
        <f>IFERROR(_xlfn.XLOOKUP(E485,[1]EMPREENDIMENTO!C:C,[1]EMPREENDIMENTO!D:D),"")</f>
        <v>c83fd037-18a4-e911-a878-0050568aa20f</v>
      </c>
    </row>
    <row r="486" spans="1:21" x14ac:dyDescent="0.35">
      <c r="A486" s="28" t="str">
        <f>IFERROR(_xlfn.XLOOKUP(C486,[1]DIRETORIA!C:C,[1]DIRETORIA!A:A),"-")</f>
        <v>DIR. COM E CRED SPI CP</v>
      </c>
      <c r="B486" s="28" t="str">
        <f>IFERROR(_xlfn.XLOOKUP(C486,[1]DIRETORIA!C:C,[1]DIRETORIA!B:B),"-")</f>
        <v>GST. COM CP3</v>
      </c>
      <c r="C486" s="28" t="str">
        <f>IFERROR(_xlfn.XLOOKUP(E486,[1]EMPREENDIMENTO!C:C,[1]EMPREENDIMENTO!A:A),"-")</f>
        <v>PIRACICABA</v>
      </c>
      <c r="D486" s="28" t="s">
        <v>29</v>
      </c>
      <c r="E486" s="28" t="s">
        <v>916</v>
      </c>
      <c r="F486" s="28" t="s">
        <v>36</v>
      </c>
      <c r="G486" s="28" t="s">
        <v>919</v>
      </c>
      <c r="H486" s="28">
        <v>27611</v>
      </c>
      <c r="I486" s="29">
        <f>IFERROR(_xlfn.XLOOKUP(E486,[1]EMPREENDIMENTO!C:C,[1]EMPREENDIMENTO!E:E),"0")</f>
        <v>440</v>
      </c>
      <c r="J486" s="30">
        <v>46371</v>
      </c>
      <c r="K486" s="28" t="s">
        <v>33</v>
      </c>
      <c r="L486" s="31">
        <v>45673</v>
      </c>
      <c r="M486" s="32">
        <v>119912500</v>
      </c>
      <c r="N486" s="32">
        <v>153049300</v>
      </c>
      <c r="O486" s="32">
        <v>135521200</v>
      </c>
      <c r="P486" s="28" t="s">
        <v>34</v>
      </c>
      <c r="Q486" s="28" t="s">
        <v>918</v>
      </c>
      <c r="R486" s="30">
        <v>45684</v>
      </c>
      <c r="S486" s="30">
        <v>45674</v>
      </c>
      <c r="T486" s="33"/>
      <c r="U486" s="34" t="str">
        <f>IFERROR(_xlfn.XLOOKUP(E486,[1]EMPREENDIMENTO!C:C,[1]EMPREENDIMENTO!D:D),"")</f>
        <v>c83fd037-18a4-e911-a878-0050568aa20f</v>
      </c>
    </row>
    <row r="487" spans="1:21" x14ac:dyDescent="0.35">
      <c r="A487" s="28" t="str">
        <f>IFERROR(_xlfn.XLOOKUP(C487,[1]DIRETORIA!C:C,[1]DIRETORIA!A:A),"-")</f>
        <v>DIR. COM E CRED SPI CP</v>
      </c>
      <c r="B487" s="28" t="str">
        <f>IFERROR(_xlfn.XLOOKUP(C487,[1]DIRETORIA!C:C,[1]DIRETORIA!B:B),"-")</f>
        <v>GST. COM CP3</v>
      </c>
      <c r="C487" s="28" t="str">
        <f>IFERROR(_xlfn.XLOOKUP(E487,[1]EMPREENDIMENTO!C:C,[1]EMPREENDIMENTO!A:A),"-")</f>
        <v>PIRACICABA</v>
      </c>
      <c r="D487" s="28" t="s">
        <v>29</v>
      </c>
      <c r="E487" s="28" t="s">
        <v>916</v>
      </c>
      <c r="F487" s="28" t="s">
        <v>39</v>
      </c>
      <c r="G487" s="28" t="s">
        <v>920</v>
      </c>
      <c r="H487" s="28">
        <v>27749</v>
      </c>
      <c r="I487" s="29">
        <f>IFERROR(_xlfn.XLOOKUP(E487,[1]EMPREENDIMENTO!C:C,[1]EMPREENDIMENTO!E:E),"0")</f>
        <v>440</v>
      </c>
      <c r="J487" s="30">
        <v>46371</v>
      </c>
      <c r="K487" s="28" t="s">
        <v>33</v>
      </c>
      <c r="L487" s="31">
        <v>45673</v>
      </c>
      <c r="M487" s="32">
        <v>119912500</v>
      </c>
      <c r="N487" s="32">
        <v>153049300</v>
      </c>
      <c r="O487" s="32">
        <v>135521200</v>
      </c>
      <c r="P487" s="28" t="s">
        <v>34</v>
      </c>
      <c r="Q487" s="28" t="s">
        <v>918</v>
      </c>
      <c r="R487" s="30">
        <v>45684</v>
      </c>
      <c r="S487" s="30">
        <v>45674</v>
      </c>
      <c r="T487" s="33"/>
      <c r="U487" s="34" t="str">
        <f>IFERROR(_xlfn.XLOOKUP(E487,[1]EMPREENDIMENTO!C:C,[1]EMPREENDIMENTO!D:D),"")</f>
        <v>c83fd037-18a4-e911-a878-0050568aa20f</v>
      </c>
    </row>
    <row r="488" spans="1:21" hidden="1" x14ac:dyDescent="0.35">
      <c r="A488" s="28" t="str">
        <f>IFERROR(_xlfn.XLOOKUP(C488,[1]DIRETORIA!C:C,[1]DIRETORIA!A:A),"-")</f>
        <v>DIR. COM E CRED NE</v>
      </c>
      <c r="B488" s="28" t="str">
        <f>IFERROR(_xlfn.XLOOKUP(C488,[1]DIRETORIA!C:C,[1]DIRETORIA!B:B),"-")</f>
        <v>GST. COM NE1 (BA 1)</v>
      </c>
      <c r="C488" s="28" t="str">
        <f>IFERROR(_xlfn.XLOOKUP(E488,[1]EMPREENDIMENTO!C:C,[1]EMPREENDIMENTO!A:A),"-")</f>
        <v>SALVADOR</v>
      </c>
      <c r="D488" s="28" t="s">
        <v>29</v>
      </c>
      <c r="E488" s="28" t="s">
        <v>921</v>
      </c>
      <c r="F488" s="28" t="s">
        <v>42</v>
      </c>
      <c r="G488" s="28" t="s">
        <v>922</v>
      </c>
      <c r="H488" s="28">
        <v>34337</v>
      </c>
      <c r="I488" s="29">
        <f>IFERROR(_xlfn.XLOOKUP(E488,[1]EMPREENDIMENTO!C:C,[1]EMPREENDIMENTO!E:E),"0")</f>
        <v>480</v>
      </c>
      <c r="J488" s="30"/>
      <c r="K488" s="28" t="s">
        <v>164</v>
      </c>
      <c r="L488" s="31">
        <v>46190</v>
      </c>
      <c r="M488" s="32">
        <v>127946900</v>
      </c>
      <c r="N488" s="32">
        <v>144547526</v>
      </c>
      <c r="O488" s="32">
        <v>139732398</v>
      </c>
      <c r="P488" s="28" t="s">
        <v>34</v>
      </c>
      <c r="Q488" s="28" t="s">
        <v>923</v>
      </c>
      <c r="R488" s="30">
        <v>46232</v>
      </c>
      <c r="S488" s="30">
        <v>46192</v>
      </c>
      <c r="T488" s="33"/>
      <c r="U488" s="34" t="str">
        <f>IFERROR(_xlfn.XLOOKUP(E488,[1]EMPREENDIMENTO!C:C,[1]EMPREENDIMENTO!D:D),"")</f>
        <v>d4918d39-690c-e611-a5bb-009c02b0cb58</v>
      </c>
    </row>
    <row r="489" spans="1:21" hidden="1" x14ac:dyDescent="0.35">
      <c r="A489" s="28" t="str">
        <f>IFERROR(_xlfn.XLOOKUP(C489,[1]DIRETORIA!C:C,[1]DIRETORIA!A:A),"-")</f>
        <v>DIR. COM E CRED SUL</v>
      </c>
      <c r="B489" s="28" t="str">
        <f>IFERROR(_xlfn.XLOOKUP(C489,[1]DIRETORIA!C:C,[1]DIRETORIA!B:B),"-")</f>
        <v>GST. COM SC</v>
      </c>
      <c r="C489" s="28" t="str">
        <f>IFERROR(_xlfn.XLOOKUP(E489,[1]EMPREENDIMENTO!C:C,[1]EMPREENDIMENTO!A:A),"-")</f>
        <v>PALHOÇA</v>
      </c>
      <c r="D489" s="28" t="s">
        <v>29</v>
      </c>
      <c r="E489" s="28" t="s">
        <v>924</v>
      </c>
      <c r="F489" s="28" t="s">
        <v>31</v>
      </c>
      <c r="G489" s="28" t="s">
        <v>925</v>
      </c>
      <c r="H489" s="28">
        <v>37111</v>
      </c>
      <c r="I489" s="29">
        <f>IFERROR(_xlfn.XLOOKUP(E489,[1]EMPREENDIMENTO!C:C,[1]EMPREENDIMENTO!E:E),"0")</f>
        <v>288</v>
      </c>
      <c r="J489" s="30">
        <v>46538</v>
      </c>
      <c r="K489" s="28" t="s">
        <v>164</v>
      </c>
      <c r="L489" s="31">
        <v>45518</v>
      </c>
      <c r="M489" s="32">
        <v>65735000</v>
      </c>
      <c r="N489" s="32">
        <v>68781300</v>
      </c>
      <c r="O489" s="32">
        <v>68138000</v>
      </c>
      <c r="P489" s="28" t="s">
        <v>34</v>
      </c>
      <c r="Q489" s="28" t="s">
        <v>926</v>
      </c>
      <c r="R489" s="30">
        <v>45523</v>
      </c>
      <c r="S489" s="30">
        <v>45519</v>
      </c>
      <c r="T489" s="33"/>
      <c r="U489" s="34" t="str">
        <f>IFERROR(_xlfn.XLOOKUP(E489,[1]EMPREENDIMENTO!C:C,[1]EMPREENDIMENTO!D:D),"")</f>
        <v>40333ee4-75cd-ec11-ba45-005056890018</v>
      </c>
    </row>
    <row r="490" spans="1:21" hidden="1" x14ac:dyDescent="0.35">
      <c r="A490" s="28" t="str">
        <f>IFERROR(_xlfn.XLOOKUP(C490,[1]DIRETORIA!C:C,[1]DIRETORIA!A:A),"-")</f>
        <v>DIR. COM E CRED SUL</v>
      </c>
      <c r="B490" s="28" t="str">
        <f>IFERROR(_xlfn.XLOOKUP(C490,[1]DIRETORIA!C:C,[1]DIRETORIA!B:B),"-")</f>
        <v>GST. COM SC</v>
      </c>
      <c r="C490" s="28" t="str">
        <f>IFERROR(_xlfn.XLOOKUP(E490,[1]EMPREENDIMENTO!C:C,[1]EMPREENDIMENTO!A:A),"-")</f>
        <v>PALHOÇA</v>
      </c>
      <c r="D490" s="28" t="s">
        <v>29</v>
      </c>
      <c r="E490" s="28" t="s">
        <v>924</v>
      </c>
      <c r="F490" s="28" t="s">
        <v>36</v>
      </c>
      <c r="G490" s="28" t="s">
        <v>927</v>
      </c>
      <c r="H490" s="28">
        <v>44189</v>
      </c>
      <c r="I490" s="29">
        <f>IFERROR(_xlfn.XLOOKUP(E490,[1]EMPREENDIMENTO!C:C,[1]EMPREENDIMENTO!E:E),"0")</f>
        <v>288</v>
      </c>
      <c r="J490" s="30">
        <v>46538</v>
      </c>
      <c r="K490" s="28" t="s">
        <v>164</v>
      </c>
      <c r="L490" s="31">
        <v>45518</v>
      </c>
      <c r="M490" s="32">
        <v>65735000</v>
      </c>
      <c r="N490" s="32">
        <v>68781300</v>
      </c>
      <c r="O490" s="32">
        <v>68138000</v>
      </c>
      <c r="P490" s="28" t="s">
        <v>34</v>
      </c>
      <c r="Q490" s="28" t="s">
        <v>926</v>
      </c>
      <c r="R490" s="30">
        <v>45523</v>
      </c>
      <c r="S490" s="30">
        <v>45519</v>
      </c>
      <c r="T490" s="33"/>
      <c r="U490" s="34" t="str">
        <f>IFERROR(_xlfn.XLOOKUP(E490,[1]EMPREENDIMENTO!C:C,[1]EMPREENDIMENTO!D:D),"")</f>
        <v>40333ee4-75cd-ec11-ba45-005056890018</v>
      </c>
    </row>
    <row r="491" spans="1:21" hidden="1" x14ac:dyDescent="0.35">
      <c r="A491" s="28" t="str">
        <f>IFERROR(_xlfn.XLOOKUP(C491,[1]DIRETORIA!C:C,[1]DIRETORIA!A:A),"-")</f>
        <v>DIR. COM E CRED SUL</v>
      </c>
      <c r="B491" s="28" t="str">
        <f>IFERROR(_xlfn.XLOOKUP(C491,[1]DIRETORIA!C:C,[1]DIRETORIA!B:B),"-")</f>
        <v>GST. COM RS NORTE</v>
      </c>
      <c r="C491" s="28" t="str">
        <f>IFERROR(_xlfn.XLOOKUP(E491,[1]EMPREENDIMENTO!C:C,[1]EMPREENDIMENTO!A:A),"-")</f>
        <v>NOVO HAMBURGO</v>
      </c>
      <c r="D491" s="28" t="s">
        <v>85</v>
      </c>
      <c r="E491" s="28" t="s">
        <v>928</v>
      </c>
      <c r="F491" s="28" t="s">
        <v>42</v>
      </c>
      <c r="G491" s="28" t="s">
        <v>929</v>
      </c>
      <c r="H491" s="28">
        <v>64425</v>
      </c>
      <c r="I491" s="29">
        <f>IFERROR(_xlfn.XLOOKUP(E491,[1]EMPREENDIMENTO!C:C,[1]EMPREENDIMENTO!E:E),"0")</f>
        <v>200</v>
      </c>
      <c r="J491" s="30"/>
      <c r="K491" s="28" t="s">
        <v>33</v>
      </c>
      <c r="L491" s="31">
        <v>46216</v>
      </c>
      <c r="M491" s="32">
        <v>54172313</v>
      </c>
      <c r="N491" s="32">
        <v>54172313</v>
      </c>
      <c r="O491" s="32">
        <v>47914000</v>
      </c>
      <c r="P491" s="28" t="s">
        <v>6</v>
      </c>
      <c r="Q491" s="28">
        <v>865264</v>
      </c>
      <c r="R491" s="30">
        <v>46265</v>
      </c>
      <c r="S491" s="30">
        <v>46251</v>
      </c>
      <c r="T491" s="33"/>
      <c r="U491" s="34" t="str">
        <f>IFERROR(_xlfn.XLOOKUP(E491,[1]EMPREENDIMENTO!C:C,[1]EMPREENDIMENTO!D:D),"")</f>
        <v>5E998D12-D1B8-EB11-9465-0050568AA20F</v>
      </c>
    </row>
    <row r="492" spans="1:21" hidden="1" x14ac:dyDescent="0.35">
      <c r="A492" s="28" t="str">
        <f>IFERROR(_xlfn.XLOOKUP(C492,[1]DIRETORIA!C:C,[1]DIRETORIA!A:A),"-")</f>
        <v>DIR. COM E CRED NE</v>
      </c>
      <c r="B492" s="28" t="str">
        <f>IFERROR(_xlfn.XLOOKUP(C492,[1]DIRETORIA!C:C,[1]DIRETORIA!B:B),"-")</f>
        <v>GST. COM NE4 (CE)</v>
      </c>
      <c r="C492" s="28" t="str">
        <f>IFERROR(_xlfn.XLOOKUP(E492,[1]EMPREENDIMENTO!C:C,[1]EMPREENDIMENTO!A:A),"-")</f>
        <v>FORTALEZA</v>
      </c>
      <c r="D492" s="28" t="s">
        <v>29</v>
      </c>
      <c r="E492" s="28" t="s">
        <v>930</v>
      </c>
      <c r="F492" s="28" t="s">
        <v>31</v>
      </c>
      <c r="G492" s="28" t="s">
        <v>931</v>
      </c>
      <c r="H492" s="28">
        <v>38990</v>
      </c>
      <c r="I492" s="29">
        <f>IFERROR(_xlfn.XLOOKUP(E492,[1]EMPREENDIMENTO!C:C,[1]EMPREENDIMENTO!E:E),"0")</f>
        <v>260</v>
      </c>
      <c r="J492" s="30">
        <v>46565</v>
      </c>
      <c r="K492" s="28" t="s">
        <v>33</v>
      </c>
      <c r="L492" s="31">
        <v>45552</v>
      </c>
      <c r="M492" s="32">
        <v>53257600</v>
      </c>
      <c r="N492" s="32">
        <v>58343780</v>
      </c>
      <c r="O492" s="32">
        <v>56801735</v>
      </c>
      <c r="P492" s="28" t="s">
        <v>34</v>
      </c>
      <c r="Q492" s="28" t="s">
        <v>932</v>
      </c>
      <c r="R492" s="30">
        <v>45565</v>
      </c>
      <c r="S492" s="30">
        <v>45552</v>
      </c>
      <c r="T492" s="33"/>
      <c r="U492" s="34" t="str">
        <f>IFERROR(_xlfn.XLOOKUP(E492,[1]EMPREENDIMENTO!C:C,[1]EMPREENDIMENTO!D:D),"")</f>
        <v>ac1f0e54-142e-ed11-b1ad-005056856875</v>
      </c>
    </row>
    <row r="493" spans="1:21" hidden="1" x14ac:dyDescent="0.35">
      <c r="A493" s="28" t="str">
        <f>IFERROR(_xlfn.XLOOKUP(C493,[1]DIRETORIA!C:C,[1]DIRETORIA!A:A),"-")</f>
        <v>DIR. COM E CRED NE</v>
      </c>
      <c r="B493" s="28" t="str">
        <f>IFERROR(_xlfn.XLOOKUP(C493,[1]DIRETORIA!C:C,[1]DIRETORIA!B:B),"-")</f>
        <v>GST. COM NE4 (CE)</v>
      </c>
      <c r="C493" s="28" t="str">
        <f>IFERROR(_xlfn.XLOOKUP(E493,[1]EMPREENDIMENTO!C:C,[1]EMPREENDIMENTO!A:A),"-")</f>
        <v>FORTALEZA</v>
      </c>
      <c r="D493" s="28" t="s">
        <v>29</v>
      </c>
      <c r="E493" s="28" t="s">
        <v>930</v>
      </c>
      <c r="F493" s="28" t="s">
        <v>36</v>
      </c>
      <c r="G493" s="28" t="s">
        <v>933</v>
      </c>
      <c r="H493" s="28">
        <v>44089</v>
      </c>
      <c r="I493" s="29">
        <f>IFERROR(_xlfn.XLOOKUP(E493,[1]EMPREENDIMENTO!C:C,[1]EMPREENDIMENTO!E:E),"0")</f>
        <v>260</v>
      </c>
      <c r="J493" s="30">
        <v>46565</v>
      </c>
      <c r="K493" s="28" t="s">
        <v>33</v>
      </c>
      <c r="L493" s="31">
        <v>45552</v>
      </c>
      <c r="M493" s="32">
        <v>53257600</v>
      </c>
      <c r="N493" s="32">
        <v>58343780</v>
      </c>
      <c r="O493" s="32">
        <v>56801735</v>
      </c>
      <c r="P493" s="28" t="s">
        <v>34</v>
      </c>
      <c r="Q493" s="28" t="s">
        <v>932</v>
      </c>
      <c r="R493" s="30">
        <v>45565</v>
      </c>
      <c r="S493" s="30">
        <v>45552</v>
      </c>
      <c r="T493" s="33"/>
      <c r="U493" s="34" t="str">
        <f>IFERROR(_xlfn.XLOOKUP(E493,[1]EMPREENDIMENTO!C:C,[1]EMPREENDIMENTO!D:D),"")</f>
        <v>ac1f0e54-142e-ed11-b1ad-005056856875</v>
      </c>
    </row>
    <row r="494" spans="1:21" hidden="1" x14ac:dyDescent="0.35">
      <c r="A494" s="28" t="str">
        <f>IFERROR(_xlfn.XLOOKUP(C494,[1]DIRETORIA!C:C,[1]DIRETORIA!A:A),"-")</f>
        <v>DIR. COM E CRED NE</v>
      </c>
      <c r="B494" s="28" t="str">
        <f>IFERROR(_xlfn.XLOOKUP(C494,[1]DIRETORIA!C:C,[1]DIRETORIA!B:B),"-")</f>
        <v>GST. COM NE4 (CE)</v>
      </c>
      <c r="C494" s="28" t="str">
        <f>IFERROR(_xlfn.XLOOKUP(E494,[1]EMPREENDIMENTO!C:C,[1]EMPREENDIMENTO!A:A),"-")</f>
        <v>FORTALEZA</v>
      </c>
      <c r="D494" s="28" t="s">
        <v>29</v>
      </c>
      <c r="E494" s="28" t="s">
        <v>930</v>
      </c>
      <c r="F494" s="28" t="s">
        <v>39</v>
      </c>
      <c r="G494" s="28" t="s">
        <v>934</v>
      </c>
      <c r="H494" s="28">
        <v>45233</v>
      </c>
      <c r="I494" s="29">
        <f>IFERROR(_xlfn.XLOOKUP(E494,[1]EMPREENDIMENTO!C:C,[1]EMPREENDIMENTO!E:E),"0")</f>
        <v>260</v>
      </c>
      <c r="J494" s="30">
        <v>46565</v>
      </c>
      <c r="K494" s="28" t="s">
        <v>33</v>
      </c>
      <c r="L494" s="31">
        <v>45552</v>
      </c>
      <c r="M494" s="32">
        <v>53257600</v>
      </c>
      <c r="N494" s="32">
        <v>58343780</v>
      </c>
      <c r="O494" s="32">
        <v>56801735</v>
      </c>
      <c r="P494" s="28" t="s">
        <v>34</v>
      </c>
      <c r="Q494" s="28" t="s">
        <v>932</v>
      </c>
      <c r="R494" s="30">
        <v>45565</v>
      </c>
      <c r="S494" s="30">
        <v>45552</v>
      </c>
      <c r="T494" s="33"/>
      <c r="U494" s="34" t="str">
        <f>IFERROR(_xlfn.XLOOKUP(E494,[1]EMPREENDIMENTO!C:C,[1]EMPREENDIMENTO!D:D),"")</f>
        <v>ac1f0e54-142e-ed11-b1ad-005056856875</v>
      </c>
    </row>
    <row r="495" spans="1:21" hidden="1" x14ac:dyDescent="0.35">
      <c r="A495" s="28" t="str">
        <f>IFERROR(_xlfn.XLOOKUP(C495,[1]DIRETORIA!C:C,[1]DIRETORIA!A:A),"-")</f>
        <v>DIR. COM E CRED SUL</v>
      </c>
      <c r="B495" s="28" t="str">
        <f>IFERROR(_xlfn.XLOOKUP(C495,[1]DIRETORIA!C:C,[1]DIRETORIA!B:B),"-")</f>
        <v>GST. COM LONDRINA</v>
      </c>
      <c r="C495" s="28" t="str">
        <f>IFERROR(_xlfn.XLOOKUP(E495,[1]EMPREENDIMENTO!C:C,[1]EMPREENDIMENTO!A:A),"-")</f>
        <v>MARINGÁ</v>
      </c>
      <c r="D495" s="28" t="s">
        <v>29</v>
      </c>
      <c r="E495" s="28" t="s">
        <v>935</v>
      </c>
      <c r="F495" s="28" t="s">
        <v>31</v>
      </c>
      <c r="G495" s="28" t="s">
        <v>936</v>
      </c>
      <c r="H495" s="28">
        <v>38734</v>
      </c>
      <c r="I495" s="29">
        <f>IFERROR(_xlfn.XLOOKUP(E495,[1]EMPREENDIMENTO!C:C,[1]EMPREENDIMENTO!E:E),"0")</f>
        <v>288</v>
      </c>
      <c r="J495" s="30"/>
      <c r="K495" s="28" t="s">
        <v>33</v>
      </c>
      <c r="L495" s="31">
        <v>45938</v>
      </c>
      <c r="M495" s="32">
        <v>81725263</v>
      </c>
      <c r="N495" s="32">
        <v>86310990</v>
      </c>
      <c r="O495" s="32">
        <v>82930477.75</v>
      </c>
      <c r="P495" s="28" t="s">
        <v>34</v>
      </c>
      <c r="Q495" s="28">
        <v>724618</v>
      </c>
      <c r="R495" s="30">
        <v>45933</v>
      </c>
      <c r="S495" s="30">
        <v>45939</v>
      </c>
      <c r="T495" s="33" t="s">
        <v>937</v>
      </c>
      <c r="U495" s="34" t="str">
        <f>IFERROR(_xlfn.XLOOKUP(E495,[1]EMPREENDIMENTO!C:C,[1]EMPREENDIMENTO!D:D),"")</f>
        <v>7ce56739-5028-eb11-85d0-005056856875</v>
      </c>
    </row>
    <row r="496" spans="1:21" hidden="1" x14ac:dyDescent="0.35">
      <c r="A496" s="28" t="str">
        <f>IFERROR(_xlfn.XLOOKUP(C496,[1]DIRETORIA!C:C,[1]DIRETORIA!A:A),"-")</f>
        <v>DIR. COM E CRED SUL</v>
      </c>
      <c r="B496" s="28" t="str">
        <f>IFERROR(_xlfn.XLOOKUP(C496,[1]DIRETORIA!C:C,[1]DIRETORIA!B:B),"-")</f>
        <v>GST. COM LONDRINA</v>
      </c>
      <c r="C496" s="28" t="str">
        <f>IFERROR(_xlfn.XLOOKUP(E496,[1]EMPREENDIMENTO!C:C,[1]EMPREENDIMENTO!A:A),"-")</f>
        <v>MARINGÁ</v>
      </c>
      <c r="D496" s="28" t="s">
        <v>85</v>
      </c>
      <c r="E496" s="28" t="s">
        <v>935</v>
      </c>
      <c r="F496" s="28" t="s">
        <v>36</v>
      </c>
      <c r="G496" s="28" t="s">
        <v>844</v>
      </c>
      <c r="H496" s="28" t="s">
        <v>844</v>
      </c>
      <c r="I496" s="29">
        <f>IFERROR(_xlfn.XLOOKUP(E496,[1]EMPREENDIMENTO!C:C,[1]EMPREENDIMENTO!E:E),"0")</f>
        <v>288</v>
      </c>
      <c r="J496" s="30"/>
      <c r="K496" s="28" t="s">
        <v>33</v>
      </c>
      <c r="L496" s="31">
        <v>45938</v>
      </c>
      <c r="M496" s="32">
        <v>81725263</v>
      </c>
      <c r="N496" s="32">
        <v>86310990</v>
      </c>
      <c r="O496" s="32">
        <v>82930477.75</v>
      </c>
      <c r="P496" s="28" t="s">
        <v>34</v>
      </c>
      <c r="Q496" s="28">
        <v>724618</v>
      </c>
      <c r="R496" s="30">
        <v>45933</v>
      </c>
      <c r="S496" s="30">
        <v>45939</v>
      </c>
      <c r="T496" s="33" t="s">
        <v>937</v>
      </c>
      <c r="U496" s="34" t="str">
        <f>IFERROR(_xlfn.XLOOKUP(E496,[1]EMPREENDIMENTO!C:C,[1]EMPREENDIMENTO!D:D),"")</f>
        <v>7ce56739-5028-eb11-85d0-005056856875</v>
      </c>
    </row>
    <row r="497" spans="1:21" hidden="1" x14ac:dyDescent="0.35">
      <c r="A497" s="28" t="str">
        <f>IFERROR(_xlfn.XLOOKUP(C497,[1]DIRETORIA!C:C,[1]DIRETORIA!A:A),"-")</f>
        <v>DIR. COM E CRED SUL</v>
      </c>
      <c r="B497" s="28" t="str">
        <f>IFERROR(_xlfn.XLOOKUP(C497,[1]DIRETORIA!C:C,[1]DIRETORIA!B:B),"-")</f>
        <v>GST. COM LONDRINA</v>
      </c>
      <c r="C497" s="28" t="str">
        <f>IFERROR(_xlfn.XLOOKUP(E497,[1]EMPREENDIMENTO!C:C,[1]EMPREENDIMENTO!A:A),"-")</f>
        <v>LONDRINA</v>
      </c>
      <c r="D497" s="28" t="s">
        <v>29</v>
      </c>
      <c r="E497" s="28" t="s">
        <v>938</v>
      </c>
      <c r="F497" s="28" t="s">
        <v>31</v>
      </c>
      <c r="G497" s="28" t="s">
        <v>939</v>
      </c>
      <c r="H497" s="28">
        <v>39223</v>
      </c>
      <c r="I497" s="29">
        <f>IFERROR(_xlfn.XLOOKUP(E497,[1]EMPREENDIMENTO!C:C,[1]EMPREENDIMENTO!E:E),"0")</f>
        <v>436</v>
      </c>
      <c r="J497" s="30">
        <v>46804</v>
      </c>
      <c r="K497" s="28" t="s">
        <v>33</v>
      </c>
      <c r="L497" s="31">
        <v>45869</v>
      </c>
      <c r="M497" s="32">
        <v>101087034</v>
      </c>
      <c r="N497" s="32">
        <v>104936000</v>
      </c>
      <c r="O497" s="32">
        <v>103816802</v>
      </c>
      <c r="P497" s="28" t="s">
        <v>2</v>
      </c>
      <c r="Q497" s="28" t="s">
        <v>940</v>
      </c>
      <c r="R497" s="30">
        <v>46279</v>
      </c>
      <c r="S497" s="30"/>
      <c r="T497" s="33"/>
      <c r="U497" s="34" t="str">
        <f>IFERROR(_xlfn.XLOOKUP(E497,[1]EMPREENDIMENTO!C:C,[1]EMPREENDIMENTO!D:D),"")</f>
        <v>02613cf4-2302-ed11-ba45-005056890018</v>
      </c>
    </row>
    <row r="498" spans="1:21" hidden="1" x14ac:dyDescent="0.35">
      <c r="A498" s="28" t="str">
        <f>IFERROR(_xlfn.XLOOKUP(C498,[1]DIRETORIA!C:C,[1]DIRETORIA!A:A),"-")</f>
        <v>DIR. COM E CRED SUL</v>
      </c>
      <c r="B498" s="28" t="str">
        <f>IFERROR(_xlfn.XLOOKUP(C498,[1]DIRETORIA!C:C,[1]DIRETORIA!B:B),"-")</f>
        <v>GST. COM LONDRINA</v>
      </c>
      <c r="C498" s="28" t="str">
        <f>IFERROR(_xlfn.XLOOKUP(E498,[1]EMPREENDIMENTO!C:C,[1]EMPREENDIMENTO!A:A),"-")</f>
        <v>LONDRINA</v>
      </c>
      <c r="D498" s="28" t="s">
        <v>29</v>
      </c>
      <c r="E498" s="28" t="s">
        <v>938</v>
      </c>
      <c r="F498" s="28" t="s">
        <v>36</v>
      </c>
      <c r="G498" s="28" t="s">
        <v>941</v>
      </c>
      <c r="H498" s="28">
        <v>46070</v>
      </c>
      <c r="I498" s="29">
        <f>IFERROR(_xlfn.XLOOKUP(E498,[1]EMPREENDIMENTO!C:C,[1]EMPREENDIMENTO!E:E),"0")</f>
        <v>436</v>
      </c>
      <c r="J498" s="30">
        <v>46804</v>
      </c>
      <c r="K498" s="28" t="s">
        <v>33</v>
      </c>
      <c r="L498" s="31">
        <v>45869</v>
      </c>
      <c r="M498" s="32">
        <v>101087034</v>
      </c>
      <c r="N498" s="32">
        <v>104936000</v>
      </c>
      <c r="O498" s="32">
        <v>103816802</v>
      </c>
      <c r="P498" s="28" t="s">
        <v>2</v>
      </c>
      <c r="Q498" s="28" t="s">
        <v>940</v>
      </c>
      <c r="R498" s="30">
        <v>46279</v>
      </c>
      <c r="S498" s="30"/>
      <c r="T498" s="33"/>
      <c r="U498" s="34" t="str">
        <f>IFERROR(_xlfn.XLOOKUP(E498,[1]EMPREENDIMENTO!C:C,[1]EMPREENDIMENTO!D:D),"")</f>
        <v>02613cf4-2302-ed11-ba45-005056890018</v>
      </c>
    </row>
    <row r="499" spans="1:21" hidden="1" x14ac:dyDescent="0.35">
      <c r="A499" s="28" t="str">
        <f>IFERROR(_xlfn.XLOOKUP(C499,[1]DIRETORIA!C:C,[1]DIRETORIA!A:A),"-")</f>
        <v>DIR. COM E CRED SUL</v>
      </c>
      <c r="B499" s="28" t="str">
        <f>IFERROR(_xlfn.XLOOKUP(C499,[1]DIRETORIA!C:C,[1]DIRETORIA!B:B),"-")</f>
        <v>GST. COM LONDRINA</v>
      </c>
      <c r="C499" s="28" t="str">
        <f>IFERROR(_xlfn.XLOOKUP(E499,[1]EMPREENDIMENTO!C:C,[1]EMPREENDIMENTO!A:A),"-")</f>
        <v>LONDRINA</v>
      </c>
      <c r="D499" s="28" t="s">
        <v>29</v>
      </c>
      <c r="E499" s="28" t="s">
        <v>938</v>
      </c>
      <c r="F499" s="28" t="s">
        <v>39</v>
      </c>
      <c r="G499" s="28" t="s">
        <v>942</v>
      </c>
      <c r="H499" s="28">
        <v>51340</v>
      </c>
      <c r="I499" s="29">
        <f>IFERROR(_xlfn.XLOOKUP(E499,[1]EMPREENDIMENTO!C:C,[1]EMPREENDIMENTO!E:E),"0")</f>
        <v>436</v>
      </c>
      <c r="J499" s="30">
        <v>46804</v>
      </c>
      <c r="K499" s="28" t="s">
        <v>33</v>
      </c>
      <c r="L499" s="31">
        <v>45869</v>
      </c>
      <c r="M499" s="32">
        <v>101087034</v>
      </c>
      <c r="N499" s="32">
        <v>104936000</v>
      </c>
      <c r="O499" s="32">
        <v>103816802</v>
      </c>
      <c r="P499" s="28" t="s">
        <v>2</v>
      </c>
      <c r="Q499" s="28" t="s">
        <v>940</v>
      </c>
      <c r="R499" s="30">
        <v>46279</v>
      </c>
      <c r="S499" s="30"/>
      <c r="T499" s="33"/>
      <c r="U499" s="34" t="str">
        <f>IFERROR(_xlfn.XLOOKUP(E499,[1]EMPREENDIMENTO!C:C,[1]EMPREENDIMENTO!D:D),"")</f>
        <v>02613cf4-2302-ed11-ba45-005056890018</v>
      </c>
    </row>
    <row r="500" spans="1:21" hidden="1" x14ac:dyDescent="0.35">
      <c r="A500" s="28" t="str">
        <f>IFERROR(_xlfn.XLOOKUP(C500,[1]DIRETORIA!C:C,[1]DIRETORIA!A:A),"-")</f>
        <v>DIR. COM E CRED CO E AM</v>
      </c>
      <c r="B500" s="28" t="str">
        <f>IFERROR(_xlfn.XLOOKUP(C500,[1]DIRETORIA!C:C,[1]DIRETORIA!B:B),"-")</f>
        <v>GST. COM AM</v>
      </c>
      <c r="C500" s="28" t="str">
        <f>IFERROR(_xlfn.XLOOKUP(E500,[1]EMPREENDIMENTO!C:C,[1]EMPREENDIMENTO!A:A),"-")</f>
        <v>MANAUS</v>
      </c>
      <c r="D500" s="28" t="s">
        <v>29</v>
      </c>
      <c r="E500" s="28" t="s">
        <v>943</v>
      </c>
      <c r="F500" s="28" t="s">
        <v>31</v>
      </c>
      <c r="G500" s="28" t="s">
        <v>944</v>
      </c>
      <c r="H500" s="28">
        <v>34954</v>
      </c>
      <c r="I500" s="29">
        <f>IFERROR(_xlfn.XLOOKUP(E500,[1]EMPREENDIMENTO!C:C,[1]EMPREENDIMENTO!E:E),"0")</f>
        <v>780</v>
      </c>
      <c r="J500" s="30"/>
      <c r="K500" s="28" t="s">
        <v>33</v>
      </c>
      <c r="L500" s="31">
        <v>46134</v>
      </c>
      <c r="M500" s="32">
        <v>176837900</v>
      </c>
      <c r="N500" s="32">
        <v>192437900</v>
      </c>
      <c r="O500" s="32">
        <v>181276300</v>
      </c>
      <c r="P500" s="28" t="s">
        <v>34</v>
      </c>
      <c r="Q500" s="28" t="s">
        <v>945</v>
      </c>
      <c r="R500" s="30">
        <v>46258</v>
      </c>
      <c r="S500" s="30">
        <v>46252</v>
      </c>
      <c r="T500" s="33"/>
      <c r="U500" s="34" t="str">
        <f>IFERROR(_xlfn.XLOOKUP(E500,[1]EMPREENDIMENTO!C:C,[1]EMPREENDIMENTO!D:D),"")</f>
        <v>1cffb993-119f-ec11-b501-005056856b6c</v>
      </c>
    </row>
    <row r="501" spans="1:21" hidden="1" x14ac:dyDescent="0.35">
      <c r="A501" s="28" t="str">
        <f>IFERROR(_xlfn.XLOOKUP(C501,[1]DIRETORIA!C:C,[1]DIRETORIA!A:A),"-")</f>
        <v>DIR. COM E CRED CO E AM</v>
      </c>
      <c r="B501" s="28" t="str">
        <f>IFERROR(_xlfn.XLOOKUP(C501,[1]DIRETORIA!C:C,[1]DIRETORIA!B:B),"-")</f>
        <v>GST. COM AM</v>
      </c>
      <c r="C501" s="28" t="str">
        <f>IFERROR(_xlfn.XLOOKUP(E501,[1]EMPREENDIMENTO!C:C,[1]EMPREENDIMENTO!A:A),"-")</f>
        <v>MANAUS</v>
      </c>
      <c r="D501" s="28" t="s">
        <v>29</v>
      </c>
      <c r="E501" s="28" t="s">
        <v>943</v>
      </c>
      <c r="F501" s="28" t="s">
        <v>36</v>
      </c>
      <c r="G501" s="28" t="s">
        <v>946</v>
      </c>
      <c r="H501" s="28">
        <v>54245</v>
      </c>
      <c r="I501" s="29">
        <f>IFERROR(_xlfn.XLOOKUP(E501,[1]EMPREENDIMENTO!C:C,[1]EMPREENDIMENTO!E:E),"0")</f>
        <v>780</v>
      </c>
      <c r="J501" s="30"/>
      <c r="K501" s="28" t="s">
        <v>33</v>
      </c>
      <c r="L501" s="31">
        <v>46134</v>
      </c>
      <c r="M501" s="32">
        <v>176837900</v>
      </c>
      <c r="N501" s="32">
        <v>192437900</v>
      </c>
      <c r="O501" s="32">
        <v>181276300</v>
      </c>
      <c r="P501" s="28" t="s">
        <v>34</v>
      </c>
      <c r="Q501" s="28" t="s">
        <v>945</v>
      </c>
      <c r="R501" s="30">
        <v>46258</v>
      </c>
      <c r="S501" s="30">
        <v>46252</v>
      </c>
      <c r="T501" s="33"/>
      <c r="U501" s="34" t="str">
        <f>IFERROR(_xlfn.XLOOKUP(E501,[1]EMPREENDIMENTO!C:C,[1]EMPREENDIMENTO!D:D),"")</f>
        <v>1cffb993-119f-ec11-b501-005056856b6c</v>
      </c>
    </row>
    <row r="502" spans="1:21" hidden="1" x14ac:dyDescent="0.35">
      <c r="A502" s="28" t="str">
        <f>IFERROR(_xlfn.XLOOKUP(C502,[1]DIRETORIA!C:C,[1]DIRETORIA!A:A),"-")</f>
        <v>DIR. COM E CRED CO E AM</v>
      </c>
      <c r="B502" s="28" t="str">
        <f>IFERROR(_xlfn.XLOOKUP(C502,[1]DIRETORIA!C:C,[1]DIRETORIA!B:B),"-")</f>
        <v>GST. COM AM</v>
      </c>
      <c r="C502" s="28" t="str">
        <f>IFERROR(_xlfn.XLOOKUP(E502,[1]EMPREENDIMENTO!C:C,[1]EMPREENDIMENTO!A:A),"-")</f>
        <v>MANAUS</v>
      </c>
      <c r="D502" s="28" t="s">
        <v>29</v>
      </c>
      <c r="E502" s="28" t="s">
        <v>943</v>
      </c>
      <c r="F502" s="28" t="s">
        <v>39</v>
      </c>
      <c r="G502" s="28" t="s">
        <v>947</v>
      </c>
      <c r="H502" s="28">
        <v>58512</v>
      </c>
      <c r="I502" s="29">
        <f>IFERROR(_xlfn.XLOOKUP(E502,[1]EMPREENDIMENTO!C:C,[1]EMPREENDIMENTO!E:E),"0")</f>
        <v>780</v>
      </c>
      <c r="J502" s="30"/>
      <c r="K502" s="28" t="s">
        <v>33</v>
      </c>
      <c r="L502" s="31">
        <v>46134</v>
      </c>
      <c r="M502" s="32">
        <v>176837900</v>
      </c>
      <c r="N502" s="32">
        <v>192437900</v>
      </c>
      <c r="O502" s="32">
        <v>181276300</v>
      </c>
      <c r="P502" s="28" t="s">
        <v>34</v>
      </c>
      <c r="Q502" s="28" t="s">
        <v>945</v>
      </c>
      <c r="R502" s="30">
        <v>46258</v>
      </c>
      <c r="S502" s="30">
        <v>46252</v>
      </c>
      <c r="T502" s="33"/>
      <c r="U502" s="34" t="str">
        <f>IFERROR(_xlfn.XLOOKUP(E502,[1]EMPREENDIMENTO!C:C,[1]EMPREENDIMENTO!D:D),"")</f>
        <v>1cffb993-119f-ec11-b501-005056856b6c</v>
      </c>
    </row>
    <row r="503" spans="1:21" x14ac:dyDescent="0.35">
      <c r="A503" s="28" t="str">
        <f>IFERROR(_xlfn.XLOOKUP(C503,[1]DIRETORIA!C:C,[1]DIRETORIA!A:A),"-")</f>
        <v>DIR. COM E CRED SPI</v>
      </c>
      <c r="B503" s="28" t="str">
        <f>IFERROR(_xlfn.XLOOKUP(C503,[1]DIRETORIA!C:C,[1]DIRETORIA!B:B),"-")</f>
        <v>GST. COM RP 1</v>
      </c>
      <c r="C503" s="28" t="str">
        <f>IFERROR(_xlfn.XLOOKUP(E503,[1]EMPREENDIMENTO!C:C,[1]EMPREENDIMENTO!A:A),"-")</f>
        <v>RIBEIRÃO PRETO</v>
      </c>
      <c r="D503" s="28" t="s">
        <v>29</v>
      </c>
      <c r="E503" s="28" t="s">
        <v>948</v>
      </c>
      <c r="F503" s="28" t="s">
        <v>42</v>
      </c>
      <c r="G503" s="28" t="s">
        <v>949</v>
      </c>
      <c r="H503" s="28">
        <v>38843</v>
      </c>
      <c r="I503" s="29">
        <f>IFERROR(_xlfn.XLOOKUP(E503,[1]EMPREENDIMENTO!C:C,[1]EMPREENDIMENTO!E:E),"0")</f>
        <v>204</v>
      </c>
      <c r="J503" s="30">
        <v>46241</v>
      </c>
      <c r="K503" s="28" t="s">
        <v>33</v>
      </c>
      <c r="L503" s="31">
        <v>45709</v>
      </c>
      <c r="M503" s="32">
        <v>54425400</v>
      </c>
      <c r="N503" s="32">
        <v>64262000</v>
      </c>
      <c r="O503" s="32">
        <v>60520400</v>
      </c>
      <c r="P503" s="28" t="s">
        <v>34</v>
      </c>
      <c r="Q503" s="28" t="s">
        <v>950</v>
      </c>
      <c r="R503" s="30">
        <v>45715</v>
      </c>
      <c r="S503" s="30">
        <v>45712</v>
      </c>
      <c r="T503" s="33"/>
      <c r="U503" s="34" t="str">
        <f>IFERROR(_xlfn.XLOOKUP(E503,[1]EMPREENDIMENTO!C:C,[1]EMPREENDIMENTO!D:D),"")</f>
        <v>ae4658b1-e7d8-eb11-930a-0050568aa20f</v>
      </c>
    </row>
    <row r="504" spans="1:21" x14ac:dyDescent="0.35">
      <c r="A504" s="28" t="str">
        <f>IFERROR(_xlfn.XLOOKUP(C504,[1]DIRETORIA!C:C,[1]DIRETORIA!A:A),"-")</f>
        <v>DIR. COM E CRED SPI CP</v>
      </c>
      <c r="B504" s="28" t="str">
        <f>IFERROR(_xlfn.XLOOKUP(C504,[1]DIRETORIA!C:C,[1]DIRETORIA!B:B),"-")</f>
        <v>GST. COM CP1</v>
      </c>
      <c r="C504" s="28" t="str">
        <f>IFERROR(_xlfn.XLOOKUP(E504,[1]EMPREENDIMENTO!C:C,[1]EMPREENDIMENTO!A:A),"-")</f>
        <v>CAMPINAS</v>
      </c>
      <c r="D504" s="28" t="s">
        <v>29</v>
      </c>
      <c r="E504" s="28" t="s">
        <v>951</v>
      </c>
      <c r="F504" s="28" t="s">
        <v>31</v>
      </c>
      <c r="G504" s="28" t="s">
        <v>952</v>
      </c>
      <c r="H504" s="28">
        <v>20568</v>
      </c>
      <c r="I504" s="29">
        <f>IFERROR(_xlfn.XLOOKUP(E504,[1]EMPREENDIMENTO!C:C,[1]EMPREENDIMENTO!E:E),"0")</f>
        <v>360</v>
      </c>
      <c r="J504" s="30">
        <v>45671</v>
      </c>
      <c r="K504" s="28" t="s">
        <v>33</v>
      </c>
      <c r="L504" s="31">
        <v>45419</v>
      </c>
      <c r="M504" s="32">
        <v>139638150</v>
      </c>
      <c r="N504" s="32">
        <v>148424350</v>
      </c>
      <c r="O504" s="32">
        <v>147399600</v>
      </c>
      <c r="P504" s="28" t="s">
        <v>34</v>
      </c>
      <c r="Q504" s="28" t="s">
        <v>953</v>
      </c>
      <c r="R504" s="30">
        <v>45432</v>
      </c>
      <c r="S504" s="30">
        <v>45419</v>
      </c>
      <c r="T504" s="33"/>
      <c r="U504" s="34" t="str">
        <f>IFERROR(_xlfn.XLOOKUP(E504,[1]EMPREENDIMENTO!C:C,[1]EMPREENDIMENTO!D:D),"")</f>
        <v>432629da-1f0f-e711-ac8b-80c16e075108</v>
      </c>
    </row>
    <row r="505" spans="1:21" x14ac:dyDescent="0.35">
      <c r="A505" s="28" t="str">
        <f>IFERROR(_xlfn.XLOOKUP(C505,[1]DIRETORIA!C:C,[1]DIRETORIA!A:A),"-")</f>
        <v>DIR. COM E CRED SPI CP</v>
      </c>
      <c r="B505" s="28" t="str">
        <f>IFERROR(_xlfn.XLOOKUP(C505,[1]DIRETORIA!C:C,[1]DIRETORIA!B:B),"-")</f>
        <v>GST. COM CP1</v>
      </c>
      <c r="C505" s="28" t="str">
        <f>IFERROR(_xlfn.XLOOKUP(E505,[1]EMPREENDIMENTO!C:C,[1]EMPREENDIMENTO!A:A),"-")</f>
        <v>CAMPINAS</v>
      </c>
      <c r="D505" s="28" t="s">
        <v>29</v>
      </c>
      <c r="E505" s="28" t="s">
        <v>951</v>
      </c>
      <c r="F505" s="28" t="s">
        <v>36</v>
      </c>
      <c r="G505" s="28" t="s">
        <v>954</v>
      </c>
      <c r="H505" s="28">
        <v>26803</v>
      </c>
      <c r="I505" s="29">
        <f>IFERROR(_xlfn.XLOOKUP(E505,[1]EMPREENDIMENTO!C:C,[1]EMPREENDIMENTO!E:E),"0")</f>
        <v>360</v>
      </c>
      <c r="J505" s="30">
        <v>45671</v>
      </c>
      <c r="K505" s="28" t="s">
        <v>33</v>
      </c>
      <c r="L505" s="31">
        <v>45419</v>
      </c>
      <c r="M505" s="32">
        <v>139638150</v>
      </c>
      <c r="N505" s="32">
        <v>148424350</v>
      </c>
      <c r="O505" s="32">
        <v>147399600</v>
      </c>
      <c r="P505" s="28" t="s">
        <v>34</v>
      </c>
      <c r="Q505" s="28" t="s">
        <v>953</v>
      </c>
      <c r="R505" s="30">
        <v>45432</v>
      </c>
      <c r="S505" s="30">
        <v>45419</v>
      </c>
      <c r="T505" s="33"/>
      <c r="U505" s="34" t="str">
        <f>IFERROR(_xlfn.XLOOKUP(E505,[1]EMPREENDIMENTO!C:C,[1]EMPREENDIMENTO!D:D),"")</f>
        <v>432629da-1f0f-e711-ac8b-80c16e075108</v>
      </c>
    </row>
    <row r="506" spans="1:21" hidden="1" x14ac:dyDescent="0.35">
      <c r="A506" s="28" t="str">
        <f>IFERROR(_xlfn.XLOOKUP(C506,[1]DIRETORIA!C:C,[1]DIRETORIA!A:A),"-")</f>
        <v>DIR. COM E CRED RJ</v>
      </c>
      <c r="B506" s="28" t="str">
        <f>IFERROR(_xlfn.XLOOKUP(C506,[1]DIRETORIA!C:C,[1]DIRETORIA!B:B),"-")</f>
        <v>GST. COM SF</v>
      </c>
      <c r="C506" s="28" t="str">
        <f>IFERROR(_xlfn.XLOOKUP(E506,[1]EMPREENDIMENTO!C:C,[1]EMPREENDIMENTO!A:A),"-")</f>
        <v>JUIZ DE FORA</v>
      </c>
      <c r="D506" s="28" t="s">
        <v>29</v>
      </c>
      <c r="E506" s="28" t="s">
        <v>955</v>
      </c>
      <c r="F506" s="28" t="s">
        <v>31</v>
      </c>
      <c r="G506" s="28" t="s">
        <v>956</v>
      </c>
      <c r="H506" s="28">
        <v>37940</v>
      </c>
      <c r="I506" s="29">
        <f>IFERROR(_xlfn.XLOOKUP(E506,[1]EMPREENDIMENTO!C:C,[1]EMPREENDIMENTO!E:E),"0")</f>
        <v>360</v>
      </c>
      <c r="J506" s="30">
        <v>46692</v>
      </c>
      <c r="K506" s="28" t="s">
        <v>33</v>
      </c>
      <c r="L506" s="31">
        <v>46226</v>
      </c>
      <c r="M506" s="32">
        <v>96305160</v>
      </c>
      <c r="N506" s="32">
        <v>102986174</v>
      </c>
      <c r="O506" s="32">
        <v>100612000</v>
      </c>
      <c r="P506" s="28" t="s">
        <v>34</v>
      </c>
      <c r="Q506" s="28" t="s">
        <v>957</v>
      </c>
      <c r="R506" s="30">
        <v>46225</v>
      </c>
      <c r="S506" s="30">
        <v>46226</v>
      </c>
      <c r="T506" s="33"/>
      <c r="U506" s="34" t="str">
        <f>IFERROR(_xlfn.XLOOKUP(E506,[1]EMPREENDIMENTO!C:C,[1]EMPREENDIMENTO!D:D),"")</f>
        <v>6e62e45e-2202-ed11-b1ad-005056856875</v>
      </c>
    </row>
    <row r="507" spans="1:21" hidden="1" x14ac:dyDescent="0.35">
      <c r="A507" s="28" t="str">
        <f>IFERROR(_xlfn.XLOOKUP(C507,[1]DIRETORIA!C:C,[1]DIRETORIA!A:A),"-")</f>
        <v>DIR. COM E CRED RJ</v>
      </c>
      <c r="B507" s="28" t="str">
        <f>IFERROR(_xlfn.XLOOKUP(C507,[1]DIRETORIA!C:C,[1]DIRETORIA!B:B),"-")</f>
        <v>GST. COM SF</v>
      </c>
      <c r="C507" s="28" t="str">
        <f>IFERROR(_xlfn.XLOOKUP(E507,[1]EMPREENDIMENTO!C:C,[1]EMPREENDIMENTO!A:A),"-")</f>
        <v>JUIZ DE FORA</v>
      </c>
      <c r="D507" s="28" t="s">
        <v>29</v>
      </c>
      <c r="E507" s="28" t="s">
        <v>955</v>
      </c>
      <c r="F507" s="28" t="s">
        <v>36</v>
      </c>
      <c r="G507" s="28" t="s">
        <v>958</v>
      </c>
      <c r="H507" s="28">
        <v>50516</v>
      </c>
      <c r="I507" s="29">
        <f>IFERROR(_xlfn.XLOOKUP(E507,[1]EMPREENDIMENTO!C:C,[1]EMPREENDIMENTO!E:E),"0")</f>
        <v>360</v>
      </c>
      <c r="J507" s="30">
        <v>46692</v>
      </c>
      <c r="K507" s="28" t="s">
        <v>33</v>
      </c>
      <c r="L507" s="31">
        <v>46226</v>
      </c>
      <c r="M507" s="32">
        <v>96305160</v>
      </c>
      <c r="N507" s="32">
        <v>102986174</v>
      </c>
      <c r="O507" s="32">
        <v>100612000</v>
      </c>
      <c r="P507" s="28" t="s">
        <v>34</v>
      </c>
      <c r="Q507" s="28" t="s">
        <v>957</v>
      </c>
      <c r="R507" s="30">
        <v>46223</v>
      </c>
      <c r="S507" s="30">
        <v>46226</v>
      </c>
      <c r="T507" s="33"/>
      <c r="U507" s="34" t="str">
        <f>IFERROR(_xlfn.XLOOKUP(E507,[1]EMPREENDIMENTO!C:C,[1]EMPREENDIMENTO!D:D),"")</f>
        <v>6e62e45e-2202-ed11-b1ad-005056856875</v>
      </c>
    </row>
    <row r="508" spans="1:21" hidden="1" x14ac:dyDescent="0.35">
      <c r="A508" s="28" t="str">
        <f>IFERROR(_xlfn.XLOOKUP(C508,[1]DIRETORIA!C:C,[1]DIRETORIA!A:A),"-")</f>
        <v>DIR. COM E CRED RJ</v>
      </c>
      <c r="B508" s="28" t="str">
        <f>IFERROR(_xlfn.XLOOKUP(C508,[1]DIRETORIA!C:C,[1]DIRETORIA!B:B),"-")</f>
        <v>GST. COM SF</v>
      </c>
      <c r="C508" s="28" t="str">
        <f>IFERROR(_xlfn.XLOOKUP(E508,[1]EMPREENDIMENTO!C:C,[1]EMPREENDIMENTO!A:A),"-")</f>
        <v>JUIZ DE FORA</v>
      </c>
      <c r="D508" s="28" t="s">
        <v>29</v>
      </c>
      <c r="E508" s="28" t="s">
        <v>955</v>
      </c>
      <c r="F508" s="28" t="s">
        <v>39</v>
      </c>
      <c r="G508" s="28" t="s">
        <v>959</v>
      </c>
      <c r="H508" s="28">
        <v>50523</v>
      </c>
      <c r="I508" s="29">
        <f>IFERROR(_xlfn.XLOOKUP(E508,[1]EMPREENDIMENTO!C:C,[1]EMPREENDIMENTO!E:E),"0")</f>
        <v>360</v>
      </c>
      <c r="J508" s="30">
        <v>46692</v>
      </c>
      <c r="K508" s="28" t="s">
        <v>33</v>
      </c>
      <c r="L508" s="31">
        <v>46226</v>
      </c>
      <c r="M508" s="32">
        <v>96305160</v>
      </c>
      <c r="N508" s="32">
        <v>102986174</v>
      </c>
      <c r="O508" s="32">
        <v>100612000</v>
      </c>
      <c r="P508" s="28" t="s">
        <v>34</v>
      </c>
      <c r="Q508" s="28" t="s">
        <v>957</v>
      </c>
      <c r="R508" s="30">
        <v>46223</v>
      </c>
      <c r="S508" s="30">
        <v>46226</v>
      </c>
      <c r="T508" s="33"/>
      <c r="U508" s="34" t="str">
        <f>IFERROR(_xlfn.XLOOKUP(E508,[1]EMPREENDIMENTO!C:C,[1]EMPREENDIMENTO!D:D),"")</f>
        <v>6e62e45e-2202-ed11-b1ad-005056856875</v>
      </c>
    </row>
    <row r="509" spans="1:21" hidden="1" x14ac:dyDescent="0.35">
      <c r="A509" s="28" t="str">
        <f>IFERROR(_xlfn.XLOOKUP(C509,[1]DIRETORIA!C:C,[1]DIRETORIA!A:A),"-")</f>
        <v>DIR. COM E CRED NE</v>
      </c>
      <c r="B509" s="28" t="str">
        <f>IFERROR(_xlfn.XLOOKUP(C509,[1]DIRETORIA!C:C,[1]DIRETORIA!B:B),"-")</f>
        <v>GST. COM NE 7 (PI+MA)</v>
      </c>
      <c r="C509" s="28" t="str">
        <f>IFERROR(_xlfn.XLOOKUP(E509,[1]EMPREENDIMENTO!C:C,[1]EMPREENDIMENTO!A:A),"-")</f>
        <v>TERESINA</v>
      </c>
      <c r="D509" s="28" t="s">
        <v>29</v>
      </c>
      <c r="E509" s="28" t="s">
        <v>960</v>
      </c>
      <c r="F509" s="28" t="s">
        <v>31</v>
      </c>
      <c r="G509" s="28" t="s">
        <v>961</v>
      </c>
      <c r="H509" s="28">
        <v>39270</v>
      </c>
      <c r="I509" s="29">
        <f>IFERROR(_xlfn.XLOOKUP(E509,[1]EMPREENDIMENTO!C:C,[1]EMPREENDIMENTO!E:E),"0")</f>
        <v>384</v>
      </c>
      <c r="J509" s="30">
        <v>46720</v>
      </c>
      <c r="K509" s="28" t="s">
        <v>164</v>
      </c>
      <c r="L509" s="31">
        <v>45791</v>
      </c>
      <c r="M509" s="32">
        <v>93777505</v>
      </c>
      <c r="N509" s="32">
        <v>100810818</v>
      </c>
      <c r="O509" s="32">
        <v>100692039</v>
      </c>
      <c r="P509" s="28" t="s">
        <v>2</v>
      </c>
      <c r="Q509" s="28" t="s">
        <v>962</v>
      </c>
      <c r="R509" s="30">
        <v>46290</v>
      </c>
      <c r="S509" s="30"/>
      <c r="T509" s="33"/>
      <c r="U509" s="34" t="str">
        <f>IFERROR(_xlfn.XLOOKUP(E509,[1]EMPREENDIMENTO!C:C,[1]EMPREENDIMENTO!D:D),"")</f>
        <v>40024678-b8ba-e811-a4f5-80c16e075108</v>
      </c>
    </row>
    <row r="510" spans="1:21" hidden="1" x14ac:dyDescent="0.35">
      <c r="A510" s="28" t="str">
        <f>IFERROR(_xlfn.XLOOKUP(C510,[1]DIRETORIA!C:C,[1]DIRETORIA!A:A),"-")</f>
        <v>DIR. COM E CRED NE</v>
      </c>
      <c r="B510" s="28" t="str">
        <f>IFERROR(_xlfn.XLOOKUP(C510,[1]DIRETORIA!C:C,[1]DIRETORIA!B:B),"-")</f>
        <v>GST. COM NE 7 (PI+MA)</v>
      </c>
      <c r="C510" s="28" t="str">
        <f>IFERROR(_xlfn.XLOOKUP(E510,[1]EMPREENDIMENTO!C:C,[1]EMPREENDIMENTO!A:A),"-")</f>
        <v>TERESINA</v>
      </c>
      <c r="D510" s="28" t="s">
        <v>29</v>
      </c>
      <c r="E510" s="28" t="s">
        <v>960</v>
      </c>
      <c r="F510" s="28" t="s">
        <v>36</v>
      </c>
      <c r="G510" s="28" t="s">
        <v>963</v>
      </c>
      <c r="H510" s="28">
        <v>51972</v>
      </c>
      <c r="I510" s="29">
        <f>IFERROR(_xlfn.XLOOKUP(E510,[1]EMPREENDIMENTO!C:C,[1]EMPREENDIMENTO!E:E),"0")</f>
        <v>384</v>
      </c>
      <c r="J510" s="30">
        <v>46720</v>
      </c>
      <c r="K510" s="28" t="s">
        <v>164</v>
      </c>
      <c r="L510" s="31">
        <v>46135</v>
      </c>
      <c r="M510" s="32">
        <v>100692039</v>
      </c>
      <c r="N510" s="32">
        <v>106203706</v>
      </c>
      <c r="O510" s="32">
        <v>105710580</v>
      </c>
      <c r="P510" s="28" t="s">
        <v>2</v>
      </c>
      <c r="Q510" s="28" t="s">
        <v>962</v>
      </c>
      <c r="R510" s="30">
        <v>46290</v>
      </c>
      <c r="S510" s="30"/>
      <c r="T510" s="33"/>
      <c r="U510" s="34" t="str">
        <f>IFERROR(_xlfn.XLOOKUP(E510,[1]EMPREENDIMENTO!C:C,[1]EMPREENDIMENTO!D:D),"")</f>
        <v>40024678-b8ba-e811-a4f5-80c16e075108</v>
      </c>
    </row>
    <row r="511" spans="1:21" hidden="1" x14ac:dyDescent="0.35">
      <c r="A511" s="28" t="str">
        <f>IFERROR(_xlfn.XLOOKUP(C511,[1]DIRETORIA!C:C,[1]DIRETORIA!A:A),"-")</f>
        <v>DIR. COM E CRED NE</v>
      </c>
      <c r="B511" s="28" t="str">
        <f>IFERROR(_xlfn.XLOOKUP(C511,[1]DIRETORIA!C:C,[1]DIRETORIA!B:B),"-")</f>
        <v>GST. COM NE4 (CE)</v>
      </c>
      <c r="C511" s="28" t="str">
        <f>IFERROR(_xlfn.XLOOKUP(E511,[1]EMPREENDIMENTO!C:C,[1]EMPREENDIMENTO!A:A),"-")</f>
        <v>FORTALEZA</v>
      </c>
      <c r="D511" s="28" t="s">
        <v>29</v>
      </c>
      <c r="E511" s="28" t="s">
        <v>964</v>
      </c>
      <c r="F511" s="28" t="s">
        <v>42</v>
      </c>
      <c r="G511" s="28" t="s">
        <v>965</v>
      </c>
      <c r="H511" s="28">
        <v>39040</v>
      </c>
      <c r="I511" s="29">
        <f>IFERROR(_xlfn.XLOOKUP(E511,[1]EMPREENDIMENTO!C:C,[1]EMPREENDIMENTO!E:E),"0")</f>
        <v>204</v>
      </c>
      <c r="J511" s="30"/>
      <c r="K511" s="28" t="s">
        <v>33</v>
      </c>
      <c r="L511" s="31">
        <v>46209</v>
      </c>
      <c r="M511" s="32">
        <v>73744000</v>
      </c>
      <c r="N511" s="32">
        <v>80900997</v>
      </c>
      <c r="O511" s="32">
        <v>78891110</v>
      </c>
      <c r="P511" s="28" t="s">
        <v>34</v>
      </c>
      <c r="Q511" s="28" t="s">
        <v>966</v>
      </c>
      <c r="R511" s="30">
        <v>46213</v>
      </c>
      <c r="S511" s="30">
        <v>46213</v>
      </c>
      <c r="T511" s="33"/>
      <c r="U511" s="34" t="str">
        <f>IFERROR(_xlfn.XLOOKUP(E511,[1]EMPREENDIMENTO!C:C,[1]EMPREENDIMENTO!D:D),"")</f>
        <v>793d2ba0-9b5f-ed11-879a-80c16e075108</v>
      </c>
    </row>
    <row r="512" spans="1:21" hidden="1" x14ac:dyDescent="0.35">
      <c r="A512" s="28" t="str">
        <f>IFERROR(_xlfn.XLOOKUP(C512,[1]DIRETORIA!C:C,[1]DIRETORIA!A:A),"-")</f>
        <v>DIR. COM E CRED MG E ES</v>
      </c>
      <c r="B512" s="28" t="str">
        <f>IFERROR(_xlfn.XLOOKUP(C512,[1]DIRETORIA!C:C,[1]DIRETORIA!B:B),"-")</f>
        <v>GST. COM TM</v>
      </c>
      <c r="C512" s="28" t="str">
        <f>IFERROR(_xlfn.XLOOKUP(E512,[1]EMPREENDIMENTO!C:C,[1]EMPREENDIMENTO!A:A),"-")</f>
        <v>UBERLÂNDIA</v>
      </c>
      <c r="D512" s="28" t="s">
        <v>29</v>
      </c>
      <c r="E512" s="28" t="s">
        <v>967</v>
      </c>
      <c r="F512" s="28" t="s">
        <v>31</v>
      </c>
      <c r="G512" s="28" t="s">
        <v>968</v>
      </c>
      <c r="H512" s="28">
        <v>9958</v>
      </c>
      <c r="I512" s="29">
        <f>IFERROR(_xlfn.XLOOKUP(E512,[1]EMPREENDIMENTO!C:C,[1]EMPREENDIMENTO!E:E),"0")</f>
        <v>352</v>
      </c>
      <c r="J512" s="30">
        <v>46356</v>
      </c>
      <c r="K512" s="28" t="s">
        <v>33</v>
      </c>
      <c r="L512" s="31">
        <v>46114</v>
      </c>
      <c r="M512" s="32">
        <v>92339328</v>
      </c>
      <c r="N512" s="32">
        <v>92339328</v>
      </c>
      <c r="O512" s="32">
        <v>80581000</v>
      </c>
      <c r="P512" s="28" t="s">
        <v>34</v>
      </c>
      <c r="Q512" s="28" t="s">
        <v>969</v>
      </c>
      <c r="R512" s="30">
        <v>46118</v>
      </c>
      <c r="S512" s="30">
        <v>46114</v>
      </c>
      <c r="T512" s="33"/>
      <c r="U512" s="34" t="str">
        <f>IFERROR(_xlfn.XLOOKUP(E512,[1]EMPREENDIMENTO!C:C,[1]EMPREENDIMENTO!D:D),"")</f>
        <v>151c46a9-de18-e511-a3a7-80c16e075108</v>
      </c>
    </row>
    <row r="513" spans="1:21" hidden="1" x14ac:dyDescent="0.35">
      <c r="A513" s="28" t="str">
        <f>IFERROR(_xlfn.XLOOKUP(C513,[1]DIRETORIA!C:C,[1]DIRETORIA!A:A),"-")</f>
        <v>DIR. COM E CRED MG E ES</v>
      </c>
      <c r="B513" s="28" t="str">
        <f>IFERROR(_xlfn.XLOOKUP(C513,[1]DIRETORIA!C:C,[1]DIRETORIA!B:B),"-")</f>
        <v>GST. COM TM</v>
      </c>
      <c r="C513" s="28" t="str">
        <f>IFERROR(_xlfn.XLOOKUP(E513,[1]EMPREENDIMENTO!C:C,[1]EMPREENDIMENTO!A:A),"-")</f>
        <v>UBERLÂNDIA</v>
      </c>
      <c r="D513" s="28" t="s">
        <v>29</v>
      </c>
      <c r="E513" s="28" t="s">
        <v>967</v>
      </c>
      <c r="F513" s="28" t="s">
        <v>36</v>
      </c>
      <c r="G513" s="28" t="s">
        <v>970</v>
      </c>
      <c r="H513" s="28">
        <v>51103</v>
      </c>
      <c r="I513" s="29">
        <f>IFERROR(_xlfn.XLOOKUP(E513,[1]EMPREENDIMENTO!C:C,[1]EMPREENDIMENTO!E:E),"0")</f>
        <v>352</v>
      </c>
      <c r="J513" s="30">
        <v>46356</v>
      </c>
      <c r="K513" s="28" t="s">
        <v>33</v>
      </c>
      <c r="L513" s="31">
        <v>46114</v>
      </c>
      <c r="M513" s="32">
        <v>92339328</v>
      </c>
      <c r="N513" s="32">
        <v>92339328</v>
      </c>
      <c r="O513" s="32">
        <v>80581000</v>
      </c>
      <c r="P513" s="28" t="s">
        <v>34</v>
      </c>
      <c r="Q513" s="28" t="s">
        <v>969</v>
      </c>
      <c r="R513" s="30">
        <v>46118</v>
      </c>
      <c r="S513" s="30">
        <v>46114</v>
      </c>
      <c r="T513" s="33"/>
      <c r="U513" s="34" t="str">
        <f>IFERROR(_xlfn.XLOOKUP(E513,[1]EMPREENDIMENTO!C:C,[1]EMPREENDIMENTO!D:D),"")</f>
        <v>151c46a9-de18-e511-a3a7-80c16e075108</v>
      </c>
    </row>
    <row r="514" spans="1:21" hidden="1" x14ac:dyDescent="0.35">
      <c r="A514" s="28" t="str">
        <f>IFERROR(_xlfn.XLOOKUP(C514,[1]DIRETORIA!C:C,[1]DIRETORIA!A:A),"-")</f>
        <v>DIR. COM E CRED MG E ES</v>
      </c>
      <c r="B514" s="28" t="str">
        <f>IFERROR(_xlfn.XLOOKUP(C514,[1]DIRETORIA!C:C,[1]DIRETORIA!B:B),"-")</f>
        <v>GST. COM TM</v>
      </c>
      <c r="C514" s="28" t="str">
        <f>IFERROR(_xlfn.XLOOKUP(E514,[1]EMPREENDIMENTO!C:C,[1]EMPREENDIMENTO!A:A),"-")</f>
        <v>UBERLÂNDIA</v>
      </c>
      <c r="D514" s="28" t="s">
        <v>29</v>
      </c>
      <c r="E514" s="28" t="s">
        <v>967</v>
      </c>
      <c r="F514" s="28" t="s">
        <v>39</v>
      </c>
      <c r="G514" s="28" t="s">
        <v>971</v>
      </c>
      <c r="H514" s="28">
        <v>53498</v>
      </c>
      <c r="I514" s="29">
        <f>IFERROR(_xlfn.XLOOKUP(E514,[1]EMPREENDIMENTO!C:C,[1]EMPREENDIMENTO!E:E),"0")</f>
        <v>352</v>
      </c>
      <c r="J514" s="30">
        <v>46356</v>
      </c>
      <c r="K514" s="28" t="s">
        <v>33</v>
      </c>
      <c r="L514" s="31">
        <v>46114</v>
      </c>
      <c r="M514" s="32">
        <v>92339328</v>
      </c>
      <c r="N514" s="32">
        <v>92339328</v>
      </c>
      <c r="O514" s="32">
        <v>80581000</v>
      </c>
      <c r="P514" s="28" t="s">
        <v>34</v>
      </c>
      <c r="Q514" s="28" t="s">
        <v>969</v>
      </c>
      <c r="R514" s="30">
        <v>46118</v>
      </c>
      <c r="S514" s="30">
        <v>46114</v>
      </c>
      <c r="T514" s="33"/>
      <c r="U514" s="34" t="str">
        <f>IFERROR(_xlfn.XLOOKUP(E514,[1]EMPREENDIMENTO!C:C,[1]EMPREENDIMENTO!D:D),"")</f>
        <v>151c46a9-de18-e511-a3a7-80c16e075108</v>
      </c>
    </row>
    <row r="515" spans="1:21" hidden="1" x14ac:dyDescent="0.35">
      <c r="A515" s="28" t="str">
        <f>IFERROR(_xlfn.XLOOKUP(C515,[1]DIRETORIA!C:C,[1]DIRETORIA!A:A),"-")</f>
        <v>DIR. COM E CRED SP E VL</v>
      </c>
      <c r="B515" s="28" t="str">
        <f>IFERROR(_xlfn.XLOOKUP(C515,[1]DIRETORIA!C:C,[1]DIRETORIA!B:B),"-")</f>
        <v>GST. COM SP2</v>
      </c>
      <c r="C515" s="28" t="str">
        <f>IFERROR(_xlfn.XLOOKUP(E515,[1]EMPREENDIMENTO!C:C,[1]EMPREENDIMENTO!A:A),"-")</f>
        <v>SÃO PAULO</v>
      </c>
      <c r="D515" s="28" t="s">
        <v>29</v>
      </c>
      <c r="E515" s="28" t="s">
        <v>972</v>
      </c>
      <c r="F515" s="28" t="s">
        <v>31</v>
      </c>
      <c r="G515" s="28" t="s">
        <v>973</v>
      </c>
      <c r="H515" s="28">
        <v>39397</v>
      </c>
      <c r="I515" s="29">
        <f>IFERROR(_xlfn.XLOOKUP(E515,[1]EMPREENDIMENTO!C:C,[1]EMPREENDIMENTO!E:E),"0")</f>
        <v>384</v>
      </c>
      <c r="J515" s="30">
        <v>46378</v>
      </c>
      <c r="K515" s="28" t="s">
        <v>164</v>
      </c>
      <c r="L515" s="31">
        <v>45302</v>
      </c>
      <c r="M515" s="32">
        <v>101132486</v>
      </c>
      <c r="N515" s="32">
        <v>109024000</v>
      </c>
      <c r="O515" s="32">
        <v>109024000</v>
      </c>
      <c r="P515" s="28" t="s">
        <v>34</v>
      </c>
      <c r="Q515" s="28" t="s">
        <v>974</v>
      </c>
      <c r="R515" s="30"/>
      <c r="S515" s="30">
        <v>45302</v>
      </c>
      <c r="T515" s="33"/>
      <c r="U515" s="34" t="str">
        <f>IFERROR(_xlfn.XLOOKUP(E515,[1]EMPREENDIMENTO!C:C,[1]EMPREENDIMENTO!D:D),"")</f>
        <v>bccf9d0c-4262-eb11-aa45-005056856875</v>
      </c>
    </row>
    <row r="516" spans="1:21" hidden="1" x14ac:dyDescent="0.35">
      <c r="A516" s="28" t="str">
        <f>IFERROR(_xlfn.XLOOKUP(C516,[1]DIRETORIA!C:C,[1]DIRETORIA!A:A),"-")</f>
        <v>DIR. COM E CRED SP E VL</v>
      </c>
      <c r="B516" s="28" t="str">
        <f>IFERROR(_xlfn.XLOOKUP(C516,[1]DIRETORIA!C:C,[1]DIRETORIA!B:B),"-")</f>
        <v>GST. COM SP2</v>
      </c>
      <c r="C516" s="28" t="str">
        <f>IFERROR(_xlfn.XLOOKUP(E516,[1]EMPREENDIMENTO!C:C,[1]EMPREENDIMENTO!A:A),"-")</f>
        <v>SÃO PAULO</v>
      </c>
      <c r="D516" s="28" t="s">
        <v>85</v>
      </c>
      <c r="E516" s="28" t="s">
        <v>972</v>
      </c>
      <c r="F516" s="28" t="s">
        <v>36</v>
      </c>
      <c r="G516" s="28" t="s">
        <v>844</v>
      </c>
      <c r="H516" s="28" t="s">
        <v>844</v>
      </c>
      <c r="I516" s="29">
        <f>IFERROR(_xlfn.XLOOKUP(E516,[1]EMPREENDIMENTO!C:C,[1]EMPREENDIMENTO!E:E),"0")</f>
        <v>384</v>
      </c>
      <c r="J516" s="30">
        <v>46378</v>
      </c>
      <c r="K516" s="28" t="s">
        <v>164</v>
      </c>
      <c r="L516" s="31">
        <v>45302</v>
      </c>
      <c r="M516" s="32">
        <v>101132486</v>
      </c>
      <c r="N516" s="32">
        <v>109024000</v>
      </c>
      <c r="O516" s="32">
        <v>109024000</v>
      </c>
      <c r="P516" s="28" t="s">
        <v>34</v>
      </c>
      <c r="Q516" s="28" t="s">
        <v>974</v>
      </c>
      <c r="R516" s="30"/>
      <c r="S516" s="30">
        <v>45302</v>
      </c>
      <c r="T516" s="33"/>
      <c r="U516" s="34" t="str">
        <f>IFERROR(_xlfn.XLOOKUP(E516,[1]EMPREENDIMENTO!C:C,[1]EMPREENDIMENTO!D:D),"")</f>
        <v>bccf9d0c-4262-eb11-aa45-005056856875</v>
      </c>
    </row>
    <row r="517" spans="1:21" hidden="1" x14ac:dyDescent="0.35">
      <c r="A517" s="28" t="str">
        <f>IFERROR(_xlfn.XLOOKUP(C517,[1]DIRETORIA!C:C,[1]DIRETORIA!A:A),"-")</f>
        <v>DIR. COM E CRED RJ</v>
      </c>
      <c r="B517" s="28" t="str">
        <f>IFERROR(_xlfn.XLOOKUP(C517,[1]DIRETORIA!C:C,[1]DIRETORIA!B:B),"-")</f>
        <v>GST. COM RJ1</v>
      </c>
      <c r="C517" s="28" t="str">
        <f>IFERROR(_xlfn.XLOOKUP(E517,[1]EMPREENDIMENTO!C:C,[1]EMPREENDIMENTO!A:A),"-")</f>
        <v>RIO DE JANEIRO</v>
      </c>
      <c r="D517" s="28" t="s">
        <v>85</v>
      </c>
      <c r="E517" s="28" t="s">
        <v>975</v>
      </c>
      <c r="F517" s="28" t="s">
        <v>42</v>
      </c>
      <c r="G517" s="28" t="s">
        <v>976</v>
      </c>
      <c r="H517" s="28">
        <v>60717</v>
      </c>
      <c r="I517" s="29">
        <f>IFERROR(_xlfn.XLOOKUP(E517,[1]EMPREENDIMENTO!C:C,[1]EMPREENDIMENTO!E:E),"0")</f>
        <v>224</v>
      </c>
      <c r="J517" s="30"/>
      <c r="K517" s="28" t="s">
        <v>33</v>
      </c>
      <c r="L517" s="31">
        <v>46178</v>
      </c>
      <c r="M517" s="32">
        <v>139156500</v>
      </c>
      <c r="N517" s="32">
        <v>139604500</v>
      </c>
      <c r="O517" s="32">
        <v>139307500</v>
      </c>
      <c r="P517" s="28" t="s">
        <v>34</v>
      </c>
      <c r="Q517" s="28"/>
      <c r="R517" s="30"/>
      <c r="S517" s="30">
        <v>46181</v>
      </c>
      <c r="T517" s="33" t="s">
        <v>977</v>
      </c>
      <c r="U517" s="34" t="str">
        <f>IFERROR(_xlfn.XLOOKUP(E517,[1]EMPREENDIMENTO!C:C,[1]EMPREENDIMENTO!D:D),"")</f>
        <v>425A9934-A155-EB11-A635-005056856875</v>
      </c>
    </row>
    <row r="518" spans="1:21" hidden="1" x14ac:dyDescent="0.35">
      <c r="A518" s="28" t="str">
        <f>IFERROR(_xlfn.XLOOKUP(C518,[1]DIRETORIA!C:C,[1]DIRETORIA!A:A),"-")</f>
        <v>DIR. COM E CRED NE</v>
      </c>
      <c r="B518" s="28" t="str">
        <f>IFERROR(_xlfn.XLOOKUP(C518,[1]DIRETORIA!C:C,[1]DIRETORIA!B:B),"-")</f>
        <v>GST. COM NE 3 (SE+AL)</v>
      </c>
      <c r="C518" s="28" t="str">
        <f>IFERROR(_xlfn.XLOOKUP(E518,[1]EMPREENDIMENTO!C:C,[1]EMPREENDIMENTO!A:A),"-")</f>
        <v>ARACAJU</v>
      </c>
      <c r="D518" s="28" t="s">
        <v>29</v>
      </c>
      <c r="E518" s="28" t="s">
        <v>978</v>
      </c>
      <c r="F518" s="28" t="s">
        <v>31</v>
      </c>
      <c r="G518" s="28" t="s">
        <v>979</v>
      </c>
      <c r="H518" s="28">
        <v>38289</v>
      </c>
      <c r="I518" s="29">
        <f>IFERROR(_xlfn.XLOOKUP(E518,[1]EMPREENDIMENTO!C:C,[1]EMPREENDIMENTO!E:E),"0")</f>
        <v>332</v>
      </c>
      <c r="J518" s="30">
        <v>46503</v>
      </c>
      <c r="K518" s="28" t="s">
        <v>33</v>
      </c>
      <c r="L518" s="31">
        <v>46260</v>
      </c>
      <c r="M518" s="32">
        <v>76023220</v>
      </c>
      <c r="N518" s="32">
        <v>88392987</v>
      </c>
      <c r="O518" s="32">
        <v>80058000</v>
      </c>
      <c r="P518" s="28" t="s">
        <v>34</v>
      </c>
      <c r="Q518" s="28" t="s">
        <v>980</v>
      </c>
      <c r="R518" s="30">
        <v>46263</v>
      </c>
      <c r="S518" s="30">
        <v>46260</v>
      </c>
      <c r="T518" s="33"/>
      <c r="U518" s="34" t="str">
        <f>IFERROR(_xlfn.XLOOKUP(E518,[1]EMPREENDIMENTO!C:C,[1]EMPREENDIMENTO!D:D),"")</f>
        <v>edf099af-f6fe-ec11-ba45-005056890018</v>
      </c>
    </row>
    <row r="519" spans="1:21" hidden="1" x14ac:dyDescent="0.35">
      <c r="A519" s="28" t="str">
        <f>IFERROR(_xlfn.XLOOKUP(C519,[1]DIRETORIA!C:C,[1]DIRETORIA!A:A),"-")</f>
        <v>DIR. COM E CRED NE</v>
      </c>
      <c r="B519" s="28" t="str">
        <f>IFERROR(_xlfn.XLOOKUP(C519,[1]DIRETORIA!C:C,[1]DIRETORIA!B:B),"-")</f>
        <v>GST. COM NE 3 (SE+AL)</v>
      </c>
      <c r="C519" s="28" t="str">
        <f>IFERROR(_xlfn.XLOOKUP(E519,[1]EMPREENDIMENTO!C:C,[1]EMPREENDIMENTO!A:A),"-")</f>
        <v>ARACAJU</v>
      </c>
      <c r="D519" s="28" t="s">
        <v>29</v>
      </c>
      <c r="E519" s="28" t="s">
        <v>978</v>
      </c>
      <c r="F519" s="28" t="s">
        <v>36</v>
      </c>
      <c r="G519" s="28" t="s">
        <v>981</v>
      </c>
      <c r="H519" s="28">
        <v>45093</v>
      </c>
      <c r="I519" s="29">
        <f>IFERROR(_xlfn.XLOOKUP(E519,[1]EMPREENDIMENTO!C:C,[1]EMPREENDIMENTO!E:E),"0")</f>
        <v>332</v>
      </c>
      <c r="J519" s="30">
        <v>46503</v>
      </c>
      <c r="K519" s="28" t="s">
        <v>33</v>
      </c>
      <c r="L519" s="31">
        <v>46260</v>
      </c>
      <c r="M519" s="32">
        <v>76023220</v>
      </c>
      <c r="N519" s="32">
        <v>88392987</v>
      </c>
      <c r="O519" s="32">
        <v>80058000</v>
      </c>
      <c r="P519" s="28" t="s">
        <v>34</v>
      </c>
      <c r="Q519" s="28" t="s">
        <v>980</v>
      </c>
      <c r="R519" s="30">
        <v>46263</v>
      </c>
      <c r="S519" s="30">
        <v>46260</v>
      </c>
      <c r="T519" s="33"/>
      <c r="U519" s="34" t="str">
        <f>IFERROR(_xlfn.XLOOKUP(E519,[1]EMPREENDIMENTO!C:C,[1]EMPREENDIMENTO!D:D),"")</f>
        <v>edf099af-f6fe-ec11-ba45-005056890018</v>
      </c>
    </row>
    <row r="520" spans="1:21" hidden="1" x14ac:dyDescent="0.35">
      <c r="A520" s="28" t="str">
        <f>IFERROR(_xlfn.XLOOKUP(C520,[1]DIRETORIA!C:C,[1]DIRETORIA!A:A),"-")</f>
        <v>DIR. COM E CRED NE</v>
      </c>
      <c r="B520" s="28" t="str">
        <f>IFERROR(_xlfn.XLOOKUP(C520,[1]DIRETORIA!C:C,[1]DIRETORIA!B:B),"-")</f>
        <v>GST. COM NE 3 (SE+AL)</v>
      </c>
      <c r="C520" s="28" t="str">
        <f>IFERROR(_xlfn.XLOOKUP(E520,[1]EMPREENDIMENTO!C:C,[1]EMPREENDIMENTO!A:A),"-")</f>
        <v>ARACAJU</v>
      </c>
      <c r="D520" s="28" t="s">
        <v>29</v>
      </c>
      <c r="E520" s="28" t="s">
        <v>978</v>
      </c>
      <c r="F520" s="28" t="s">
        <v>39</v>
      </c>
      <c r="G520" s="28" t="s">
        <v>982</v>
      </c>
      <c r="H520" s="28">
        <v>56872</v>
      </c>
      <c r="I520" s="29">
        <f>IFERROR(_xlfn.XLOOKUP(E520,[1]EMPREENDIMENTO!C:C,[1]EMPREENDIMENTO!E:E),"0")</f>
        <v>332</v>
      </c>
      <c r="J520" s="30">
        <v>46503</v>
      </c>
      <c r="K520" s="28" t="s">
        <v>33</v>
      </c>
      <c r="L520" s="31">
        <v>46260</v>
      </c>
      <c r="M520" s="32">
        <v>76023220</v>
      </c>
      <c r="N520" s="32">
        <v>88392987</v>
      </c>
      <c r="O520" s="32">
        <v>80058000</v>
      </c>
      <c r="P520" s="28" t="s">
        <v>34</v>
      </c>
      <c r="Q520" s="28" t="s">
        <v>980</v>
      </c>
      <c r="R520" s="30">
        <v>46263</v>
      </c>
      <c r="S520" s="30">
        <v>46260</v>
      </c>
      <c r="T520" s="33"/>
      <c r="U520" s="34" t="str">
        <f>IFERROR(_xlfn.XLOOKUP(E520,[1]EMPREENDIMENTO!C:C,[1]EMPREENDIMENTO!D:D),"")</f>
        <v>edf099af-f6fe-ec11-ba45-005056890018</v>
      </c>
    </row>
    <row r="521" spans="1:21" hidden="1" x14ac:dyDescent="0.35">
      <c r="A521" s="28" t="str">
        <f>IFERROR(_xlfn.XLOOKUP(C521,[1]DIRETORIA!C:C,[1]DIRETORIA!A:A),"-")</f>
        <v>DIR. COM E CRED NE</v>
      </c>
      <c r="B521" s="28" t="str">
        <f>IFERROR(_xlfn.XLOOKUP(C521,[1]DIRETORIA!C:C,[1]DIRETORIA!B:B),"-")</f>
        <v>GST. COM NE 3 (SE+AL)</v>
      </c>
      <c r="C521" s="28" t="str">
        <f>IFERROR(_xlfn.XLOOKUP(E521,[1]EMPREENDIMENTO!C:C,[1]EMPREENDIMENTO!A:A),"-")</f>
        <v>ARACAJU</v>
      </c>
      <c r="D521" s="28" t="s">
        <v>29</v>
      </c>
      <c r="E521" s="28" t="s">
        <v>978</v>
      </c>
      <c r="F521" s="28" t="s">
        <v>50</v>
      </c>
      <c r="G521" s="28" t="s">
        <v>983</v>
      </c>
      <c r="H521" s="28">
        <v>62404</v>
      </c>
      <c r="I521" s="29">
        <f>IFERROR(_xlfn.XLOOKUP(E521,[1]EMPREENDIMENTO!C:C,[1]EMPREENDIMENTO!E:E),"0")</f>
        <v>332</v>
      </c>
      <c r="J521" s="30">
        <v>46503</v>
      </c>
      <c r="K521" s="28" t="s">
        <v>33</v>
      </c>
      <c r="L521" s="31">
        <v>46260</v>
      </c>
      <c r="M521" s="32">
        <v>76023220</v>
      </c>
      <c r="N521" s="32">
        <v>88392987</v>
      </c>
      <c r="O521" s="32">
        <v>80058000</v>
      </c>
      <c r="P521" s="28" t="s">
        <v>34</v>
      </c>
      <c r="Q521" s="28" t="s">
        <v>980</v>
      </c>
      <c r="R521" s="30">
        <v>46263</v>
      </c>
      <c r="S521" s="30">
        <v>46260</v>
      </c>
      <c r="T521" s="33"/>
      <c r="U521" s="34" t="str">
        <f>IFERROR(_xlfn.XLOOKUP(E521,[1]EMPREENDIMENTO!C:C,[1]EMPREENDIMENTO!D:D),"")</f>
        <v>edf099af-f6fe-ec11-ba45-005056890018</v>
      </c>
    </row>
    <row r="522" spans="1:21" hidden="1" x14ac:dyDescent="0.35">
      <c r="A522" s="28" t="str">
        <f>IFERROR(_xlfn.XLOOKUP(C522,[1]DIRETORIA!C:C,[1]DIRETORIA!A:A),"-")</f>
        <v>DIR. COM E CRED RJ</v>
      </c>
      <c r="B522" s="28" t="str">
        <f>IFERROR(_xlfn.XLOOKUP(C522,[1]DIRETORIA!C:C,[1]DIRETORIA!B:B),"-")</f>
        <v>GST. COM RJ1</v>
      </c>
      <c r="C522" s="28" t="str">
        <f>IFERROR(_xlfn.XLOOKUP(E522,[1]EMPREENDIMENTO!C:C,[1]EMPREENDIMENTO!A:A),"-")</f>
        <v>RIO DE JANEIRO</v>
      </c>
      <c r="D522" s="28" t="s">
        <v>85</v>
      </c>
      <c r="E522" s="28" t="s">
        <v>984</v>
      </c>
      <c r="F522" s="28" t="s">
        <v>31</v>
      </c>
      <c r="G522" s="28" t="s">
        <v>985</v>
      </c>
      <c r="H522" s="28">
        <v>39634</v>
      </c>
      <c r="I522" s="29">
        <f>IFERROR(_xlfn.XLOOKUP(E522,[1]EMPREENDIMENTO!C:C,[1]EMPREENDIMENTO!E:E),"0")</f>
        <v>260</v>
      </c>
      <c r="J522" s="30"/>
      <c r="K522" s="28" t="s">
        <v>33</v>
      </c>
      <c r="L522" s="31">
        <v>45128</v>
      </c>
      <c r="M522" s="32">
        <v>88800760</v>
      </c>
      <c r="N522" s="32">
        <v>88800760</v>
      </c>
      <c r="O522" s="32">
        <v>87834060</v>
      </c>
      <c r="P522" s="28" t="s">
        <v>34</v>
      </c>
      <c r="Q522" s="28"/>
      <c r="R522" s="30"/>
      <c r="S522" s="30">
        <v>45131</v>
      </c>
      <c r="T522" s="33"/>
      <c r="U522" s="34" t="str">
        <f>IFERROR(_xlfn.XLOOKUP(E522,[1]EMPREENDIMENTO!C:C,[1]EMPREENDIMENTO!D:D),"")</f>
        <v>24D26F66-6D3F-E511-A3A7-80C16E075108</v>
      </c>
    </row>
    <row r="523" spans="1:21" hidden="1" x14ac:dyDescent="0.35">
      <c r="A523" s="28" t="str">
        <f>IFERROR(_xlfn.XLOOKUP(C523,[1]DIRETORIA!C:C,[1]DIRETORIA!A:A),"-")</f>
        <v>DIR. COM E CRED NE</v>
      </c>
      <c r="B523" s="28" t="str">
        <f>IFERROR(_xlfn.XLOOKUP(C523,[1]DIRETORIA!C:C,[1]DIRETORIA!B:B),"-")</f>
        <v>GST. COM NE 7 (PI+MA)</v>
      </c>
      <c r="C523" s="28" t="str">
        <f>IFERROR(_xlfn.XLOOKUP(E523,[1]EMPREENDIMENTO!C:C,[1]EMPREENDIMENTO!A:A),"-")</f>
        <v>SÃO JOSÉ DE RIBAMAR</v>
      </c>
      <c r="D523" s="28" t="s">
        <v>29</v>
      </c>
      <c r="E523" s="28" t="s">
        <v>986</v>
      </c>
      <c r="F523" s="28" t="s">
        <v>42</v>
      </c>
      <c r="G523" s="28" t="s">
        <v>987</v>
      </c>
      <c r="H523" s="28">
        <v>39653</v>
      </c>
      <c r="I523" s="29">
        <f>IFERROR(_xlfn.XLOOKUP(E523,[1]EMPREENDIMENTO!C:C,[1]EMPREENDIMENTO!E:E),"0")</f>
        <v>192</v>
      </c>
      <c r="J523" s="30">
        <v>46507</v>
      </c>
      <c r="K523" s="28" t="s">
        <v>33</v>
      </c>
      <c r="L523" s="31">
        <v>45628</v>
      </c>
      <c r="M523" s="32">
        <v>39557270</v>
      </c>
      <c r="N523" s="32">
        <v>44929147</v>
      </c>
      <c r="O523" s="32">
        <v>43164860</v>
      </c>
      <c r="P523" s="28" t="s">
        <v>34</v>
      </c>
      <c r="Q523" s="28" t="s">
        <v>988</v>
      </c>
      <c r="R523" s="30">
        <v>45631</v>
      </c>
      <c r="S523" s="30">
        <v>45629</v>
      </c>
      <c r="T523" s="33" t="s">
        <v>989</v>
      </c>
      <c r="U523" s="34" t="str">
        <f>IFERROR(_xlfn.XLOOKUP(E523,[1]EMPREENDIMENTO!C:C,[1]EMPREENDIMENTO!D:D),"")</f>
        <v>52bb0cb6-6629-ed11-ba45-005056890018</v>
      </c>
    </row>
    <row r="524" spans="1:21" hidden="1" x14ac:dyDescent="0.35">
      <c r="A524" s="28" t="str">
        <f>IFERROR(_xlfn.XLOOKUP(C524,[1]DIRETORIA!C:C,[1]DIRETORIA!A:A),"-")</f>
        <v>DIR. COM E CRED SP E VL</v>
      </c>
      <c r="B524" s="28" t="str">
        <f>IFERROR(_xlfn.XLOOKUP(C524,[1]DIRETORIA!C:C,[1]DIRETORIA!B:B),"-")</f>
        <v>GST. COM VL2</v>
      </c>
      <c r="C524" s="28" t="str">
        <f>IFERROR(_xlfn.XLOOKUP(E524,[1]EMPREENDIMENTO!C:C,[1]EMPREENDIMENTO!A:A),"-")</f>
        <v>MOGI DAS CRUZES</v>
      </c>
      <c r="D524" s="28" t="s">
        <v>29</v>
      </c>
      <c r="E524" s="28" t="s">
        <v>990</v>
      </c>
      <c r="F524" s="28" t="s">
        <v>31</v>
      </c>
      <c r="G524" s="28" t="s">
        <v>991</v>
      </c>
      <c r="H524" s="28">
        <v>33492</v>
      </c>
      <c r="I524" s="29">
        <f>IFERROR(_xlfn.XLOOKUP(E524,[1]EMPREENDIMENTO!C:C,[1]EMPREENDIMENTO!E:E),"0")</f>
        <v>396</v>
      </c>
      <c r="J524" s="30">
        <v>46538</v>
      </c>
      <c r="K524" s="28" t="s">
        <v>33</v>
      </c>
      <c r="L524" s="31">
        <v>45702</v>
      </c>
      <c r="M524" s="32">
        <v>106862222</v>
      </c>
      <c r="N524" s="32">
        <v>115411200</v>
      </c>
      <c r="O524" s="32">
        <v>114529409</v>
      </c>
      <c r="P524" s="28" t="s">
        <v>34</v>
      </c>
      <c r="Q524" s="28" t="s">
        <v>992</v>
      </c>
      <c r="R524" s="30">
        <v>45702</v>
      </c>
      <c r="S524" s="30">
        <v>45705</v>
      </c>
      <c r="T524" s="33"/>
      <c r="U524" s="34" t="str">
        <f>IFERROR(_xlfn.XLOOKUP(E524,[1]EMPREENDIMENTO!C:C,[1]EMPREENDIMENTO!D:D),"")</f>
        <v>d1af5d6e-ded5-eb11-a0e6-005056856875</v>
      </c>
    </row>
    <row r="525" spans="1:21" hidden="1" x14ac:dyDescent="0.35">
      <c r="A525" s="28" t="str">
        <f>IFERROR(_xlfn.XLOOKUP(C525,[1]DIRETORIA!C:C,[1]DIRETORIA!A:A),"-")</f>
        <v>DIR. COM E CRED SP E VL</v>
      </c>
      <c r="B525" s="28" t="str">
        <f>IFERROR(_xlfn.XLOOKUP(C525,[1]DIRETORIA!C:C,[1]DIRETORIA!B:B),"-")</f>
        <v>GST. COM VL2</v>
      </c>
      <c r="C525" s="28" t="str">
        <f>IFERROR(_xlfn.XLOOKUP(E525,[1]EMPREENDIMENTO!C:C,[1]EMPREENDIMENTO!A:A),"-")</f>
        <v>MOGI DAS CRUZES</v>
      </c>
      <c r="D525" s="28" t="s">
        <v>29</v>
      </c>
      <c r="E525" s="28" t="s">
        <v>990</v>
      </c>
      <c r="F525" s="28" t="s">
        <v>36</v>
      </c>
      <c r="G525" s="28" t="s">
        <v>993</v>
      </c>
      <c r="H525" s="28">
        <v>44007</v>
      </c>
      <c r="I525" s="29">
        <f>IFERROR(_xlfn.XLOOKUP(E525,[1]EMPREENDIMENTO!C:C,[1]EMPREENDIMENTO!E:E),"0")</f>
        <v>396</v>
      </c>
      <c r="J525" s="30">
        <v>46538</v>
      </c>
      <c r="K525" s="28" t="s">
        <v>33</v>
      </c>
      <c r="L525" s="31">
        <v>45702</v>
      </c>
      <c r="M525" s="32">
        <v>106862222</v>
      </c>
      <c r="N525" s="32">
        <v>115411200</v>
      </c>
      <c r="O525" s="32">
        <v>114529409</v>
      </c>
      <c r="P525" s="28" t="s">
        <v>34</v>
      </c>
      <c r="Q525" s="28" t="s">
        <v>992</v>
      </c>
      <c r="R525" s="30">
        <v>45702</v>
      </c>
      <c r="S525" s="30">
        <v>45705</v>
      </c>
      <c r="T525" s="33"/>
      <c r="U525" s="34" t="str">
        <f>IFERROR(_xlfn.XLOOKUP(E525,[1]EMPREENDIMENTO!C:C,[1]EMPREENDIMENTO!D:D),"")</f>
        <v>d1af5d6e-ded5-eb11-a0e6-005056856875</v>
      </c>
    </row>
    <row r="526" spans="1:21" x14ac:dyDescent="0.35">
      <c r="A526" s="28" t="str">
        <f>IFERROR(_xlfn.XLOOKUP(C526,[1]DIRETORIA!C:C,[1]DIRETORIA!A:A),"-")</f>
        <v>DIR. COM E CRED SPI</v>
      </c>
      <c r="B526" s="28" t="str">
        <f>IFERROR(_xlfn.XLOOKUP(C526,[1]DIRETORIA!C:C,[1]DIRETORIA!B:B),"-")</f>
        <v>GST. COM RP 1</v>
      </c>
      <c r="C526" s="28" t="str">
        <f>IFERROR(_xlfn.XLOOKUP(E526,[1]EMPREENDIMENTO!C:C,[1]EMPREENDIMENTO!A:A),"-")</f>
        <v>RIBEIRÃO PRETO</v>
      </c>
      <c r="D526" s="28" t="s">
        <v>29</v>
      </c>
      <c r="E526" s="28" t="s">
        <v>994</v>
      </c>
      <c r="F526" s="28" t="s">
        <v>31</v>
      </c>
      <c r="G526" s="28" t="s">
        <v>995</v>
      </c>
      <c r="H526" s="28">
        <v>38478</v>
      </c>
      <c r="I526" s="29">
        <f>IFERROR(_xlfn.XLOOKUP(E526,[1]EMPREENDIMENTO!C:C,[1]EMPREENDIMENTO!E:E),"0")</f>
        <v>496</v>
      </c>
      <c r="J526" s="30">
        <v>46386</v>
      </c>
      <c r="K526" s="28" t="s">
        <v>33</v>
      </c>
      <c r="L526" s="31">
        <v>45951</v>
      </c>
      <c r="M526" s="32">
        <v>99533716</v>
      </c>
      <c r="N526" s="32">
        <v>108080216</v>
      </c>
      <c r="O526" s="32">
        <v>107927616</v>
      </c>
      <c r="P526" s="28" t="s">
        <v>34</v>
      </c>
      <c r="Q526" s="28" t="s">
        <v>996</v>
      </c>
      <c r="R526" s="30">
        <v>45964</v>
      </c>
      <c r="S526" s="30">
        <v>45952</v>
      </c>
      <c r="T526" s="33"/>
      <c r="U526" s="34" t="str">
        <f>IFERROR(_xlfn.XLOOKUP(E526,[1]EMPREENDIMENTO!C:C,[1]EMPREENDIMENTO!D:D),"")</f>
        <v>0c1aba4e-7b2f-ed11-ba45-005056890018</v>
      </c>
    </row>
    <row r="527" spans="1:21" x14ac:dyDescent="0.35">
      <c r="A527" s="28" t="str">
        <f>IFERROR(_xlfn.XLOOKUP(C527,[1]DIRETORIA!C:C,[1]DIRETORIA!A:A),"-")</f>
        <v>DIR. COM E CRED SPI</v>
      </c>
      <c r="B527" s="28" t="str">
        <f>IFERROR(_xlfn.XLOOKUP(C527,[1]DIRETORIA!C:C,[1]DIRETORIA!B:B),"-")</f>
        <v>GST. COM RP 1</v>
      </c>
      <c r="C527" s="28" t="str">
        <f>IFERROR(_xlfn.XLOOKUP(E527,[1]EMPREENDIMENTO!C:C,[1]EMPREENDIMENTO!A:A),"-")</f>
        <v>RIBEIRÃO PRETO</v>
      </c>
      <c r="D527" s="28" t="s">
        <v>29</v>
      </c>
      <c r="E527" s="28" t="s">
        <v>994</v>
      </c>
      <c r="F527" s="28" t="s">
        <v>36</v>
      </c>
      <c r="G527" s="28" t="s">
        <v>997</v>
      </c>
      <c r="H527" s="28">
        <v>52374</v>
      </c>
      <c r="I527" s="29">
        <f>IFERROR(_xlfn.XLOOKUP(E527,[1]EMPREENDIMENTO!C:C,[1]EMPREENDIMENTO!E:E),"0")</f>
        <v>496</v>
      </c>
      <c r="J527" s="30">
        <v>46386</v>
      </c>
      <c r="K527" s="28" t="s">
        <v>33</v>
      </c>
      <c r="L527" s="31">
        <v>45951</v>
      </c>
      <c r="M527" s="32">
        <v>99533716</v>
      </c>
      <c r="N527" s="32">
        <v>108080216</v>
      </c>
      <c r="O527" s="32">
        <v>107927616</v>
      </c>
      <c r="P527" s="28" t="s">
        <v>34</v>
      </c>
      <c r="Q527" s="28" t="s">
        <v>996</v>
      </c>
      <c r="R527" s="30">
        <v>45964</v>
      </c>
      <c r="S527" s="30">
        <v>45952</v>
      </c>
      <c r="T527" s="33"/>
      <c r="U527" s="34" t="str">
        <f>IFERROR(_xlfn.XLOOKUP(E527,[1]EMPREENDIMENTO!C:C,[1]EMPREENDIMENTO!D:D),"")</f>
        <v>0c1aba4e-7b2f-ed11-ba45-005056890018</v>
      </c>
    </row>
    <row r="528" spans="1:21" x14ac:dyDescent="0.35">
      <c r="A528" s="28" t="str">
        <f>IFERROR(_xlfn.XLOOKUP(C528,[1]DIRETORIA!C:C,[1]DIRETORIA!A:A),"-")</f>
        <v>DIR. COM E CRED SPI</v>
      </c>
      <c r="B528" s="28" t="str">
        <f>IFERROR(_xlfn.XLOOKUP(C528,[1]DIRETORIA!C:C,[1]DIRETORIA!B:B),"-")</f>
        <v>GST. COM RP 1</v>
      </c>
      <c r="C528" s="28" t="str">
        <f>IFERROR(_xlfn.XLOOKUP(E528,[1]EMPREENDIMENTO!C:C,[1]EMPREENDIMENTO!A:A),"-")</f>
        <v>RIBEIRÃO PRETO</v>
      </c>
      <c r="D528" s="28" t="s">
        <v>29</v>
      </c>
      <c r="E528" s="28" t="s">
        <v>994</v>
      </c>
      <c r="F528" s="28" t="s">
        <v>39</v>
      </c>
      <c r="G528" s="28" t="s">
        <v>998</v>
      </c>
      <c r="H528" s="28">
        <v>52366</v>
      </c>
      <c r="I528" s="29">
        <f>IFERROR(_xlfn.XLOOKUP(E528,[1]EMPREENDIMENTO!C:C,[1]EMPREENDIMENTO!E:E),"0")</f>
        <v>496</v>
      </c>
      <c r="J528" s="30">
        <v>46386</v>
      </c>
      <c r="K528" s="28" t="s">
        <v>33</v>
      </c>
      <c r="L528" s="31">
        <v>45951</v>
      </c>
      <c r="M528" s="32">
        <v>99533716</v>
      </c>
      <c r="N528" s="32">
        <v>108080216</v>
      </c>
      <c r="O528" s="32">
        <v>107927616</v>
      </c>
      <c r="P528" s="28" t="s">
        <v>34</v>
      </c>
      <c r="Q528" s="28" t="s">
        <v>996</v>
      </c>
      <c r="R528" s="30">
        <v>45964</v>
      </c>
      <c r="S528" s="30">
        <v>45952</v>
      </c>
      <c r="T528" s="33"/>
      <c r="U528" s="34" t="str">
        <f>IFERROR(_xlfn.XLOOKUP(E528,[1]EMPREENDIMENTO!C:C,[1]EMPREENDIMENTO!D:D),"")</f>
        <v>0c1aba4e-7b2f-ed11-ba45-005056890018</v>
      </c>
    </row>
    <row r="529" spans="1:21" hidden="1" x14ac:dyDescent="0.35">
      <c r="A529" s="28" t="str">
        <f>IFERROR(_xlfn.XLOOKUP(C529,[1]DIRETORIA!C:C,[1]DIRETORIA!A:A),"-")</f>
        <v>DIR. COM E CRED NE</v>
      </c>
      <c r="B529" s="28" t="str">
        <f>IFERROR(_xlfn.XLOOKUP(C529,[1]DIRETORIA!C:C,[1]DIRETORIA!B:B),"-")</f>
        <v>GST. COM NE1 (BA 1)</v>
      </c>
      <c r="C529" s="28" t="str">
        <f>IFERROR(_xlfn.XLOOKUP(E529,[1]EMPREENDIMENTO!C:C,[1]EMPREENDIMENTO!A:A),"-")</f>
        <v>SALVADOR</v>
      </c>
      <c r="D529" s="28" t="s">
        <v>29</v>
      </c>
      <c r="E529" s="28" t="s">
        <v>999</v>
      </c>
      <c r="F529" s="28" t="s">
        <v>31</v>
      </c>
      <c r="G529" s="28" t="s">
        <v>1000</v>
      </c>
      <c r="H529" s="28">
        <v>26377</v>
      </c>
      <c r="I529" s="29">
        <f>IFERROR(_xlfn.XLOOKUP(E529,[1]EMPREENDIMENTO!C:C,[1]EMPREENDIMENTO!E:E),"0")</f>
        <v>360</v>
      </c>
      <c r="J529" s="30">
        <v>45615</v>
      </c>
      <c r="K529" s="28" t="s">
        <v>33</v>
      </c>
      <c r="L529" s="31">
        <v>45558</v>
      </c>
      <c r="M529" s="32">
        <v>64085593.520000003</v>
      </c>
      <c r="N529" s="32">
        <v>66460931.68</v>
      </c>
      <c r="O529" s="32">
        <v>66151101.68</v>
      </c>
      <c r="P529" s="28" t="s">
        <v>34</v>
      </c>
      <c r="Q529" s="28" t="s">
        <v>1001</v>
      </c>
      <c r="R529" s="30">
        <v>45564</v>
      </c>
      <c r="S529" s="30">
        <v>45558</v>
      </c>
      <c r="T529" s="33"/>
      <c r="U529" s="34" t="str">
        <f>IFERROR(_xlfn.XLOOKUP(E529,[1]EMPREENDIMENTO!C:C,[1]EMPREENDIMENTO!D:D),"")</f>
        <v>e462280c-2cde-e911-a6a0-005056856875</v>
      </c>
    </row>
    <row r="530" spans="1:21" hidden="1" x14ac:dyDescent="0.35">
      <c r="A530" s="28" t="str">
        <f>IFERROR(_xlfn.XLOOKUP(C530,[1]DIRETORIA!C:C,[1]DIRETORIA!A:A),"-")</f>
        <v>DIR. COM E CRED NE</v>
      </c>
      <c r="B530" s="28" t="str">
        <f>IFERROR(_xlfn.XLOOKUP(C530,[1]DIRETORIA!C:C,[1]DIRETORIA!B:B),"-")</f>
        <v>GST. COM NE1 (BA 1)</v>
      </c>
      <c r="C530" s="28" t="str">
        <f>IFERROR(_xlfn.XLOOKUP(E530,[1]EMPREENDIMENTO!C:C,[1]EMPREENDIMENTO!A:A),"-")</f>
        <v>SALVADOR</v>
      </c>
      <c r="D530" s="28" t="s">
        <v>29</v>
      </c>
      <c r="E530" s="28" t="s">
        <v>999</v>
      </c>
      <c r="F530" s="28" t="s">
        <v>36</v>
      </c>
      <c r="G530" s="28" t="s">
        <v>1002</v>
      </c>
      <c r="H530" s="28">
        <v>31553</v>
      </c>
      <c r="I530" s="29">
        <f>IFERROR(_xlfn.XLOOKUP(E530,[1]EMPREENDIMENTO!C:C,[1]EMPREENDIMENTO!E:E),"0")</f>
        <v>360</v>
      </c>
      <c r="J530" s="30">
        <v>45615</v>
      </c>
      <c r="K530" s="28" t="s">
        <v>33</v>
      </c>
      <c r="L530" s="31">
        <v>45558</v>
      </c>
      <c r="M530" s="32">
        <v>64085593.520000003</v>
      </c>
      <c r="N530" s="32">
        <v>66460931.68</v>
      </c>
      <c r="O530" s="32">
        <v>66151101.68</v>
      </c>
      <c r="P530" s="28" t="s">
        <v>34</v>
      </c>
      <c r="Q530" s="28" t="s">
        <v>1001</v>
      </c>
      <c r="R530" s="30">
        <v>45564</v>
      </c>
      <c r="S530" s="30">
        <v>45558</v>
      </c>
      <c r="T530" s="33"/>
      <c r="U530" s="34" t="str">
        <f>IFERROR(_xlfn.XLOOKUP(E530,[1]EMPREENDIMENTO!C:C,[1]EMPREENDIMENTO!D:D),"")</f>
        <v>e462280c-2cde-e911-a6a0-005056856875</v>
      </c>
    </row>
    <row r="531" spans="1:21" hidden="1" x14ac:dyDescent="0.35">
      <c r="A531" s="28" t="str">
        <f>IFERROR(_xlfn.XLOOKUP(C531,[1]DIRETORIA!C:C,[1]DIRETORIA!A:A),"-")</f>
        <v>DIR. COM E CRED NE</v>
      </c>
      <c r="B531" s="28" t="str">
        <f>IFERROR(_xlfn.XLOOKUP(C531,[1]DIRETORIA!C:C,[1]DIRETORIA!B:B),"-")</f>
        <v>GST. COM NE1 (BA 1)</v>
      </c>
      <c r="C531" s="28" t="str">
        <f>IFERROR(_xlfn.XLOOKUP(E531,[1]EMPREENDIMENTO!C:C,[1]EMPREENDIMENTO!A:A),"-")</f>
        <v>SALVADOR</v>
      </c>
      <c r="D531" s="28" t="s">
        <v>29</v>
      </c>
      <c r="E531" s="28" t="s">
        <v>999</v>
      </c>
      <c r="F531" s="28" t="s">
        <v>39</v>
      </c>
      <c r="G531" s="28" t="s">
        <v>1003</v>
      </c>
      <c r="H531" s="28">
        <v>31559</v>
      </c>
      <c r="I531" s="29">
        <f>IFERROR(_xlfn.XLOOKUP(E531,[1]EMPREENDIMENTO!C:C,[1]EMPREENDIMENTO!E:E),"0")</f>
        <v>360</v>
      </c>
      <c r="J531" s="30">
        <v>45615</v>
      </c>
      <c r="K531" s="28" t="s">
        <v>33</v>
      </c>
      <c r="L531" s="31">
        <v>45558</v>
      </c>
      <c r="M531" s="32">
        <v>64085593.520000003</v>
      </c>
      <c r="N531" s="32">
        <v>66460931.68</v>
      </c>
      <c r="O531" s="32">
        <v>66151101.68</v>
      </c>
      <c r="P531" s="28" t="s">
        <v>34</v>
      </c>
      <c r="Q531" s="28" t="s">
        <v>1001</v>
      </c>
      <c r="R531" s="30">
        <v>45564</v>
      </c>
      <c r="S531" s="30">
        <v>45558</v>
      </c>
      <c r="T531" s="33"/>
      <c r="U531" s="34" t="str">
        <f>IFERROR(_xlfn.XLOOKUP(E531,[1]EMPREENDIMENTO!C:C,[1]EMPREENDIMENTO!D:D),"")</f>
        <v>e462280c-2cde-e911-a6a0-005056856875</v>
      </c>
    </row>
    <row r="532" spans="1:21" hidden="1" x14ac:dyDescent="0.35">
      <c r="A532" s="28" t="str">
        <f>IFERROR(_xlfn.XLOOKUP(C532,[1]DIRETORIA!C:C,[1]DIRETORIA!A:A),"-")</f>
        <v>DIR. COM E CRED SP E VL</v>
      </c>
      <c r="B532" s="28" t="str">
        <f>IFERROR(_xlfn.XLOOKUP(C532,[1]DIRETORIA!C:C,[1]DIRETORIA!B:B),"-")</f>
        <v>GST. COM SP2</v>
      </c>
      <c r="C532" s="28" t="str">
        <f>IFERROR(_xlfn.XLOOKUP(E532,[1]EMPREENDIMENTO!C:C,[1]EMPREENDIMENTO!A:A),"-")</f>
        <v>SÃO PAULO</v>
      </c>
      <c r="D532" s="28" t="s">
        <v>29</v>
      </c>
      <c r="E532" s="28" t="s">
        <v>1004</v>
      </c>
      <c r="F532" s="28" t="s">
        <v>31</v>
      </c>
      <c r="G532" s="28" t="s">
        <v>1005</v>
      </c>
      <c r="H532" s="28">
        <v>38304</v>
      </c>
      <c r="I532" s="29">
        <f>IFERROR(_xlfn.XLOOKUP(E532,[1]EMPREENDIMENTO!C:C,[1]EMPREENDIMENTO!E:E),"0")</f>
        <v>1152</v>
      </c>
      <c r="J532" s="30">
        <v>46692</v>
      </c>
      <c r="K532" s="28" t="s">
        <v>33</v>
      </c>
      <c r="L532" s="31">
        <v>45822</v>
      </c>
      <c r="M532" s="32">
        <v>247708800</v>
      </c>
      <c r="N532" s="32">
        <v>285696000</v>
      </c>
      <c r="O532" s="32">
        <v>285696000</v>
      </c>
      <c r="P532" s="28" t="s">
        <v>34</v>
      </c>
      <c r="Q532" s="28" t="s">
        <v>1006</v>
      </c>
      <c r="R532" s="30">
        <v>45838</v>
      </c>
      <c r="S532" s="30">
        <v>45845</v>
      </c>
      <c r="T532" s="33"/>
      <c r="U532" s="34" t="str">
        <f>IFERROR(_xlfn.XLOOKUP(E532,[1]EMPREENDIMENTO!C:C,[1]EMPREENDIMENTO!D:D),"")</f>
        <v>b9ab45ab-f0d5-eb11-b886-0050568aa20f</v>
      </c>
    </row>
    <row r="533" spans="1:21" hidden="1" x14ac:dyDescent="0.35">
      <c r="A533" s="28" t="str">
        <f>IFERROR(_xlfn.XLOOKUP(C533,[1]DIRETORIA!C:C,[1]DIRETORIA!A:A),"-")</f>
        <v>DIR. COM E CRED SP E VL</v>
      </c>
      <c r="B533" s="28" t="str">
        <f>IFERROR(_xlfn.XLOOKUP(C533,[1]DIRETORIA!C:C,[1]DIRETORIA!B:B),"-")</f>
        <v>GST. COM SP2</v>
      </c>
      <c r="C533" s="28" t="str">
        <f>IFERROR(_xlfn.XLOOKUP(E533,[1]EMPREENDIMENTO!C:C,[1]EMPREENDIMENTO!A:A),"-")</f>
        <v>SÃO PAULO</v>
      </c>
      <c r="D533" s="28" t="s">
        <v>29</v>
      </c>
      <c r="E533" s="28" t="s">
        <v>1004</v>
      </c>
      <c r="F533" s="28" t="s">
        <v>36</v>
      </c>
      <c r="G533" s="28" t="s">
        <v>1007</v>
      </c>
      <c r="H533" s="28">
        <v>41670</v>
      </c>
      <c r="I533" s="29">
        <f>IFERROR(_xlfn.XLOOKUP(E533,[1]EMPREENDIMENTO!C:C,[1]EMPREENDIMENTO!E:E),"0")</f>
        <v>1152</v>
      </c>
      <c r="J533" s="30">
        <v>46692</v>
      </c>
      <c r="K533" s="28" t="s">
        <v>33</v>
      </c>
      <c r="L533" s="31">
        <v>45822</v>
      </c>
      <c r="M533" s="32">
        <v>247708800</v>
      </c>
      <c r="N533" s="32">
        <v>285696000</v>
      </c>
      <c r="O533" s="32">
        <v>285696000</v>
      </c>
      <c r="P533" s="28" t="s">
        <v>34</v>
      </c>
      <c r="Q533" s="28" t="s">
        <v>1006</v>
      </c>
      <c r="R533" s="30">
        <v>45838</v>
      </c>
      <c r="S533" s="30">
        <v>45845</v>
      </c>
      <c r="T533" s="33"/>
      <c r="U533" s="34" t="str">
        <f>IFERROR(_xlfn.XLOOKUP(E533,[1]EMPREENDIMENTO!C:C,[1]EMPREENDIMENTO!D:D),"")</f>
        <v>b9ab45ab-f0d5-eb11-b886-0050568aa20f</v>
      </c>
    </row>
    <row r="534" spans="1:21" hidden="1" x14ac:dyDescent="0.35">
      <c r="A534" s="28" t="str">
        <f>IFERROR(_xlfn.XLOOKUP(C534,[1]DIRETORIA!C:C,[1]DIRETORIA!A:A),"-")</f>
        <v>DIR. COM E CRED SP E VL</v>
      </c>
      <c r="B534" s="28" t="str">
        <f>IFERROR(_xlfn.XLOOKUP(C534,[1]DIRETORIA!C:C,[1]DIRETORIA!B:B),"-")</f>
        <v>GST. COM SP2</v>
      </c>
      <c r="C534" s="28" t="str">
        <f>IFERROR(_xlfn.XLOOKUP(E534,[1]EMPREENDIMENTO!C:C,[1]EMPREENDIMENTO!A:A),"-")</f>
        <v>SÃO PAULO</v>
      </c>
      <c r="D534" s="28" t="s">
        <v>29</v>
      </c>
      <c r="E534" s="28" t="s">
        <v>1004</v>
      </c>
      <c r="F534" s="28" t="s">
        <v>39</v>
      </c>
      <c r="G534" s="28" t="s">
        <v>1008</v>
      </c>
      <c r="H534" s="28">
        <v>41741</v>
      </c>
      <c r="I534" s="29">
        <f>IFERROR(_xlfn.XLOOKUP(E534,[1]EMPREENDIMENTO!C:C,[1]EMPREENDIMENTO!E:E),"0")</f>
        <v>1152</v>
      </c>
      <c r="J534" s="30">
        <v>46692</v>
      </c>
      <c r="K534" s="28" t="s">
        <v>33</v>
      </c>
      <c r="L534" s="31">
        <v>45822</v>
      </c>
      <c r="M534" s="32">
        <v>247708800</v>
      </c>
      <c r="N534" s="32">
        <v>285696000</v>
      </c>
      <c r="O534" s="32">
        <v>285696000</v>
      </c>
      <c r="P534" s="28" t="s">
        <v>34</v>
      </c>
      <c r="Q534" s="28" t="s">
        <v>1006</v>
      </c>
      <c r="R534" s="30">
        <v>45838</v>
      </c>
      <c r="S534" s="30">
        <v>45845</v>
      </c>
      <c r="T534" s="33"/>
      <c r="U534" s="34" t="str">
        <f>IFERROR(_xlfn.XLOOKUP(E534,[1]EMPREENDIMENTO!C:C,[1]EMPREENDIMENTO!D:D),"")</f>
        <v>b9ab45ab-f0d5-eb11-b886-0050568aa20f</v>
      </c>
    </row>
    <row r="535" spans="1:21" hidden="1" x14ac:dyDescent="0.35">
      <c r="A535" s="28" t="str">
        <f>IFERROR(_xlfn.XLOOKUP(C535,[1]DIRETORIA!C:C,[1]DIRETORIA!A:A),"-")</f>
        <v>DIR. COM E CRED SP E VL</v>
      </c>
      <c r="B535" s="28" t="str">
        <f>IFERROR(_xlfn.XLOOKUP(C535,[1]DIRETORIA!C:C,[1]DIRETORIA!B:B),"-")</f>
        <v>GST. COM SP2</v>
      </c>
      <c r="C535" s="28" t="str">
        <f>IFERROR(_xlfn.XLOOKUP(E535,[1]EMPREENDIMENTO!C:C,[1]EMPREENDIMENTO!A:A),"-")</f>
        <v>SÃO PAULO</v>
      </c>
      <c r="D535" s="28" t="s">
        <v>29</v>
      </c>
      <c r="E535" s="28" t="s">
        <v>1004</v>
      </c>
      <c r="F535" s="28" t="s">
        <v>50</v>
      </c>
      <c r="G535" s="28" t="s">
        <v>1009</v>
      </c>
      <c r="H535" s="28">
        <v>41754</v>
      </c>
      <c r="I535" s="29">
        <f>IFERROR(_xlfn.XLOOKUP(E535,[1]EMPREENDIMENTO!C:C,[1]EMPREENDIMENTO!E:E),"0")</f>
        <v>1152</v>
      </c>
      <c r="J535" s="30">
        <v>46692</v>
      </c>
      <c r="K535" s="28" t="s">
        <v>33</v>
      </c>
      <c r="L535" s="31">
        <v>45822</v>
      </c>
      <c r="M535" s="32">
        <v>247708800</v>
      </c>
      <c r="N535" s="32">
        <v>285696000</v>
      </c>
      <c r="O535" s="32">
        <v>285696000</v>
      </c>
      <c r="P535" s="28" t="s">
        <v>34</v>
      </c>
      <c r="Q535" s="28" t="s">
        <v>1006</v>
      </c>
      <c r="R535" s="30">
        <v>45838</v>
      </c>
      <c r="S535" s="30">
        <v>45845</v>
      </c>
      <c r="T535" s="33"/>
      <c r="U535" s="34" t="str">
        <f>IFERROR(_xlfn.XLOOKUP(E535,[1]EMPREENDIMENTO!C:C,[1]EMPREENDIMENTO!D:D),"")</f>
        <v>b9ab45ab-f0d5-eb11-b886-0050568aa20f</v>
      </c>
    </row>
    <row r="536" spans="1:21" hidden="1" x14ac:dyDescent="0.35">
      <c r="A536" s="28" t="str">
        <f>IFERROR(_xlfn.XLOOKUP(C536,[1]DIRETORIA!C:C,[1]DIRETORIA!A:A),"-")</f>
        <v>DIR. COM E CRED CO E AM</v>
      </c>
      <c r="B536" s="28" t="str">
        <f>IFERROR(_xlfn.XLOOKUP(C536,[1]DIRETORIA!C:C,[1]DIRETORIA!B:B),"-")</f>
        <v>GST. COM AM</v>
      </c>
      <c r="C536" s="28" t="str">
        <f>IFERROR(_xlfn.XLOOKUP(E536,[1]EMPREENDIMENTO!C:C,[1]EMPREENDIMENTO!A:A),"-")</f>
        <v>MANAUS</v>
      </c>
      <c r="D536" s="28" t="s">
        <v>29</v>
      </c>
      <c r="E536" s="28" t="s">
        <v>1010</v>
      </c>
      <c r="F536" s="28" t="s">
        <v>31</v>
      </c>
      <c r="G536" s="28" t="s">
        <v>1011</v>
      </c>
      <c r="H536" s="28">
        <v>28861</v>
      </c>
      <c r="I536" s="29">
        <f>IFERROR(_xlfn.XLOOKUP(E536,[1]EMPREENDIMENTO!C:C,[1]EMPREENDIMENTO!E:E),"0")</f>
        <v>384</v>
      </c>
      <c r="J536" s="30">
        <v>46566</v>
      </c>
      <c r="K536" s="28" t="s">
        <v>33</v>
      </c>
      <c r="L536" s="31">
        <v>46204</v>
      </c>
      <c r="M536" s="32">
        <v>129584300</v>
      </c>
      <c r="N536" s="32">
        <v>139184300</v>
      </c>
      <c r="O536" s="32">
        <v>131931900</v>
      </c>
      <c r="P536" s="28" t="s">
        <v>34</v>
      </c>
      <c r="Q536" s="28" t="s">
        <v>1012</v>
      </c>
      <c r="R536" s="30">
        <v>46219</v>
      </c>
      <c r="S536" s="30"/>
      <c r="T536" s="33"/>
      <c r="U536" s="34" t="str">
        <f>IFERROR(_xlfn.XLOOKUP(E536,[1]EMPREENDIMENTO!C:C,[1]EMPREENDIMENTO!D:D),"")</f>
        <v>98cf94d1-5d47-ea11-801d-005056856875</v>
      </c>
    </row>
    <row r="537" spans="1:21" hidden="1" x14ac:dyDescent="0.35">
      <c r="A537" s="28" t="str">
        <f>IFERROR(_xlfn.XLOOKUP(C537,[1]DIRETORIA!C:C,[1]DIRETORIA!A:A),"-")</f>
        <v>DIR. COM E CRED CO E AM</v>
      </c>
      <c r="B537" s="28" t="str">
        <f>IFERROR(_xlfn.XLOOKUP(C537,[1]DIRETORIA!C:C,[1]DIRETORIA!B:B),"-")</f>
        <v>GST. COM AM</v>
      </c>
      <c r="C537" s="28" t="str">
        <f>IFERROR(_xlfn.XLOOKUP(E537,[1]EMPREENDIMENTO!C:C,[1]EMPREENDIMENTO!A:A),"-")</f>
        <v>MANAUS</v>
      </c>
      <c r="D537" s="28" t="s">
        <v>29</v>
      </c>
      <c r="E537" s="28" t="s">
        <v>1010</v>
      </c>
      <c r="F537" s="28" t="s">
        <v>36</v>
      </c>
      <c r="G537" s="28" t="s">
        <v>1013</v>
      </c>
      <c r="H537" s="28">
        <v>43961</v>
      </c>
      <c r="I537" s="29">
        <f>IFERROR(_xlfn.XLOOKUP(E537,[1]EMPREENDIMENTO!C:C,[1]EMPREENDIMENTO!E:E),"0")</f>
        <v>384</v>
      </c>
      <c r="J537" s="30">
        <v>46566</v>
      </c>
      <c r="K537" s="28" t="s">
        <v>33</v>
      </c>
      <c r="L537" s="31">
        <v>46204</v>
      </c>
      <c r="M537" s="32">
        <v>129584300</v>
      </c>
      <c r="N537" s="32">
        <v>139184300</v>
      </c>
      <c r="O537" s="32">
        <v>131931900</v>
      </c>
      <c r="P537" s="28" t="s">
        <v>34</v>
      </c>
      <c r="Q537" s="28" t="s">
        <v>1012</v>
      </c>
      <c r="R537" s="30">
        <v>46219</v>
      </c>
      <c r="S537" s="30"/>
      <c r="T537" s="33"/>
      <c r="U537" s="34" t="str">
        <f>IFERROR(_xlfn.XLOOKUP(E537,[1]EMPREENDIMENTO!C:C,[1]EMPREENDIMENTO!D:D),"")</f>
        <v>98cf94d1-5d47-ea11-801d-005056856875</v>
      </c>
    </row>
    <row r="538" spans="1:21" hidden="1" x14ac:dyDescent="0.35">
      <c r="A538" s="28" t="str">
        <f>IFERROR(_xlfn.XLOOKUP(C538,[1]DIRETORIA!C:C,[1]DIRETORIA!A:A),"-")</f>
        <v>DIR. COM E CRED CO E AM</v>
      </c>
      <c r="B538" s="28" t="str">
        <f>IFERROR(_xlfn.XLOOKUP(C538,[1]DIRETORIA!C:C,[1]DIRETORIA!B:B),"-")</f>
        <v>GST. COM AM</v>
      </c>
      <c r="C538" s="28" t="str">
        <f>IFERROR(_xlfn.XLOOKUP(E538,[1]EMPREENDIMENTO!C:C,[1]EMPREENDIMENTO!A:A),"-")</f>
        <v>MANAUS</v>
      </c>
      <c r="D538" s="28" t="s">
        <v>29</v>
      </c>
      <c r="E538" s="28" t="s">
        <v>1010</v>
      </c>
      <c r="F538" s="28" t="s">
        <v>39</v>
      </c>
      <c r="G538" s="28" t="s">
        <v>1014</v>
      </c>
      <c r="H538" s="28">
        <v>45447</v>
      </c>
      <c r="I538" s="29">
        <f>IFERROR(_xlfn.XLOOKUP(E538,[1]EMPREENDIMENTO!C:C,[1]EMPREENDIMENTO!E:E),"0")</f>
        <v>384</v>
      </c>
      <c r="J538" s="30">
        <v>46566</v>
      </c>
      <c r="K538" s="28" t="s">
        <v>33</v>
      </c>
      <c r="L538" s="31">
        <v>46204</v>
      </c>
      <c r="M538" s="32">
        <v>129584300</v>
      </c>
      <c r="N538" s="32">
        <v>139184300</v>
      </c>
      <c r="O538" s="32">
        <v>131931900</v>
      </c>
      <c r="P538" s="28" t="s">
        <v>34</v>
      </c>
      <c r="Q538" s="28" t="s">
        <v>1012</v>
      </c>
      <c r="R538" s="30">
        <v>46219</v>
      </c>
      <c r="S538" s="30"/>
      <c r="T538" s="33"/>
      <c r="U538" s="34" t="str">
        <f>IFERROR(_xlfn.XLOOKUP(E538,[1]EMPREENDIMENTO!C:C,[1]EMPREENDIMENTO!D:D),"")</f>
        <v>98cf94d1-5d47-ea11-801d-005056856875</v>
      </c>
    </row>
    <row r="539" spans="1:21" hidden="1" x14ac:dyDescent="0.35">
      <c r="A539" s="28" t="str">
        <f>IFERROR(_xlfn.XLOOKUP(C539,[1]DIRETORIA!C:C,[1]DIRETORIA!A:A),"-")</f>
        <v>DIR. COM E CRED NE</v>
      </c>
      <c r="B539" s="28" t="str">
        <f>IFERROR(_xlfn.XLOOKUP(C539,[1]DIRETORIA!C:C,[1]DIRETORIA!B:B),"-")</f>
        <v>GST. COM NE4 (CE)</v>
      </c>
      <c r="C539" s="28" t="str">
        <f>IFERROR(_xlfn.XLOOKUP(E539,[1]EMPREENDIMENTO!C:C,[1]EMPREENDIMENTO!A:A),"-")</f>
        <v>FORTALEZA</v>
      </c>
      <c r="D539" s="28" t="s">
        <v>85</v>
      </c>
      <c r="E539" s="28" t="s">
        <v>1015</v>
      </c>
      <c r="F539" s="28" t="s">
        <v>42</v>
      </c>
      <c r="G539" s="28" t="s">
        <v>1016</v>
      </c>
      <c r="H539" s="28">
        <v>2998</v>
      </c>
      <c r="I539" s="29">
        <f>IFERROR(_xlfn.XLOOKUP(E539,[1]EMPREENDIMENTO!C:C,[1]EMPREENDIMENTO!E:E),"0")</f>
        <v>140</v>
      </c>
      <c r="J539" s="30"/>
      <c r="K539" s="28" t="s">
        <v>33</v>
      </c>
      <c r="L539" s="31">
        <v>46013</v>
      </c>
      <c r="M539" s="32">
        <v>57504684</v>
      </c>
      <c r="N539" s="32">
        <v>57504684</v>
      </c>
      <c r="O539" s="32">
        <v>57466524</v>
      </c>
      <c r="P539" s="28" t="s">
        <v>34</v>
      </c>
      <c r="Q539" s="28"/>
      <c r="R539" s="30"/>
      <c r="S539" s="30">
        <v>46014</v>
      </c>
      <c r="T539" s="33"/>
      <c r="U539" s="34" t="str">
        <f>IFERROR(_xlfn.XLOOKUP(E539,[1]EMPREENDIMENTO!C:C,[1]EMPREENDIMENTO!D:D),"")</f>
        <v>A3BD10C9-31A2-E411-B5D2-009C02B0CB58</v>
      </c>
    </row>
    <row r="540" spans="1:21" hidden="1" x14ac:dyDescent="0.35">
      <c r="A540" s="28" t="str">
        <f>IFERROR(_xlfn.XLOOKUP(C540,[1]DIRETORIA!C:C,[1]DIRETORIA!A:A),"-")</f>
        <v>DIR. COM E CRED SUL</v>
      </c>
      <c r="B540" s="28" t="str">
        <f>IFERROR(_xlfn.XLOOKUP(C540,[1]DIRETORIA!C:C,[1]DIRETORIA!B:B),"-")</f>
        <v>GST. COM SC</v>
      </c>
      <c r="C540" s="28" t="str">
        <f>IFERROR(_xlfn.XLOOKUP(E540,[1]EMPREENDIMENTO!C:C,[1]EMPREENDIMENTO!A:A),"-")</f>
        <v>SÃO JOSÉ</v>
      </c>
      <c r="D540" s="28" t="s">
        <v>29</v>
      </c>
      <c r="E540" s="28" t="s">
        <v>1017</v>
      </c>
      <c r="F540" s="28" t="s">
        <v>31</v>
      </c>
      <c r="G540" s="28" t="s">
        <v>1018</v>
      </c>
      <c r="H540" s="28">
        <v>39754</v>
      </c>
      <c r="I540" s="29">
        <f>IFERROR(_xlfn.XLOOKUP(E540,[1]EMPREENDIMENTO!C:C,[1]EMPREENDIMENTO!E:E),"0")</f>
        <v>368</v>
      </c>
      <c r="J540" s="30">
        <v>46633</v>
      </c>
      <c r="K540" s="28" t="s">
        <v>164</v>
      </c>
      <c r="L540" s="31">
        <v>45694</v>
      </c>
      <c r="M540" s="32">
        <v>96460000</v>
      </c>
      <c r="N540" s="32">
        <v>108236000</v>
      </c>
      <c r="O540" s="32">
        <v>103169000</v>
      </c>
      <c r="P540" s="28" t="s">
        <v>34</v>
      </c>
      <c r="Q540" s="28" t="s">
        <v>1019</v>
      </c>
      <c r="R540" s="30">
        <v>45702</v>
      </c>
      <c r="S540" s="30">
        <v>45695</v>
      </c>
      <c r="T540" s="33"/>
      <c r="U540" s="34" t="str">
        <f>IFERROR(_xlfn.XLOOKUP(E540,[1]EMPREENDIMENTO!C:C,[1]EMPREENDIMENTO!D:D),"")</f>
        <v>79e48a3c-5928-ec11-b501-005056856b6c</v>
      </c>
    </row>
    <row r="541" spans="1:21" hidden="1" x14ac:dyDescent="0.35">
      <c r="A541" s="28" t="str">
        <f>IFERROR(_xlfn.XLOOKUP(C541,[1]DIRETORIA!C:C,[1]DIRETORIA!A:A),"-")</f>
        <v>DIR. COM E CRED SUL</v>
      </c>
      <c r="B541" s="28" t="str">
        <f>IFERROR(_xlfn.XLOOKUP(C541,[1]DIRETORIA!C:C,[1]DIRETORIA!B:B),"-")</f>
        <v>GST. COM SC</v>
      </c>
      <c r="C541" s="28" t="str">
        <f>IFERROR(_xlfn.XLOOKUP(E541,[1]EMPREENDIMENTO!C:C,[1]EMPREENDIMENTO!A:A),"-")</f>
        <v>SÃO JOSÉ</v>
      </c>
      <c r="D541" s="28" t="s">
        <v>29</v>
      </c>
      <c r="E541" s="28" t="s">
        <v>1017</v>
      </c>
      <c r="F541" s="28" t="s">
        <v>36</v>
      </c>
      <c r="G541" s="28" t="s">
        <v>1020</v>
      </c>
      <c r="H541" s="28">
        <v>45489</v>
      </c>
      <c r="I541" s="29">
        <f>IFERROR(_xlfn.XLOOKUP(E541,[1]EMPREENDIMENTO!C:C,[1]EMPREENDIMENTO!E:E),"0")</f>
        <v>368</v>
      </c>
      <c r="J541" s="30">
        <v>46633</v>
      </c>
      <c r="K541" s="28" t="s">
        <v>164</v>
      </c>
      <c r="L541" s="31">
        <v>45694</v>
      </c>
      <c r="M541" s="32">
        <v>96460000</v>
      </c>
      <c r="N541" s="32">
        <v>108236000</v>
      </c>
      <c r="O541" s="32">
        <v>103169000</v>
      </c>
      <c r="P541" s="28" t="s">
        <v>34</v>
      </c>
      <c r="Q541" s="28" t="s">
        <v>1019</v>
      </c>
      <c r="R541" s="30">
        <v>45702</v>
      </c>
      <c r="S541" s="30">
        <v>45695</v>
      </c>
      <c r="T541" s="33"/>
      <c r="U541" s="34" t="str">
        <f>IFERROR(_xlfn.XLOOKUP(E541,[1]EMPREENDIMENTO!C:C,[1]EMPREENDIMENTO!D:D),"")</f>
        <v>79e48a3c-5928-ec11-b501-005056856b6c</v>
      </c>
    </row>
    <row r="542" spans="1:21" hidden="1" x14ac:dyDescent="0.35">
      <c r="A542" s="28" t="str">
        <f>IFERROR(_xlfn.XLOOKUP(C542,[1]DIRETORIA!C:C,[1]DIRETORIA!A:A),"-")</f>
        <v>DIR. COM E CRED SUL</v>
      </c>
      <c r="B542" s="28" t="str">
        <f>IFERROR(_xlfn.XLOOKUP(C542,[1]DIRETORIA!C:C,[1]DIRETORIA!B:B),"-")</f>
        <v>GST. COM SC</v>
      </c>
      <c r="C542" s="28" t="str">
        <f>IFERROR(_xlfn.XLOOKUP(E542,[1]EMPREENDIMENTO!C:C,[1]EMPREENDIMENTO!A:A),"-")</f>
        <v>SÃO JOSÉ</v>
      </c>
      <c r="D542" s="28" t="s">
        <v>29</v>
      </c>
      <c r="E542" s="28" t="s">
        <v>1017</v>
      </c>
      <c r="F542" s="28" t="s">
        <v>39</v>
      </c>
      <c r="G542" s="28" t="s">
        <v>1021</v>
      </c>
      <c r="H542" s="28">
        <v>50322</v>
      </c>
      <c r="I542" s="29">
        <f>IFERROR(_xlfn.XLOOKUP(E542,[1]EMPREENDIMENTO!C:C,[1]EMPREENDIMENTO!E:E),"0")</f>
        <v>368</v>
      </c>
      <c r="J542" s="30">
        <v>46633</v>
      </c>
      <c r="K542" s="28" t="s">
        <v>164</v>
      </c>
      <c r="L542" s="31">
        <v>45694</v>
      </c>
      <c r="M542" s="32">
        <v>96460000</v>
      </c>
      <c r="N542" s="32">
        <v>108236000</v>
      </c>
      <c r="O542" s="32">
        <v>103169000</v>
      </c>
      <c r="P542" s="28" t="s">
        <v>34</v>
      </c>
      <c r="Q542" s="28" t="s">
        <v>1019</v>
      </c>
      <c r="R542" s="30">
        <v>45702</v>
      </c>
      <c r="S542" s="30">
        <v>45695</v>
      </c>
      <c r="T542" s="33"/>
      <c r="U542" s="34" t="str">
        <f>IFERROR(_xlfn.XLOOKUP(E542,[1]EMPREENDIMENTO!C:C,[1]EMPREENDIMENTO!D:D),"")</f>
        <v>79e48a3c-5928-ec11-b501-005056856b6c</v>
      </c>
    </row>
    <row r="543" spans="1:21" hidden="1" x14ac:dyDescent="0.35">
      <c r="A543" s="28" t="str">
        <f>IFERROR(_xlfn.XLOOKUP(C543,[1]DIRETORIA!C:C,[1]DIRETORIA!A:A),"-")</f>
        <v>DIR. COM E CRED SP E VL</v>
      </c>
      <c r="B543" s="28" t="str">
        <f>IFERROR(_xlfn.XLOOKUP(C543,[1]DIRETORIA!C:C,[1]DIRETORIA!B:B),"-")</f>
        <v>GST. COM VL1</v>
      </c>
      <c r="C543" s="28" t="str">
        <f>IFERROR(_xlfn.XLOOKUP(E543,[1]EMPREENDIMENTO!C:C,[1]EMPREENDIMENTO!A:A),"-")</f>
        <v>SÃO JOSÉ DOS CAMPOS</v>
      </c>
      <c r="D543" s="28" t="s">
        <v>29</v>
      </c>
      <c r="E543" s="28" t="s">
        <v>1022</v>
      </c>
      <c r="F543" s="28" t="s">
        <v>42</v>
      </c>
      <c r="G543" s="28" t="s">
        <v>1023</v>
      </c>
      <c r="H543" s="28">
        <v>35465</v>
      </c>
      <c r="I543" s="29">
        <f>IFERROR(_xlfn.XLOOKUP(E543,[1]EMPREENDIMENTO!C:C,[1]EMPREENDIMENTO!E:E),"0")</f>
        <v>288</v>
      </c>
      <c r="J543" s="30">
        <v>46507</v>
      </c>
      <c r="K543" s="28" t="s">
        <v>33</v>
      </c>
      <c r="L543" s="31">
        <v>45565</v>
      </c>
      <c r="M543" s="32">
        <v>79214800</v>
      </c>
      <c r="N543" s="32">
        <v>87136280</v>
      </c>
      <c r="O543" s="32">
        <v>83404000</v>
      </c>
      <c r="P543" s="28" t="s">
        <v>34</v>
      </c>
      <c r="Q543" s="28" t="s">
        <v>1024</v>
      </c>
      <c r="R543" s="30">
        <v>45570</v>
      </c>
      <c r="S543" s="30"/>
      <c r="T543" s="33"/>
      <c r="U543" s="34" t="str">
        <f>IFERROR(_xlfn.XLOOKUP(E543,[1]EMPREENDIMENTO!C:C,[1]EMPREENDIMENTO!D:D),"")</f>
        <v>78c426b5-bc02-e011-8c0c-001b78b9d994</v>
      </c>
    </row>
    <row r="544" spans="1:21" hidden="1" x14ac:dyDescent="0.35">
      <c r="A544" s="28" t="str">
        <f>IFERROR(_xlfn.XLOOKUP(C544,[1]DIRETORIA!C:C,[1]DIRETORIA!A:A),"-")</f>
        <v>DIR. COM E CRED NE</v>
      </c>
      <c r="B544" s="28" t="str">
        <f>IFERROR(_xlfn.XLOOKUP(C544,[1]DIRETORIA!C:C,[1]DIRETORIA!B:B),"-")</f>
        <v>GST. COM NE4 (CE)</v>
      </c>
      <c r="C544" s="28" t="str">
        <f>IFERROR(_xlfn.XLOOKUP(E544,[1]EMPREENDIMENTO!C:C,[1]EMPREENDIMENTO!A:A),"-")</f>
        <v>FORTALEZA</v>
      </c>
      <c r="D544" s="28" t="s">
        <v>29</v>
      </c>
      <c r="E544" s="28" t="s">
        <v>1025</v>
      </c>
      <c r="F544" s="28" t="s">
        <v>42</v>
      </c>
      <c r="G544" s="28" t="s">
        <v>1026</v>
      </c>
      <c r="H544" s="28">
        <v>34459</v>
      </c>
      <c r="I544" s="29">
        <f>IFERROR(_xlfn.XLOOKUP(E544,[1]EMPREENDIMENTO!C:C,[1]EMPREENDIMENTO!E:E),"0")</f>
        <v>372</v>
      </c>
      <c r="J544" s="30">
        <v>46713</v>
      </c>
      <c r="K544" s="28" t="s">
        <v>33</v>
      </c>
      <c r="L544" s="31">
        <v>46084</v>
      </c>
      <c r="M544" s="32">
        <v>104172877</v>
      </c>
      <c r="N544" s="32">
        <v>112648452</v>
      </c>
      <c r="O544" s="32">
        <v>110900854</v>
      </c>
      <c r="P544" s="28" t="s">
        <v>34</v>
      </c>
      <c r="Q544" s="28" t="s">
        <v>1027</v>
      </c>
      <c r="R544" s="30">
        <v>46253</v>
      </c>
      <c r="S544" s="30">
        <v>46253</v>
      </c>
      <c r="T544" s="33" t="s">
        <v>1028</v>
      </c>
      <c r="U544" s="34" t="str">
        <f>IFERROR(_xlfn.XLOOKUP(E544,[1]EMPREENDIMENTO!C:C,[1]EMPREENDIMENTO!D:D),"")</f>
        <v>cb01fed2-47d9-e811-a4f5-80c16e075108</v>
      </c>
    </row>
    <row r="545" spans="1:21" hidden="1" x14ac:dyDescent="0.35">
      <c r="A545" s="28" t="str">
        <f>IFERROR(_xlfn.XLOOKUP(C545,[1]DIRETORIA!C:C,[1]DIRETORIA!A:A),"-")</f>
        <v>DIR. COM E CRED NE</v>
      </c>
      <c r="B545" s="28" t="str">
        <f>IFERROR(_xlfn.XLOOKUP(C545,[1]DIRETORIA!C:C,[1]DIRETORIA!B:B),"-")</f>
        <v>GST. COM NE 7 (PI+MA)</v>
      </c>
      <c r="C545" s="28" t="str">
        <f>IFERROR(_xlfn.XLOOKUP(E545,[1]EMPREENDIMENTO!C:C,[1]EMPREENDIMENTO!A:A),"-")</f>
        <v>TERESINA</v>
      </c>
      <c r="D545" s="28" t="s">
        <v>29</v>
      </c>
      <c r="E545" s="28" t="s">
        <v>1029</v>
      </c>
      <c r="F545" s="28" t="s">
        <v>42</v>
      </c>
      <c r="G545" s="28" t="s">
        <v>1030</v>
      </c>
      <c r="H545" s="28">
        <v>31341</v>
      </c>
      <c r="I545" s="29">
        <f>IFERROR(_xlfn.XLOOKUP(E545,[1]EMPREENDIMENTO!C:C,[1]EMPREENDIMENTO!E:E),"0")</f>
        <v>240</v>
      </c>
      <c r="J545" s="30">
        <v>46502</v>
      </c>
      <c r="K545" s="28" t="s">
        <v>164</v>
      </c>
      <c r="L545" s="31">
        <v>45757</v>
      </c>
      <c r="M545" s="32">
        <v>61021466</v>
      </c>
      <c r="N545" s="32">
        <v>69082009</v>
      </c>
      <c r="O545" s="32">
        <v>69082009</v>
      </c>
      <c r="P545" s="28" t="s">
        <v>34</v>
      </c>
      <c r="Q545" s="28" t="s">
        <v>1031</v>
      </c>
      <c r="R545" s="30">
        <v>45757</v>
      </c>
      <c r="S545" s="30">
        <v>45757</v>
      </c>
      <c r="T545" s="33"/>
      <c r="U545" s="34" t="str">
        <f>IFERROR(_xlfn.XLOOKUP(E545,[1]EMPREENDIMENTO!C:C,[1]EMPREENDIMENTO!D:D),"")</f>
        <v>d0bf5a52-6eb0-e811-9b21-80c16e075108</v>
      </c>
    </row>
    <row r="546" spans="1:21" x14ac:dyDescent="0.35">
      <c r="A546" s="28" t="str">
        <f>IFERROR(_xlfn.XLOOKUP(C546,[1]DIRETORIA!C:C,[1]DIRETORIA!A:A),"-")</f>
        <v>DIR. COM E CRED SPI</v>
      </c>
      <c r="B546" s="28" t="str">
        <f>IFERROR(_xlfn.XLOOKUP(C546,[1]DIRETORIA!C:C,[1]DIRETORIA!B:B),"-")</f>
        <v>GST. COM RP 1</v>
      </c>
      <c r="C546" s="28" t="str">
        <f>IFERROR(_xlfn.XLOOKUP(E546,[1]EMPREENDIMENTO!C:C,[1]EMPREENDIMENTO!A:A),"-")</f>
        <v>RIBEIRÃO PRETO</v>
      </c>
      <c r="D546" s="28" t="s">
        <v>29</v>
      </c>
      <c r="E546" s="28" t="s">
        <v>1032</v>
      </c>
      <c r="F546" s="28" t="s">
        <v>42</v>
      </c>
      <c r="G546" s="28" t="s">
        <v>1033</v>
      </c>
      <c r="H546" s="28">
        <v>32971</v>
      </c>
      <c r="I546" s="29">
        <f>IFERROR(_xlfn.XLOOKUP(E546,[1]EMPREENDIMENTO!C:C,[1]EMPREENDIMENTO!E:E),"0")</f>
        <v>136</v>
      </c>
      <c r="J546" s="30">
        <v>45686</v>
      </c>
      <c r="K546" s="28" t="s">
        <v>33</v>
      </c>
      <c r="L546" s="31">
        <v>45497</v>
      </c>
      <c r="M546" s="32">
        <v>37494530</v>
      </c>
      <c r="N546" s="32">
        <v>40657500</v>
      </c>
      <c r="O546" s="32">
        <v>40299760</v>
      </c>
      <c r="P546" s="28" t="s">
        <v>34</v>
      </c>
      <c r="Q546" s="28" t="s">
        <v>1034</v>
      </c>
      <c r="R546" s="30">
        <v>45505</v>
      </c>
      <c r="S546" s="30">
        <v>45505</v>
      </c>
      <c r="T546" s="33"/>
      <c r="U546" s="34" t="str">
        <f>IFERROR(_xlfn.XLOOKUP(E546,[1]EMPREENDIMENTO!C:C,[1]EMPREENDIMENTO!D:D),"")</f>
        <v>cda1bd8c-65b6-e611-b1e9-009c02b0cb58</v>
      </c>
    </row>
    <row r="547" spans="1:21" x14ac:dyDescent="0.35">
      <c r="A547" s="28" t="str">
        <f>IFERROR(_xlfn.XLOOKUP(C547,[1]DIRETORIA!C:C,[1]DIRETORIA!A:A),"-")</f>
        <v>DIR. COM E CRED SPI</v>
      </c>
      <c r="B547" s="28" t="str">
        <f>IFERROR(_xlfn.XLOOKUP(C547,[1]DIRETORIA!C:C,[1]DIRETORIA!B:B),"-")</f>
        <v>GST. COM RP 2</v>
      </c>
      <c r="C547" s="28" t="str">
        <f>IFERROR(_xlfn.XLOOKUP(E547,[1]EMPREENDIMENTO!C:C,[1]EMPREENDIMENTO!A:A),"-")</f>
        <v>BOTUCATU</v>
      </c>
      <c r="D547" s="28" t="s">
        <v>29</v>
      </c>
      <c r="E547" s="28" t="s">
        <v>1035</v>
      </c>
      <c r="F547" s="28" t="s">
        <v>31</v>
      </c>
      <c r="G547" s="28" t="s">
        <v>1036</v>
      </c>
      <c r="H547" s="28">
        <v>30589</v>
      </c>
      <c r="I547" s="29">
        <f>IFERROR(_xlfn.XLOOKUP(E547,[1]EMPREENDIMENTO!C:C,[1]EMPREENDIMENTO!E:E),"0")</f>
        <v>224</v>
      </c>
      <c r="J547" s="30">
        <v>46538</v>
      </c>
      <c r="K547" s="28" t="s">
        <v>33</v>
      </c>
      <c r="L547" s="31">
        <v>46064</v>
      </c>
      <c r="M547" s="32">
        <v>48076000</v>
      </c>
      <c r="N547" s="32">
        <v>50400000</v>
      </c>
      <c r="O547" s="32">
        <v>48507200</v>
      </c>
      <c r="P547" s="28" t="s">
        <v>34</v>
      </c>
      <c r="Q547" s="28" t="s">
        <v>1037</v>
      </c>
      <c r="R547" s="30">
        <v>46105</v>
      </c>
      <c r="S547" s="30">
        <v>46087</v>
      </c>
      <c r="T547" s="33" t="s">
        <v>1038</v>
      </c>
      <c r="U547" s="34" t="str">
        <f>IFERROR(_xlfn.XLOOKUP(E547,[1]EMPREENDIMENTO!C:C,[1]EMPREENDIMENTO!D:D),"")</f>
        <v>3c13a0ea-88ca-ea11-beeb-005056856875</v>
      </c>
    </row>
    <row r="548" spans="1:21" x14ac:dyDescent="0.35">
      <c r="A548" s="28" t="str">
        <f>IFERROR(_xlfn.XLOOKUP(C548,[1]DIRETORIA!C:C,[1]DIRETORIA!A:A),"-")</f>
        <v>DIR. COM E CRED SPI</v>
      </c>
      <c r="B548" s="28" t="str">
        <f>IFERROR(_xlfn.XLOOKUP(C548,[1]DIRETORIA!C:C,[1]DIRETORIA!B:B),"-")</f>
        <v>GST. COM RP 2</v>
      </c>
      <c r="C548" s="28" t="str">
        <f>IFERROR(_xlfn.XLOOKUP(E548,[1]EMPREENDIMENTO!C:C,[1]EMPREENDIMENTO!A:A),"-")</f>
        <v>BOTUCATU</v>
      </c>
      <c r="D548" s="28" t="s">
        <v>29</v>
      </c>
      <c r="E548" s="28" t="s">
        <v>1035</v>
      </c>
      <c r="F548" s="28" t="s">
        <v>36</v>
      </c>
      <c r="G548" s="28" t="s">
        <v>1039</v>
      </c>
      <c r="H548" s="28">
        <v>45738</v>
      </c>
      <c r="I548" s="29">
        <f>IFERROR(_xlfn.XLOOKUP(E548,[1]EMPREENDIMENTO!C:C,[1]EMPREENDIMENTO!E:E),"0")</f>
        <v>224</v>
      </c>
      <c r="J548" s="30">
        <v>46538</v>
      </c>
      <c r="K548" s="28" t="s">
        <v>33</v>
      </c>
      <c r="L548" s="31">
        <v>46064</v>
      </c>
      <c r="M548" s="32">
        <v>48076000</v>
      </c>
      <c r="N548" s="32">
        <v>50400000</v>
      </c>
      <c r="O548" s="32">
        <v>48507200</v>
      </c>
      <c r="P548" s="28" t="s">
        <v>34</v>
      </c>
      <c r="Q548" s="28" t="s">
        <v>1037</v>
      </c>
      <c r="R548" s="30">
        <v>46105</v>
      </c>
      <c r="S548" s="30">
        <v>46087</v>
      </c>
      <c r="T548" s="33" t="s">
        <v>1038</v>
      </c>
      <c r="U548" s="34" t="str">
        <f>IFERROR(_xlfn.XLOOKUP(E548,[1]EMPREENDIMENTO!C:C,[1]EMPREENDIMENTO!D:D),"")</f>
        <v>3c13a0ea-88ca-ea11-beeb-005056856875</v>
      </c>
    </row>
    <row r="549" spans="1:21" x14ac:dyDescent="0.35">
      <c r="A549" s="28" t="str">
        <f>IFERROR(_xlfn.XLOOKUP(C549,[1]DIRETORIA!C:C,[1]DIRETORIA!A:A),"-")</f>
        <v>DIR. COM E CRED SPI</v>
      </c>
      <c r="B549" s="28" t="str">
        <f>IFERROR(_xlfn.XLOOKUP(C549,[1]DIRETORIA!C:C,[1]DIRETORIA!B:B),"-")</f>
        <v>GST. COM RP 2</v>
      </c>
      <c r="C549" s="28" t="str">
        <f>IFERROR(_xlfn.XLOOKUP(E549,[1]EMPREENDIMENTO!C:C,[1]EMPREENDIMENTO!A:A),"-")</f>
        <v>BOTUCATU</v>
      </c>
      <c r="D549" s="28" t="s">
        <v>29</v>
      </c>
      <c r="E549" s="28" t="s">
        <v>1035</v>
      </c>
      <c r="F549" s="28" t="s">
        <v>39</v>
      </c>
      <c r="G549" s="28" t="s">
        <v>1040</v>
      </c>
      <c r="H549" s="28">
        <v>54078</v>
      </c>
      <c r="I549" s="29">
        <f>IFERROR(_xlfn.XLOOKUP(E549,[1]EMPREENDIMENTO!C:C,[1]EMPREENDIMENTO!E:E),"0")</f>
        <v>224</v>
      </c>
      <c r="J549" s="30">
        <v>46538</v>
      </c>
      <c r="K549" s="28" t="s">
        <v>33</v>
      </c>
      <c r="L549" s="31">
        <v>46064</v>
      </c>
      <c r="M549" s="32">
        <v>48076000</v>
      </c>
      <c r="N549" s="32">
        <v>50400000</v>
      </c>
      <c r="O549" s="32">
        <v>48507200</v>
      </c>
      <c r="P549" s="28" t="s">
        <v>34</v>
      </c>
      <c r="Q549" s="28" t="s">
        <v>1037</v>
      </c>
      <c r="R549" s="30">
        <v>46105</v>
      </c>
      <c r="S549" s="30">
        <v>46087</v>
      </c>
      <c r="T549" s="33" t="s">
        <v>1038</v>
      </c>
      <c r="U549" s="34" t="str">
        <f>IFERROR(_xlfn.XLOOKUP(E549,[1]EMPREENDIMENTO!C:C,[1]EMPREENDIMENTO!D:D),"")</f>
        <v>3c13a0ea-88ca-ea11-beeb-005056856875</v>
      </c>
    </row>
    <row r="550" spans="1:21" hidden="1" x14ac:dyDescent="0.35">
      <c r="A550" s="28" t="str">
        <f>IFERROR(_xlfn.XLOOKUP(C550,[1]DIRETORIA!C:C,[1]DIRETORIA!A:A),"-")</f>
        <v>DIR. COM E CRED CO E AM</v>
      </c>
      <c r="B550" s="28" t="str">
        <f>IFERROR(_xlfn.XLOOKUP(C550,[1]DIRETORIA!C:C,[1]DIRETORIA!B:B),"-")</f>
        <v>GST. COM MT</v>
      </c>
      <c r="C550" s="28" t="str">
        <f>IFERROR(_xlfn.XLOOKUP(E550,[1]EMPREENDIMENTO!C:C,[1]EMPREENDIMENTO!A:A),"-")</f>
        <v>CUIABÁ</v>
      </c>
      <c r="D550" s="28" t="s">
        <v>29</v>
      </c>
      <c r="E550" s="28" t="s">
        <v>1041</v>
      </c>
      <c r="F550" s="28" t="s">
        <v>42</v>
      </c>
      <c r="G550" s="28" t="s">
        <v>1042</v>
      </c>
      <c r="H550" s="28">
        <v>27526</v>
      </c>
      <c r="I550" s="29">
        <f>IFERROR(_xlfn.XLOOKUP(E550,[1]EMPREENDIMENTO!C:C,[1]EMPREENDIMENTO!E:E),"0")</f>
        <v>400</v>
      </c>
      <c r="J550" s="30">
        <v>46507</v>
      </c>
      <c r="K550" s="28" t="s">
        <v>164</v>
      </c>
      <c r="L550" s="31">
        <v>45873</v>
      </c>
      <c r="M550" s="32">
        <v>102308270</v>
      </c>
      <c r="N550" s="32">
        <v>110089593</v>
      </c>
      <c r="O550" s="32">
        <v>109772090</v>
      </c>
      <c r="P550" s="28" t="s">
        <v>34</v>
      </c>
      <c r="Q550" s="28" t="s">
        <v>1043</v>
      </c>
      <c r="R550" s="30">
        <v>45884</v>
      </c>
      <c r="S550" s="30">
        <v>45873</v>
      </c>
      <c r="T550" s="33"/>
      <c r="U550" s="34" t="str">
        <f>IFERROR(_xlfn.XLOOKUP(E550,[1]EMPREENDIMENTO!C:C,[1]EMPREENDIMENTO!D:D),"")</f>
        <v>0e817816-ce80-ea11-b686-005056856875</v>
      </c>
    </row>
    <row r="551" spans="1:21" hidden="1" x14ac:dyDescent="0.35">
      <c r="A551" s="28" t="str">
        <f>IFERROR(_xlfn.XLOOKUP(C551,[1]DIRETORIA!C:C,[1]DIRETORIA!A:A),"-")</f>
        <v>DIR. COM E CRED MG E ES</v>
      </c>
      <c r="B551" s="28" t="str">
        <f>IFERROR(_xlfn.XLOOKUP(C551,[1]DIRETORIA!C:C,[1]DIRETORIA!B:B),"-")</f>
        <v>GST. COM BH E INT</v>
      </c>
      <c r="C551" s="28" t="str">
        <f>IFERROR(_xlfn.XLOOKUP(E551,[1]EMPREENDIMENTO!C:C,[1]EMPREENDIMENTO!A:A),"-")</f>
        <v>CONTAGEM</v>
      </c>
      <c r="D551" s="28" t="s">
        <v>29</v>
      </c>
      <c r="E551" s="28" t="s">
        <v>1044</v>
      </c>
      <c r="F551" s="28" t="s">
        <v>31</v>
      </c>
      <c r="G551" s="28" t="s">
        <v>1045</v>
      </c>
      <c r="H551" s="28">
        <v>39234</v>
      </c>
      <c r="I551" s="29">
        <f>IFERROR(_xlfn.XLOOKUP(E551,[1]EMPREENDIMENTO!C:C,[1]EMPREENDIMENTO!E:E),"0")</f>
        <v>456</v>
      </c>
      <c r="J551" s="30">
        <v>46786</v>
      </c>
      <c r="K551" s="28" t="s">
        <v>33</v>
      </c>
      <c r="L551" s="31">
        <v>46252</v>
      </c>
      <c r="M551" s="32">
        <v>230190444</v>
      </c>
      <c r="N551" s="32">
        <v>247404948</v>
      </c>
      <c r="O551" s="32">
        <v>231294000</v>
      </c>
      <c r="P551" s="28" t="s">
        <v>34</v>
      </c>
      <c r="Q551" s="28" t="s">
        <v>1046</v>
      </c>
      <c r="R551" s="30">
        <v>46255</v>
      </c>
      <c r="S551" s="30">
        <v>46252</v>
      </c>
      <c r="T551" s="33" t="s">
        <v>1047</v>
      </c>
      <c r="U551" s="34" t="str">
        <f>IFERROR(_xlfn.XLOOKUP(E551,[1]EMPREENDIMENTO!C:C,[1]EMPREENDIMENTO!D:D),"")</f>
        <v>7e2aa536-2a8d-e511-9cc2-009c02b0cb58</v>
      </c>
    </row>
    <row r="552" spans="1:21" hidden="1" x14ac:dyDescent="0.35">
      <c r="A552" s="28" t="str">
        <f>IFERROR(_xlfn.XLOOKUP(C552,[1]DIRETORIA!C:C,[1]DIRETORIA!A:A),"-")</f>
        <v>DIR. COM E CRED MG E ES</v>
      </c>
      <c r="B552" s="28" t="str">
        <f>IFERROR(_xlfn.XLOOKUP(C552,[1]DIRETORIA!C:C,[1]DIRETORIA!B:B),"-")</f>
        <v>GST. COM BH E INT</v>
      </c>
      <c r="C552" s="28" t="str">
        <f>IFERROR(_xlfn.XLOOKUP(E552,[1]EMPREENDIMENTO!C:C,[1]EMPREENDIMENTO!A:A),"-")</f>
        <v>CONTAGEM</v>
      </c>
      <c r="D552" s="28" t="s">
        <v>29</v>
      </c>
      <c r="E552" s="28" t="s">
        <v>1044</v>
      </c>
      <c r="F552" s="28" t="s">
        <v>36</v>
      </c>
      <c r="G552" s="28" t="s">
        <v>1048</v>
      </c>
      <c r="H552" s="28">
        <v>52678</v>
      </c>
      <c r="I552" s="29">
        <f>IFERROR(_xlfn.XLOOKUP(E552,[1]EMPREENDIMENTO!C:C,[1]EMPREENDIMENTO!E:E),"0")</f>
        <v>456</v>
      </c>
      <c r="J552" s="30">
        <v>46786</v>
      </c>
      <c r="K552" s="28" t="s">
        <v>33</v>
      </c>
      <c r="L552" s="31">
        <v>46252</v>
      </c>
      <c r="M552" s="32">
        <v>230190444</v>
      </c>
      <c r="N552" s="32">
        <v>247404948</v>
      </c>
      <c r="O552" s="32">
        <v>231294000</v>
      </c>
      <c r="P552" s="28" t="s">
        <v>34</v>
      </c>
      <c r="Q552" s="28" t="s">
        <v>1046</v>
      </c>
      <c r="R552" s="30">
        <v>46255</v>
      </c>
      <c r="S552" s="30">
        <v>46252</v>
      </c>
      <c r="T552" s="33" t="s">
        <v>1047</v>
      </c>
      <c r="U552" s="34" t="str">
        <f>IFERROR(_xlfn.XLOOKUP(E552,[1]EMPREENDIMENTO!C:C,[1]EMPREENDIMENTO!D:D),"")</f>
        <v>7e2aa536-2a8d-e511-9cc2-009c02b0cb58</v>
      </c>
    </row>
    <row r="553" spans="1:21" hidden="1" x14ac:dyDescent="0.35">
      <c r="A553" s="28" t="str">
        <f>IFERROR(_xlfn.XLOOKUP(C553,[1]DIRETORIA!C:C,[1]DIRETORIA!A:A),"-")</f>
        <v>DIR. COM E CRED MG E ES</v>
      </c>
      <c r="B553" s="28" t="str">
        <f>IFERROR(_xlfn.XLOOKUP(C553,[1]DIRETORIA!C:C,[1]DIRETORIA!B:B),"-")</f>
        <v>GST. COM BH E INT</v>
      </c>
      <c r="C553" s="28" t="str">
        <f>IFERROR(_xlfn.XLOOKUP(E553,[1]EMPREENDIMENTO!C:C,[1]EMPREENDIMENTO!A:A),"-")</f>
        <v>CONTAGEM</v>
      </c>
      <c r="D553" s="28" t="s">
        <v>29</v>
      </c>
      <c r="E553" s="28" t="s">
        <v>1044</v>
      </c>
      <c r="F553" s="28" t="s">
        <v>39</v>
      </c>
      <c r="G553" s="28" t="s">
        <v>1049</v>
      </c>
      <c r="H553" s="28">
        <v>54760</v>
      </c>
      <c r="I553" s="29">
        <f>IFERROR(_xlfn.XLOOKUP(E553,[1]EMPREENDIMENTO!C:C,[1]EMPREENDIMENTO!E:E),"0")</f>
        <v>456</v>
      </c>
      <c r="J553" s="30">
        <v>46786</v>
      </c>
      <c r="K553" s="28" t="s">
        <v>33</v>
      </c>
      <c r="L553" s="31">
        <v>46252</v>
      </c>
      <c r="M553" s="32">
        <v>230190444</v>
      </c>
      <c r="N553" s="32">
        <v>247404948</v>
      </c>
      <c r="O553" s="32">
        <v>231294000</v>
      </c>
      <c r="P553" s="28" t="s">
        <v>34</v>
      </c>
      <c r="Q553" s="28" t="s">
        <v>1046</v>
      </c>
      <c r="R553" s="30">
        <v>46255</v>
      </c>
      <c r="S553" s="30">
        <v>46252</v>
      </c>
      <c r="T553" s="33" t="s">
        <v>1047</v>
      </c>
      <c r="U553" s="34" t="str">
        <f>IFERROR(_xlfn.XLOOKUP(E553,[1]EMPREENDIMENTO!C:C,[1]EMPREENDIMENTO!D:D),"")</f>
        <v>7e2aa536-2a8d-e511-9cc2-009c02b0cb58</v>
      </c>
    </row>
    <row r="554" spans="1:21" hidden="1" x14ac:dyDescent="0.35">
      <c r="A554" s="28" t="str">
        <f>IFERROR(_xlfn.XLOOKUP(C554,[1]DIRETORIA!C:C,[1]DIRETORIA!A:A),"-")</f>
        <v>DIR. COM E CRED MG E ES</v>
      </c>
      <c r="B554" s="28" t="str">
        <f>IFERROR(_xlfn.XLOOKUP(C554,[1]DIRETORIA!C:C,[1]DIRETORIA!B:B),"-")</f>
        <v>GST. COM BH E INT</v>
      </c>
      <c r="C554" s="28" t="str">
        <f>IFERROR(_xlfn.XLOOKUP(E554,[1]EMPREENDIMENTO!C:C,[1]EMPREENDIMENTO!A:A),"-")</f>
        <v>CONTAGEM</v>
      </c>
      <c r="D554" s="28" t="s">
        <v>85</v>
      </c>
      <c r="E554" s="28" t="s">
        <v>1044</v>
      </c>
      <c r="F554" s="28" t="s">
        <v>50</v>
      </c>
      <c r="G554" s="28" t="s">
        <v>1050</v>
      </c>
      <c r="H554" s="28">
        <v>66287</v>
      </c>
      <c r="I554" s="29">
        <f>IFERROR(_xlfn.XLOOKUP(E554,[1]EMPREENDIMENTO!C:C,[1]EMPREENDIMENTO!E:E),"0")</f>
        <v>456</v>
      </c>
      <c r="J554" s="30">
        <v>46786</v>
      </c>
      <c r="K554" s="28" t="s">
        <v>33</v>
      </c>
      <c r="L554" s="31">
        <v>46252</v>
      </c>
      <c r="M554" s="32">
        <v>230190444</v>
      </c>
      <c r="N554" s="32">
        <v>247404948</v>
      </c>
      <c r="O554" s="32">
        <v>231294000</v>
      </c>
      <c r="P554" s="28" t="s">
        <v>34</v>
      </c>
      <c r="Q554" s="28" t="s">
        <v>1046</v>
      </c>
      <c r="R554" s="30">
        <v>46255</v>
      </c>
      <c r="S554" s="30">
        <v>46252</v>
      </c>
      <c r="T554" s="33" t="s">
        <v>1047</v>
      </c>
      <c r="U554" s="34" t="str">
        <f>IFERROR(_xlfn.XLOOKUP(E554,[1]EMPREENDIMENTO!C:C,[1]EMPREENDIMENTO!D:D),"")</f>
        <v>7e2aa536-2a8d-e511-9cc2-009c02b0cb58</v>
      </c>
    </row>
    <row r="555" spans="1:21" x14ac:dyDescent="0.35">
      <c r="A555" s="28" t="str">
        <f>IFERROR(_xlfn.XLOOKUP(C555,[1]DIRETORIA!C:C,[1]DIRETORIA!A:A),"-")</f>
        <v>DIR. COM E CRED SPI CP</v>
      </c>
      <c r="B555" s="28" t="str">
        <f>IFERROR(_xlfn.XLOOKUP(C555,[1]DIRETORIA!C:C,[1]DIRETORIA!B:B),"-")</f>
        <v>GST. COM CP2</v>
      </c>
      <c r="C555" s="28" t="str">
        <f>IFERROR(_xlfn.XLOOKUP(E555,[1]EMPREENDIMENTO!C:C,[1]EMPREENDIMENTO!A:A),"-")</f>
        <v>ITÚ</v>
      </c>
      <c r="D555" s="28" t="s">
        <v>29</v>
      </c>
      <c r="E555" s="28" t="s">
        <v>1051</v>
      </c>
      <c r="F555" s="28" t="s">
        <v>31</v>
      </c>
      <c r="G555" s="28" t="s">
        <v>1052</v>
      </c>
      <c r="H555" s="28">
        <v>37949</v>
      </c>
      <c r="I555" s="29">
        <f>IFERROR(_xlfn.XLOOKUP(E555,[1]EMPREENDIMENTO!C:C,[1]EMPREENDIMENTO!E:E),"0")</f>
        <v>464</v>
      </c>
      <c r="J555" s="30">
        <v>46614</v>
      </c>
      <c r="K555" s="28" t="s">
        <v>33</v>
      </c>
      <c r="L555" s="31">
        <v>46146</v>
      </c>
      <c r="M555" s="32">
        <v>103089800</v>
      </c>
      <c r="N555" s="32">
        <v>105560000</v>
      </c>
      <c r="O555" s="32">
        <v>105212000</v>
      </c>
      <c r="P555" s="28" t="s">
        <v>34</v>
      </c>
      <c r="Q555" s="28" t="s">
        <v>1053</v>
      </c>
      <c r="R555" s="30">
        <v>46160</v>
      </c>
      <c r="S555" s="30">
        <v>46146</v>
      </c>
      <c r="T555" s="33"/>
      <c r="U555" s="34" t="str">
        <f>IFERROR(_xlfn.XLOOKUP(E555,[1]EMPREENDIMENTO!C:C,[1]EMPREENDIMENTO!D:D),"")</f>
        <v>e2fb4de3-5545-eb11-85d0-005056856875</v>
      </c>
    </row>
    <row r="556" spans="1:21" x14ac:dyDescent="0.35">
      <c r="A556" s="28" t="str">
        <f>IFERROR(_xlfn.XLOOKUP(C556,[1]DIRETORIA!C:C,[1]DIRETORIA!A:A),"-")</f>
        <v>DIR. COM E CRED SPI CP</v>
      </c>
      <c r="B556" s="28" t="str">
        <f>IFERROR(_xlfn.XLOOKUP(C556,[1]DIRETORIA!C:C,[1]DIRETORIA!B:B),"-")</f>
        <v>GST. COM CP2</v>
      </c>
      <c r="C556" s="28" t="str">
        <f>IFERROR(_xlfn.XLOOKUP(E556,[1]EMPREENDIMENTO!C:C,[1]EMPREENDIMENTO!A:A),"-")</f>
        <v>ITÚ</v>
      </c>
      <c r="D556" s="28" t="s">
        <v>29</v>
      </c>
      <c r="E556" s="28" t="s">
        <v>1051</v>
      </c>
      <c r="F556" s="28" t="s">
        <v>36</v>
      </c>
      <c r="G556" s="28" t="s">
        <v>1054</v>
      </c>
      <c r="H556" s="28">
        <v>50797</v>
      </c>
      <c r="I556" s="29">
        <f>IFERROR(_xlfn.XLOOKUP(E556,[1]EMPREENDIMENTO!C:C,[1]EMPREENDIMENTO!E:E),"0")</f>
        <v>464</v>
      </c>
      <c r="J556" s="30">
        <v>46614</v>
      </c>
      <c r="K556" s="28" t="s">
        <v>33</v>
      </c>
      <c r="L556" s="31">
        <v>46146</v>
      </c>
      <c r="M556" s="32">
        <v>103089800</v>
      </c>
      <c r="N556" s="32">
        <v>105560000</v>
      </c>
      <c r="O556" s="32">
        <v>105212000</v>
      </c>
      <c r="P556" s="28" t="s">
        <v>34</v>
      </c>
      <c r="Q556" s="28" t="s">
        <v>1053</v>
      </c>
      <c r="R556" s="30">
        <v>46160</v>
      </c>
      <c r="S556" s="30">
        <v>46146</v>
      </c>
      <c r="T556" s="33"/>
      <c r="U556" s="34" t="str">
        <f>IFERROR(_xlfn.XLOOKUP(E556,[1]EMPREENDIMENTO!C:C,[1]EMPREENDIMENTO!D:D),"")</f>
        <v>e2fb4de3-5545-eb11-85d0-005056856875</v>
      </c>
    </row>
    <row r="557" spans="1:21" x14ac:dyDescent="0.35">
      <c r="A557" s="28" t="str">
        <f>IFERROR(_xlfn.XLOOKUP(C557,[1]DIRETORIA!C:C,[1]DIRETORIA!A:A),"-")</f>
        <v>DIR. COM E CRED SPI CP</v>
      </c>
      <c r="B557" s="28" t="str">
        <f>IFERROR(_xlfn.XLOOKUP(C557,[1]DIRETORIA!C:C,[1]DIRETORIA!B:B),"-")</f>
        <v>GST. COM CP2</v>
      </c>
      <c r="C557" s="28" t="str">
        <f>IFERROR(_xlfn.XLOOKUP(E557,[1]EMPREENDIMENTO!C:C,[1]EMPREENDIMENTO!A:A),"-")</f>
        <v>ITÚ</v>
      </c>
      <c r="D557" s="28" t="s">
        <v>29</v>
      </c>
      <c r="E557" s="28" t="s">
        <v>1051</v>
      </c>
      <c r="F557" s="28" t="s">
        <v>39</v>
      </c>
      <c r="G557" s="28" t="s">
        <v>1055</v>
      </c>
      <c r="H557" s="28">
        <v>55091</v>
      </c>
      <c r="I557" s="29">
        <f>IFERROR(_xlfn.XLOOKUP(E557,[1]EMPREENDIMENTO!C:C,[1]EMPREENDIMENTO!E:E),"0")</f>
        <v>464</v>
      </c>
      <c r="J557" s="30">
        <v>46614</v>
      </c>
      <c r="K557" s="28" t="s">
        <v>33</v>
      </c>
      <c r="L557" s="31">
        <v>46146</v>
      </c>
      <c r="M557" s="32">
        <v>103089800</v>
      </c>
      <c r="N557" s="32">
        <v>105560000</v>
      </c>
      <c r="O557" s="32">
        <v>105212000</v>
      </c>
      <c r="P557" s="28" t="s">
        <v>34</v>
      </c>
      <c r="Q557" s="28" t="s">
        <v>1053</v>
      </c>
      <c r="R557" s="30">
        <v>46160</v>
      </c>
      <c r="S557" s="30">
        <v>46146</v>
      </c>
      <c r="T557" s="33"/>
      <c r="U557" s="34" t="str">
        <f>IFERROR(_xlfn.XLOOKUP(E557,[1]EMPREENDIMENTO!C:C,[1]EMPREENDIMENTO!D:D),"")</f>
        <v>e2fb4de3-5545-eb11-85d0-005056856875</v>
      </c>
    </row>
    <row r="558" spans="1:21" hidden="1" x14ac:dyDescent="0.35">
      <c r="A558" s="28" t="str">
        <f>IFERROR(_xlfn.XLOOKUP(C558,[1]DIRETORIA!C:C,[1]DIRETORIA!A:A),"-")</f>
        <v>DIR. COM E CRED SP E VL</v>
      </c>
      <c r="B558" s="28" t="str">
        <f>IFERROR(_xlfn.XLOOKUP(C558,[1]DIRETORIA!C:C,[1]DIRETORIA!B:B),"-")</f>
        <v>GST. COM SP2</v>
      </c>
      <c r="C558" s="28" t="str">
        <f>IFERROR(_xlfn.XLOOKUP(E558,[1]EMPREENDIMENTO!C:C,[1]EMPREENDIMENTO!A:A),"-")</f>
        <v>SÃO PAULO</v>
      </c>
      <c r="D558" s="28" t="s">
        <v>29</v>
      </c>
      <c r="E558" s="28" t="s">
        <v>1056</v>
      </c>
      <c r="F558" s="28" t="s">
        <v>31</v>
      </c>
      <c r="G558" s="28" t="s">
        <v>1057</v>
      </c>
      <c r="H558" s="28">
        <v>40211</v>
      </c>
      <c r="I558" s="29">
        <f>IFERROR(_xlfn.XLOOKUP(E558,[1]EMPREENDIMENTO!C:C,[1]EMPREENDIMENTO!E:E),"0")</f>
        <v>360</v>
      </c>
      <c r="J558" s="30">
        <v>46741</v>
      </c>
      <c r="K558" s="28" t="s">
        <v>164</v>
      </c>
      <c r="L558" s="31">
        <v>45173</v>
      </c>
      <c r="M558" s="32">
        <v>95700257</v>
      </c>
      <c r="N558" s="32">
        <v>95700257</v>
      </c>
      <c r="O558" s="32">
        <v>95700257</v>
      </c>
      <c r="P558" s="28" t="s">
        <v>34</v>
      </c>
      <c r="Q558" s="28"/>
      <c r="R558" s="30"/>
      <c r="S558" s="30">
        <v>45173</v>
      </c>
      <c r="T558" s="33"/>
      <c r="U558" s="34" t="str">
        <f>IFERROR(_xlfn.XLOOKUP(E558,[1]EMPREENDIMENTO!C:C,[1]EMPREENDIMENTO!D:D),"")</f>
        <v>0214b9e6-4362-eb11-aa45-005056856875</v>
      </c>
    </row>
    <row r="559" spans="1:21" hidden="1" x14ac:dyDescent="0.35">
      <c r="A559" s="28" t="str">
        <f>IFERROR(_xlfn.XLOOKUP(C559,[1]DIRETORIA!C:C,[1]DIRETORIA!A:A),"-")</f>
        <v>DIR. COM E CRED SP E VL</v>
      </c>
      <c r="B559" s="28" t="str">
        <f>IFERROR(_xlfn.XLOOKUP(C559,[1]DIRETORIA!C:C,[1]DIRETORIA!B:B),"-")</f>
        <v>GST. COM SP2</v>
      </c>
      <c r="C559" s="28" t="str">
        <f>IFERROR(_xlfn.XLOOKUP(E559,[1]EMPREENDIMENTO!C:C,[1]EMPREENDIMENTO!A:A),"-")</f>
        <v>SÃO PAULO</v>
      </c>
      <c r="D559" s="28" t="s">
        <v>29</v>
      </c>
      <c r="E559" s="28" t="s">
        <v>1056</v>
      </c>
      <c r="F559" s="28" t="s">
        <v>36</v>
      </c>
      <c r="G559" s="28" t="s">
        <v>1058</v>
      </c>
      <c r="H559" s="28">
        <v>45130</v>
      </c>
      <c r="I559" s="29">
        <f>IFERROR(_xlfn.XLOOKUP(E559,[1]EMPREENDIMENTO!C:C,[1]EMPREENDIMENTO!E:E),"0")</f>
        <v>360</v>
      </c>
      <c r="J559" s="30">
        <v>46741</v>
      </c>
      <c r="K559" s="28" t="s">
        <v>164</v>
      </c>
      <c r="L559" s="31">
        <v>45173</v>
      </c>
      <c r="M559" s="32">
        <v>95700257</v>
      </c>
      <c r="N559" s="32">
        <v>95700257</v>
      </c>
      <c r="O559" s="32">
        <v>95700257</v>
      </c>
      <c r="P559" s="28" t="s">
        <v>34</v>
      </c>
      <c r="Q559" s="28"/>
      <c r="R559" s="30"/>
      <c r="S559" s="30">
        <v>45173</v>
      </c>
      <c r="T559" s="33"/>
      <c r="U559" s="34" t="str">
        <f>IFERROR(_xlfn.XLOOKUP(E559,[1]EMPREENDIMENTO!C:C,[1]EMPREENDIMENTO!D:D),"")</f>
        <v>0214b9e6-4362-eb11-aa45-005056856875</v>
      </c>
    </row>
    <row r="560" spans="1:21" hidden="1" x14ac:dyDescent="0.35">
      <c r="A560" s="28" t="str">
        <f>IFERROR(_xlfn.XLOOKUP(C560,[1]DIRETORIA!C:C,[1]DIRETORIA!A:A),"-")</f>
        <v>DIR. COM E CRED SP E VL</v>
      </c>
      <c r="B560" s="28" t="str">
        <f>IFERROR(_xlfn.XLOOKUP(C560,[1]DIRETORIA!C:C,[1]DIRETORIA!B:B),"-")</f>
        <v>GST. COM SP2</v>
      </c>
      <c r="C560" s="28" t="str">
        <f>IFERROR(_xlfn.XLOOKUP(E560,[1]EMPREENDIMENTO!C:C,[1]EMPREENDIMENTO!A:A),"-")</f>
        <v>SÃO PAULO</v>
      </c>
      <c r="D560" s="28" t="s">
        <v>29</v>
      </c>
      <c r="E560" s="28" t="s">
        <v>1056</v>
      </c>
      <c r="F560" s="28" t="s">
        <v>39</v>
      </c>
      <c r="G560" s="28" t="s">
        <v>1059</v>
      </c>
      <c r="H560" s="28">
        <v>45127</v>
      </c>
      <c r="I560" s="29">
        <f>IFERROR(_xlfn.XLOOKUP(E560,[1]EMPREENDIMENTO!C:C,[1]EMPREENDIMENTO!E:E),"0")</f>
        <v>360</v>
      </c>
      <c r="J560" s="30">
        <v>46741</v>
      </c>
      <c r="K560" s="28" t="s">
        <v>164</v>
      </c>
      <c r="L560" s="31">
        <v>45173</v>
      </c>
      <c r="M560" s="32">
        <v>95700257</v>
      </c>
      <c r="N560" s="32">
        <v>95700257</v>
      </c>
      <c r="O560" s="32">
        <v>95700257</v>
      </c>
      <c r="P560" s="28" t="s">
        <v>34</v>
      </c>
      <c r="Q560" s="28"/>
      <c r="R560" s="30"/>
      <c r="S560" s="30">
        <v>45173</v>
      </c>
      <c r="T560" s="33"/>
      <c r="U560" s="34" t="str">
        <f>IFERROR(_xlfn.XLOOKUP(E560,[1]EMPREENDIMENTO!C:C,[1]EMPREENDIMENTO!D:D),"")</f>
        <v>0214b9e6-4362-eb11-aa45-005056856875</v>
      </c>
    </row>
    <row r="561" spans="1:21" hidden="1" x14ac:dyDescent="0.35">
      <c r="A561" s="28" t="str">
        <f>IFERROR(_xlfn.XLOOKUP(C561,[1]DIRETORIA!C:C,[1]DIRETORIA!A:A),"-")</f>
        <v>DIR. COM E CRED RJ</v>
      </c>
      <c r="B561" s="28" t="str">
        <f>IFERROR(_xlfn.XLOOKUP(C561,[1]DIRETORIA!C:C,[1]DIRETORIA!B:B),"-")</f>
        <v>GST. COM RJ1</v>
      </c>
      <c r="C561" s="28" t="str">
        <f>IFERROR(_xlfn.XLOOKUP(E561,[1]EMPREENDIMENTO!C:C,[1]EMPREENDIMENTO!A:A),"-")</f>
        <v>RIO DE JANEIRO</v>
      </c>
      <c r="D561" s="28" t="s">
        <v>29</v>
      </c>
      <c r="E561" s="28" t="s">
        <v>1060</v>
      </c>
      <c r="F561" s="28" t="s">
        <v>42</v>
      </c>
      <c r="G561" s="28" t="s">
        <v>1061</v>
      </c>
      <c r="H561" s="28">
        <v>40044</v>
      </c>
      <c r="I561" s="29">
        <f>IFERROR(_xlfn.XLOOKUP(E561,[1]EMPREENDIMENTO!C:C,[1]EMPREENDIMENTO!E:E),"0")</f>
        <v>280</v>
      </c>
      <c r="J561" s="30">
        <v>46517</v>
      </c>
      <c r="K561" s="28" t="s">
        <v>164</v>
      </c>
      <c r="L561" s="31">
        <v>46219</v>
      </c>
      <c r="M561" s="32">
        <v>68841900</v>
      </c>
      <c r="N561" s="32">
        <v>73659024</v>
      </c>
      <c r="O561" s="32">
        <v>70909152</v>
      </c>
      <c r="P561" s="28" t="s">
        <v>34</v>
      </c>
      <c r="Q561" s="28" t="s">
        <v>1062</v>
      </c>
      <c r="R561" s="30">
        <v>46219</v>
      </c>
      <c r="S561" s="30">
        <v>46219</v>
      </c>
      <c r="T561" s="33"/>
      <c r="U561" s="34" t="str">
        <f>IFERROR(_xlfn.XLOOKUP(E561,[1]EMPREENDIMENTO!C:C,[1]EMPREENDIMENTO!D:D),"")</f>
        <v>80776031-2d9f-ec11-b501-005056856b6c</v>
      </c>
    </row>
    <row r="562" spans="1:21" hidden="1" x14ac:dyDescent="0.35">
      <c r="A562" s="28" t="str">
        <f>IFERROR(_xlfn.XLOOKUP(C562,[1]DIRETORIA!C:C,[1]DIRETORIA!A:A),"-")</f>
        <v>DIR. COM E CRED SUL</v>
      </c>
      <c r="B562" s="28" t="str">
        <f>IFERROR(_xlfn.XLOOKUP(C562,[1]DIRETORIA!C:C,[1]DIRETORIA!B:B),"-")</f>
        <v>GST. COM SC</v>
      </c>
      <c r="C562" s="28" t="str">
        <f>IFERROR(_xlfn.XLOOKUP(E562,[1]EMPREENDIMENTO!C:C,[1]EMPREENDIMENTO!A:A),"-")</f>
        <v>BLUMENAU</v>
      </c>
      <c r="D562" s="28" t="s">
        <v>29</v>
      </c>
      <c r="E562" s="28" t="s">
        <v>1063</v>
      </c>
      <c r="F562" s="28" t="s">
        <v>31</v>
      </c>
      <c r="G562" s="28" t="s">
        <v>1064</v>
      </c>
      <c r="H562" s="28">
        <v>40409</v>
      </c>
      <c r="I562" s="29">
        <f>IFERROR(_xlfn.XLOOKUP(E562,[1]EMPREENDIMENTO!C:C,[1]EMPREENDIMENTO!E:E),"0")</f>
        <v>580</v>
      </c>
      <c r="J562" s="30">
        <v>46629</v>
      </c>
      <c r="K562" s="28" t="s">
        <v>164</v>
      </c>
      <c r="L562" s="31">
        <v>46188</v>
      </c>
      <c r="M562" s="32">
        <v>141312000</v>
      </c>
      <c r="N562" s="32">
        <v>147352000</v>
      </c>
      <c r="O562" s="32">
        <v>145870000</v>
      </c>
      <c r="P562" s="28" t="s">
        <v>34</v>
      </c>
      <c r="Q562" s="28" t="s">
        <v>1065</v>
      </c>
      <c r="R562" s="30">
        <v>46204</v>
      </c>
      <c r="S562" s="30"/>
      <c r="T562" s="33"/>
      <c r="U562" s="34" t="str">
        <f>IFERROR(_xlfn.XLOOKUP(E562,[1]EMPREENDIMENTO!C:C,[1]EMPREENDIMENTO!D:D),"")</f>
        <v>66523922-02d2-ec11-ba45-005056890018</v>
      </c>
    </row>
    <row r="563" spans="1:21" hidden="1" x14ac:dyDescent="0.35">
      <c r="A563" s="28" t="str">
        <f>IFERROR(_xlfn.XLOOKUP(C563,[1]DIRETORIA!C:C,[1]DIRETORIA!A:A),"-")</f>
        <v>DIR. COM E CRED SUL</v>
      </c>
      <c r="B563" s="28" t="str">
        <f>IFERROR(_xlfn.XLOOKUP(C563,[1]DIRETORIA!C:C,[1]DIRETORIA!B:B),"-")</f>
        <v>GST. COM SC</v>
      </c>
      <c r="C563" s="28" t="str">
        <f>IFERROR(_xlfn.XLOOKUP(E563,[1]EMPREENDIMENTO!C:C,[1]EMPREENDIMENTO!A:A),"-")</f>
        <v>BLUMENAU</v>
      </c>
      <c r="D563" s="28" t="s">
        <v>29</v>
      </c>
      <c r="E563" s="28" t="s">
        <v>1063</v>
      </c>
      <c r="F563" s="28" t="s">
        <v>36</v>
      </c>
      <c r="G563" s="28" t="s">
        <v>1066</v>
      </c>
      <c r="H563" s="28">
        <v>50913</v>
      </c>
      <c r="I563" s="29">
        <f>IFERROR(_xlfn.XLOOKUP(E563,[1]EMPREENDIMENTO!C:C,[1]EMPREENDIMENTO!E:E),"0")</f>
        <v>580</v>
      </c>
      <c r="J563" s="30">
        <v>46629</v>
      </c>
      <c r="K563" s="28" t="s">
        <v>164</v>
      </c>
      <c r="L563" s="31">
        <v>46188</v>
      </c>
      <c r="M563" s="32">
        <v>141312000</v>
      </c>
      <c r="N563" s="32">
        <v>147352000</v>
      </c>
      <c r="O563" s="32">
        <v>145870000</v>
      </c>
      <c r="P563" s="28" t="s">
        <v>34</v>
      </c>
      <c r="Q563" s="28" t="s">
        <v>1065</v>
      </c>
      <c r="R563" s="30">
        <v>46204</v>
      </c>
      <c r="S563" s="30"/>
      <c r="T563" s="33"/>
      <c r="U563" s="34" t="str">
        <f>IFERROR(_xlfn.XLOOKUP(E563,[1]EMPREENDIMENTO!C:C,[1]EMPREENDIMENTO!D:D),"")</f>
        <v>66523922-02d2-ec11-ba45-005056890018</v>
      </c>
    </row>
    <row r="564" spans="1:21" hidden="1" x14ac:dyDescent="0.35">
      <c r="A564" s="28" t="str">
        <f>IFERROR(_xlfn.XLOOKUP(C564,[1]DIRETORIA!C:C,[1]DIRETORIA!A:A),"-")</f>
        <v>DIR. COM E CRED CO E AM</v>
      </c>
      <c r="B564" s="28" t="str">
        <f>IFERROR(_xlfn.XLOOKUP(C564,[1]DIRETORIA!C:C,[1]DIRETORIA!B:B),"-")</f>
        <v>GST. COM AM</v>
      </c>
      <c r="C564" s="28" t="str">
        <f>IFERROR(_xlfn.XLOOKUP(E564,[1]EMPREENDIMENTO!C:C,[1]EMPREENDIMENTO!A:A),"-")</f>
        <v>MANAUS</v>
      </c>
      <c r="D564" s="28" t="s">
        <v>29</v>
      </c>
      <c r="E564" s="28" t="s">
        <v>1067</v>
      </c>
      <c r="F564" s="28" t="s">
        <v>31</v>
      </c>
      <c r="G564" s="28" t="s">
        <v>1068</v>
      </c>
      <c r="H564" s="28">
        <v>34162</v>
      </c>
      <c r="I564" s="29">
        <f>IFERROR(_xlfn.XLOOKUP(E564,[1]EMPREENDIMENTO!C:C,[1]EMPREENDIMENTO!E:E),"0")</f>
        <v>320</v>
      </c>
      <c r="J564" s="30">
        <v>46565</v>
      </c>
      <c r="K564" s="28" t="s">
        <v>33</v>
      </c>
      <c r="L564" s="31">
        <v>45898</v>
      </c>
      <c r="M564" s="32">
        <v>93881000</v>
      </c>
      <c r="N564" s="32">
        <v>100281000</v>
      </c>
      <c r="O564" s="32">
        <v>98982000</v>
      </c>
      <c r="P564" s="28" t="s">
        <v>34</v>
      </c>
      <c r="Q564" s="28" t="s">
        <v>1069</v>
      </c>
      <c r="R564" s="30">
        <v>46099</v>
      </c>
      <c r="S564" s="30">
        <v>46101</v>
      </c>
      <c r="T564" s="33" t="s">
        <v>1070</v>
      </c>
      <c r="U564" s="34" t="str">
        <f>IFERROR(_xlfn.XLOOKUP(E564,[1]EMPREENDIMENTO!C:C,[1]EMPREENDIMENTO!D:D),"")</f>
        <v>e8d2dfdc-0168-e811-8d3f-80c16e075108</v>
      </c>
    </row>
    <row r="565" spans="1:21" hidden="1" x14ac:dyDescent="0.35">
      <c r="A565" s="28" t="str">
        <f>IFERROR(_xlfn.XLOOKUP(C565,[1]DIRETORIA!C:C,[1]DIRETORIA!A:A),"-")</f>
        <v>DIR. COM E CRED CO E AM</v>
      </c>
      <c r="B565" s="28" t="str">
        <f>IFERROR(_xlfn.XLOOKUP(C565,[1]DIRETORIA!C:C,[1]DIRETORIA!B:B),"-")</f>
        <v>GST. COM AM</v>
      </c>
      <c r="C565" s="28" t="str">
        <f>IFERROR(_xlfn.XLOOKUP(E565,[1]EMPREENDIMENTO!C:C,[1]EMPREENDIMENTO!A:A),"-")</f>
        <v>MANAUS</v>
      </c>
      <c r="D565" s="28" t="s">
        <v>29</v>
      </c>
      <c r="E565" s="28" t="s">
        <v>1067</v>
      </c>
      <c r="F565" s="28" t="s">
        <v>36</v>
      </c>
      <c r="G565" s="28" t="s">
        <v>1071</v>
      </c>
      <c r="H565" s="28">
        <v>44530</v>
      </c>
      <c r="I565" s="29">
        <f>IFERROR(_xlfn.XLOOKUP(E565,[1]EMPREENDIMENTO!C:C,[1]EMPREENDIMENTO!E:E),"0")</f>
        <v>320</v>
      </c>
      <c r="J565" s="30">
        <v>46565</v>
      </c>
      <c r="K565" s="28" t="s">
        <v>33</v>
      </c>
      <c r="L565" s="31">
        <v>45898</v>
      </c>
      <c r="M565" s="32">
        <v>93881000</v>
      </c>
      <c r="N565" s="32">
        <v>100281000</v>
      </c>
      <c r="O565" s="32">
        <v>98982000</v>
      </c>
      <c r="P565" s="28" t="s">
        <v>34</v>
      </c>
      <c r="Q565" s="28" t="s">
        <v>1069</v>
      </c>
      <c r="R565" s="30">
        <v>46099</v>
      </c>
      <c r="S565" s="30">
        <v>46101</v>
      </c>
      <c r="T565" s="33" t="s">
        <v>1070</v>
      </c>
      <c r="U565" s="34" t="str">
        <f>IFERROR(_xlfn.XLOOKUP(E565,[1]EMPREENDIMENTO!C:C,[1]EMPREENDIMENTO!D:D),"")</f>
        <v>e8d2dfdc-0168-e811-8d3f-80c16e075108</v>
      </c>
    </row>
    <row r="566" spans="1:21" hidden="1" x14ac:dyDescent="0.35">
      <c r="A566" s="28" t="str">
        <f>IFERROR(_xlfn.XLOOKUP(C566,[1]DIRETORIA!C:C,[1]DIRETORIA!A:A),"-")</f>
        <v>DIR. COM E CRED CO E AM</v>
      </c>
      <c r="B566" s="28" t="str">
        <f>IFERROR(_xlfn.XLOOKUP(C566,[1]DIRETORIA!C:C,[1]DIRETORIA!B:B),"-")</f>
        <v>GST. COM AM</v>
      </c>
      <c r="C566" s="28" t="str">
        <f>IFERROR(_xlfn.XLOOKUP(E566,[1]EMPREENDIMENTO!C:C,[1]EMPREENDIMENTO!A:A),"-")</f>
        <v>MANAUS</v>
      </c>
      <c r="D566" s="28" t="s">
        <v>29</v>
      </c>
      <c r="E566" s="28" t="s">
        <v>1067</v>
      </c>
      <c r="F566" s="28" t="s">
        <v>39</v>
      </c>
      <c r="G566" s="28" t="s">
        <v>1072</v>
      </c>
      <c r="H566" s="28">
        <v>45795</v>
      </c>
      <c r="I566" s="29">
        <f>IFERROR(_xlfn.XLOOKUP(E566,[1]EMPREENDIMENTO!C:C,[1]EMPREENDIMENTO!E:E),"0")</f>
        <v>320</v>
      </c>
      <c r="J566" s="30">
        <v>46565</v>
      </c>
      <c r="K566" s="28" t="s">
        <v>33</v>
      </c>
      <c r="L566" s="31">
        <v>45898</v>
      </c>
      <c r="M566" s="32">
        <v>93881000</v>
      </c>
      <c r="N566" s="32">
        <v>100281000</v>
      </c>
      <c r="O566" s="32">
        <v>98982000</v>
      </c>
      <c r="P566" s="28" t="s">
        <v>34</v>
      </c>
      <c r="Q566" s="28" t="s">
        <v>1069</v>
      </c>
      <c r="R566" s="30">
        <v>46099</v>
      </c>
      <c r="S566" s="30">
        <v>46101</v>
      </c>
      <c r="T566" s="33" t="s">
        <v>1070</v>
      </c>
      <c r="U566" s="34" t="str">
        <f>IFERROR(_xlfn.XLOOKUP(E566,[1]EMPREENDIMENTO!C:C,[1]EMPREENDIMENTO!D:D),"")</f>
        <v>e8d2dfdc-0168-e811-8d3f-80c16e075108</v>
      </c>
    </row>
    <row r="567" spans="1:21" x14ac:dyDescent="0.35">
      <c r="A567" s="28" t="str">
        <f>IFERROR(_xlfn.XLOOKUP(C567,[1]DIRETORIA!C:C,[1]DIRETORIA!A:A),"-")</f>
        <v>DIR. COM E CRED SPI CP</v>
      </c>
      <c r="B567" s="28" t="str">
        <f>IFERROR(_xlfn.XLOOKUP(C567,[1]DIRETORIA!C:C,[1]DIRETORIA!B:B),"-")</f>
        <v>GST. COM CP2</v>
      </c>
      <c r="C567" s="28" t="str">
        <f>IFERROR(_xlfn.XLOOKUP(E567,[1]EMPREENDIMENTO!C:C,[1]EMPREENDIMENTO!A:A),"-")</f>
        <v>SOROCABA</v>
      </c>
      <c r="D567" s="28" t="s">
        <v>29</v>
      </c>
      <c r="E567" s="28" t="s">
        <v>1073</v>
      </c>
      <c r="F567" s="28" t="s">
        <v>31</v>
      </c>
      <c r="G567" s="28" t="s">
        <v>1074</v>
      </c>
      <c r="H567" s="28">
        <v>40095</v>
      </c>
      <c r="I567" s="29">
        <f>IFERROR(_xlfn.XLOOKUP(E567,[1]EMPREENDIMENTO!C:C,[1]EMPREENDIMENTO!E:E),"0")</f>
        <v>376</v>
      </c>
      <c r="J567" s="30">
        <v>46804</v>
      </c>
      <c r="K567" s="28" t="s">
        <v>33</v>
      </c>
      <c r="L567" s="31">
        <v>46245</v>
      </c>
      <c r="M567" s="32">
        <v>131990400</v>
      </c>
      <c r="N567" s="32">
        <v>141911945</v>
      </c>
      <c r="O567" s="32">
        <v>140694475</v>
      </c>
      <c r="P567" s="28" t="s">
        <v>34</v>
      </c>
      <c r="Q567" s="28" t="s">
        <v>1075</v>
      </c>
      <c r="R567" s="30">
        <v>46251</v>
      </c>
      <c r="S567" s="30">
        <v>46245</v>
      </c>
      <c r="T567" s="33"/>
      <c r="U567" s="34" t="str">
        <f>IFERROR(_xlfn.XLOOKUP(E567,[1]EMPREENDIMENTO!C:C,[1]EMPREENDIMENTO!D:D),"")</f>
        <v>6acaef37-4ec3-ed11-9e0c-00505685534b</v>
      </c>
    </row>
    <row r="568" spans="1:21" x14ac:dyDescent="0.35">
      <c r="A568" s="28" t="str">
        <f>IFERROR(_xlfn.XLOOKUP(C568,[1]DIRETORIA!C:C,[1]DIRETORIA!A:A),"-")</f>
        <v>DIR. COM E CRED SPI CP</v>
      </c>
      <c r="B568" s="28" t="str">
        <f>IFERROR(_xlfn.XLOOKUP(C568,[1]DIRETORIA!C:C,[1]DIRETORIA!B:B),"-")</f>
        <v>GST. COM CP2</v>
      </c>
      <c r="C568" s="28" t="str">
        <f>IFERROR(_xlfn.XLOOKUP(E568,[1]EMPREENDIMENTO!C:C,[1]EMPREENDIMENTO!A:A),"-")</f>
        <v>SOROCABA</v>
      </c>
      <c r="D568" s="28" t="s">
        <v>85</v>
      </c>
      <c r="E568" s="28" t="s">
        <v>1073</v>
      </c>
      <c r="F568" s="28" t="s">
        <v>36</v>
      </c>
      <c r="G568" s="28" t="s">
        <v>268</v>
      </c>
      <c r="H568" s="28" t="s">
        <v>268</v>
      </c>
      <c r="I568" s="29">
        <f>IFERROR(_xlfn.XLOOKUP(E568,[1]EMPREENDIMENTO!C:C,[1]EMPREENDIMENTO!E:E),"0")</f>
        <v>376</v>
      </c>
      <c r="J568" s="30">
        <v>46804</v>
      </c>
      <c r="K568" s="28" t="s">
        <v>33</v>
      </c>
      <c r="L568" s="31">
        <v>46245</v>
      </c>
      <c r="M568" s="32">
        <v>131990400</v>
      </c>
      <c r="N568" s="32">
        <v>141911945</v>
      </c>
      <c r="O568" s="32">
        <v>140694475</v>
      </c>
      <c r="P568" s="28" t="s">
        <v>34</v>
      </c>
      <c r="Q568" s="28" t="s">
        <v>1075</v>
      </c>
      <c r="R568" s="30">
        <v>46251</v>
      </c>
      <c r="S568" s="30">
        <v>46245</v>
      </c>
      <c r="T568" s="33"/>
      <c r="U568" s="34" t="str">
        <f>IFERROR(_xlfn.XLOOKUP(E568,[1]EMPREENDIMENTO!C:C,[1]EMPREENDIMENTO!D:D),"")</f>
        <v>6acaef37-4ec3-ed11-9e0c-00505685534b</v>
      </c>
    </row>
    <row r="569" spans="1:21" hidden="1" x14ac:dyDescent="0.35">
      <c r="A569" s="28" t="str">
        <f>IFERROR(_xlfn.XLOOKUP(C569,[1]DIRETORIA!C:C,[1]DIRETORIA!A:A),"-")</f>
        <v>DIR. COM E CRED SUL</v>
      </c>
      <c r="B569" s="28" t="str">
        <f>IFERROR(_xlfn.XLOOKUP(C569,[1]DIRETORIA!C:C,[1]DIRETORIA!B:B),"-")</f>
        <v>GST. COM RS NORTE</v>
      </c>
      <c r="C569" s="28" t="str">
        <f>IFERROR(_xlfn.XLOOKUP(E569,[1]EMPREENDIMENTO!C:C,[1]EMPREENDIMENTO!A:A),"-")</f>
        <v>NOVO HAMBURGO</v>
      </c>
      <c r="D569" s="28" t="s">
        <v>29</v>
      </c>
      <c r="E569" s="28" t="s">
        <v>1076</v>
      </c>
      <c r="F569" s="28" t="s">
        <v>31</v>
      </c>
      <c r="G569" s="28" t="s">
        <v>1077</v>
      </c>
      <c r="H569" s="28">
        <v>40412</v>
      </c>
      <c r="I569" s="29">
        <f>IFERROR(_xlfn.XLOOKUP(E569,[1]EMPREENDIMENTO!C:C,[1]EMPREENDIMENTO!E:E),"0")</f>
        <v>180</v>
      </c>
      <c r="J569" s="30">
        <v>46598</v>
      </c>
      <c r="K569" s="28" t="s">
        <v>164</v>
      </c>
      <c r="L569" s="31">
        <v>45805</v>
      </c>
      <c r="M569" s="32">
        <v>40626000</v>
      </c>
      <c r="N569" s="32">
        <v>43326000</v>
      </c>
      <c r="O569" s="32">
        <v>41868000</v>
      </c>
      <c r="P569" s="28" t="s">
        <v>34</v>
      </c>
      <c r="Q569" s="28" t="s">
        <v>1078</v>
      </c>
      <c r="R569" s="30">
        <v>45813</v>
      </c>
      <c r="S569" s="30">
        <v>45805</v>
      </c>
      <c r="T569" s="33"/>
      <c r="U569" s="34" t="str">
        <f>IFERROR(_xlfn.XLOOKUP(E569,[1]EMPREENDIMENTO!C:C,[1]EMPREENDIMENTO!D:D),"")</f>
        <v>7ade8d78-9d4f-eb11-85d0-005056856875</v>
      </c>
    </row>
    <row r="570" spans="1:21" hidden="1" x14ac:dyDescent="0.35">
      <c r="A570" s="28" t="str">
        <f>IFERROR(_xlfn.XLOOKUP(C570,[1]DIRETORIA!C:C,[1]DIRETORIA!A:A),"-")</f>
        <v>DIR. COM E CRED SUL</v>
      </c>
      <c r="B570" s="28" t="str">
        <f>IFERROR(_xlfn.XLOOKUP(C570,[1]DIRETORIA!C:C,[1]DIRETORIA!B:B),"-")</f>
        <v>GST. COM RS NORTE</v>
      </c>
      <c r="C570" s="28" t="str">
        <f>IFERROR(_xlfn.XLOOKUP(E570,[1]EMPREENDIMENTO!C:C,[1]EMPREENDIMENTO!A:A),"-")</f>
        <v>NOVO HAMBURGO</v>
      </c>
      <c r="D570" s="28" t="s">
        <v>29</v>
      </c>
      <c r="E570" s="28" t="s">
        <v>1076</v>
      </c>
      <c r="F570" s="28" t="s">
        <v>36</v>
      </c>
      <c r="G570" s="28" t="s">
        <v>1079</v>
      </c>
      <c r="H570" s="28">
        <v>52208</v>
      </c>
      <c r="I570" s="29">
        <f>IFERROR(_xlfn.XLOOKUP(E570,[1]EMPREENDIMENTO!C:C,[1]EMPREENDIMENTO!E:E),"0")</f>
        <v>180</v>
      </c>
      <c r="J570" s="30">
        <v>46598</v>
      </c>
      <c r="K570" s="28" t="s">
        <v>164</v>
      </c>
      <c r="L570" s="31">
        <v>45805</v>
      </c>
      <c r="M570" s="32">
        <v>40626000</v>
      </c>
      <c r="N570" s="32">
        <v>43326000</v>
      </c>
      <c r="O570" s="32">
        <v>41868000</v>
      </c>
      <c r="P570" s="28" t="s">
        <v>34</v>
      </c>
      <c r="Q570" s="28" t="s">
        <v>1078</v>
      </c>
      <c r="R570" s="30">
        <v>45813</v>
      </c>
      <c r="S570" s="30">
        <v>45805</v>
      </c>
      <c r="T570" s="33"/>
      <c r="U570" s="34" t="str">
        <f>IFERROR(_xlfn.XLOOKUP(E570,[1]EMPREENDIMENTO!C:C,[1]EMPREENDIMENTO!D:D),"")</f>
        <v>7ade8d78-9d4f-eb11-85d0-005056856875</v>
      </c>
    </row>
    <row r="571" spans="1:21" hidden="1" x14ac:dyDescent="0.35">
      <c r="A571" s="28" t="str">
        <f>IFERROR(_xlfn.XLOOKUP(C571,[1]DIRETORIA!C:C,[1]DIRETORIA!A:A),"-")</f>
        <v>DIR. COM E CRED NE</v>
      </c>
      <c r="B571" s="28" t="str">
        <f>IFERROR(_xlfn.XLOOKUP(C571,[1]DIRETORIA!C:C,[1]DIRETORIA!B:B),"-")</f>
        <v>GST. COM NE 3 (SE+AL)</v>
      </c>
      <c r="C571" s="28" t="str">
        <f>IFERROR(_xlfn.XLOOKUP(E571,[1]EMPREENDIMENTO!C:C,[1]EMPREENDIMENTO!A:A),"-")</f>
        <v>MACEIÓ</v>
      </c>
      <c r="D571" s="28" t="s">
        <v>29</v>
      </c>
      <c r="E571" s="28" t="s">
        <v>1080</v>
      </c>
      <c r="F571" s="28" t="s">
        <v>31</v>
      </c>
      <c r="G571" s="28" t="s">
        <v>1081</v>
      </c>
      <c r="H571" s="28">
        <v>40688</v>
      </c>
      <c r="I571" s="29">
        <f>IFERROR(_xlfn.XLOOKUP(E571,[1]EMPREENDIMENTO!C:C,[1]EMPREENDIMENTO!E:E),"0")</f>
        <v>304</v>
      </c>
      <c r="J571" s="30"/>
      <c r="K571" s="28" t="s">
        <v>164</v>
      </c>
      <c r="L571" s="31">
        <v>46178</v>
      </c>
      <c r="M571" s="32">
        <v>74222959</v>
      </c>
      <c r="N571" s="32">
        <v>81189993</v>
      </c>
      <c r="O571" s="32">
        <v>77750205</v>
      </c>
      <c r="P571" s="28" t="s">
        <v>34</v>
      </c>
      <c r="Q571" s="28" t="s">
        <v>1082</v>
      </c>
      <c r="R571" s="30">
        <v>46181</v>
      </c>
      <c r="S571" s="30"/>
      <c r="T571" s="33"/>
      <c r="U571" s="34" t="str">
        <f>IFERROR(_xlfn.XLOOKUP(E571,[1]EMPREENDIMENTO!C:C,[1]EMPREENDIMENTO!D:D),"")</f>
        <v>d743e4d6-1bb1-ec11-b1ad-005056856875</v>
      </c>
    </row>
    <row r="572" spans="1:21" hidden="1" x14ac:dyDescent="0.35">
      <c r="A572" s="28" t="str">
        <f>IFERROR(_xlfn.XLOOKUP(C572,[1]DIRETORIA!C:C,[1]DIRETORIA!A:A),"-")</f>
        <v>DIR. COM E CRED NE</v>
      </c>
      <c r="B572" s="28" t="str">
        <f>IFERROR(_xlfn.XLOOKUP(C572,[1]DIRETORIA!C:C,[1]DIRETORIA!B:B),"-")</f>
        <v>GST. COM NE 3 (SE+AL)</v>
      </c>
      <c r="C572" s="28" t="str">
        <f>IFERROR(_xlfn.XLOOKUP(E572,[1]EMPREENDIMENTO!C:C,[1]EMPREENDIMENTO!A:A),"-")</f>
        <v>MACEIÓ</v>
      </c>
      <c r="D572" s="28" t="s">
        <v>29</v>
      </c>
      <c r="E572" s="28" t="s">
        <v>1080</v>
      </c>
      <c r="F572" s="28" t="s">
        <v>36</v>
      </c>
      <c r="G572" s="28" t="s">
        <v>1083</v>
      </c>
      <c r="H572" s="28">
        <v>58845</v>
      </c>
      <c r="I572" s="29">
        <f>IFERROR(_xlfn.XLOOKUP(E572,[1]EMPREENDIMENTO!C:C,[1]EMPREENDIMENTO!E:E),"0")</f>
        <v>304</v>
      </c>
      <c r="J572" s="30"/>
      <c r="K572" s="28" t="s">
        <v>164</v>
      </c>
      <c r="L572" s="31">
        <v>46178</v>
      </c>
      <c r="M572" s="32">
        <v>74222959</v>
      </c>
      <c r="N572" s="32">
        <v>81189993</v>
      </c>
      <c r="O572" s="32">
        <v>77750205</v>
      </c>
      <c r="P572" s="28" t="s">
        <v>34</v>
      </c>
      <c r="Q572" s="28" t="s">
        <v>1082</v>
      </c>
      <c r="R572" s="30">
        <v>46181</v>
      </c>
      <c r="S572" s="30"/>
      <c r="T572" s="33"/>
      <c r="U572" s="34" t="str">
        <f>IFERROR(_xlfn.XLOOKUP(E572,[1]EMPREENDIMENTO!C:C,[1]EMPREENDIMENTO!D:D),"")</f>
        <v>d743e4d6-1bb1-ec11-b1ad-005056856875</v>
      </c>
    </row>
    <row r="573" spans="1:21" x14ac:dyDescent="0.35">
      <c r="A573" s="28" t="str">
        <f>IFERROR(_xlfn.XLOOKUP(C573,[1]DIRETORIA!C:C,[1]DIRETORIA!A:A),"-")</f>
        <v>DIR. COM E CRED SPI CP</v>
      </c>
      <c r="B573" s="28" t="str">
        <f>IFERROR(_xlfn.XLOOKUP(C573,[1]DIRETORIA!C:C,[1]DIRETORIA!B:B),"-")</f>
        <v>GST. COM CP3</v>
      </c>
      <c r="C573" s="28" t="str">
        <f>IFERROR(_xlfn.XLOOKUP(E573,[1]EMPREENDIMENTO!C:C,[1]EMPREENDIMENTO!A:A),"-")</f>
        <v>LIMEIRA</v>
      </c>
      <c r="D573" s="28" t="s">
        <v>29</v>
      </c>
      <c r="E573" s="28" t="s">
        <v>1084</v>
      </c>
      <c r="F573" s="28" t="s">
        <v>42</v>
      </c>
      <c r="G573" s="28" t="s">
        <v>1085</v>
      </c>
      <c r="H573" s="28">
        <v>38682</v>
      </c>
      <c r="I573" s="29">
        <f>IFERROR(_xlfn.XLOOKUP(E573,[1]EMPREENDIMENTO!C:C,[1]EMPREENDIMENTO!E:E),"0")</f>
        <v>288</v>
      </c>
      <c r="J573" s="30">
        <v>46109</v>
      </c>
      <c r="K573" s="28" t="s">
        <v>33</v>
      </c>
      <c r="L573" s="31">
        <v>45855</v>
      </c>
      <c r="M573" s="32">
        <v>65062975</v>
      </c>
      <c r="N573" s="32">
        <v>65377875</v>
      </c>
      <c r="O573" s="32">
        <v>65160475</v>
      </c>
      <c r="P573" s="28" t="s">
        <v>34</v>
      </c>
      <c r="Q573" s="28" t="s">
        <v>1086</v>
      </c>
      <c r="R573" s="30">
        <v>45868</v>
      </c>
      <c r="S573" s="30">
        <v>45859</v>
      </c>
      <c r="T573" s="33"/>
      <c r="U573" s="34" t="str">
        <f>IFERROR(_xlfn.XLOOKUP(E573,[1]EMPREENDIMENTO!C:C,[1]EMPREENDIMENTO!D:D),"")</f>
        <v>b7d37abd-c048-ed11-bbd2-80c16e075108</v>
      </c>
    </row>
    <row r="574" spans="1:21" hidden="1" x14ac:dyDescent="0.35">
      <c r="A574" s="28" t="str">
        <f>IFERROR(_xlfn.XLOOKUP(C574,[1]DIRETORIA!C:C,[1]DIRETORIA!A:A),"-")</f>
        <v>DIR. COM E CRED NE</v>
      </c>
      <c r="B574" s="28" t="str">
        <f>IFERROR(_xlfn.XLOOKUP(C574,[1]DIRETORIA!C:C,[1]DIRETORIA!B:B),"-")</f>
        <v>GST. COM NE4 (CE)</v>
      </c>
      <c r="C574" s="28" t="str">
        <f>IFERROR(_xlfn.XLOOKUP(E574,[1]EMPREENDIMENTO!C:C,[1]EMPREENDIMENTO!A:A),"-")</f>
        <v>FORTALEZA</v>
      </c>
      <c r="D574" s="28" t="s">
        <v>29</v>
      </c>
      <c r="E574" s="28" t="s">
        <v>1087</v>
      </c>
      <c r="F574" s="28" t="s">
        <v>42</v>
      </c>
      <c r="G574" s="28" t="s">
        <v>1088</v>
      </c>
      <c r="H574" s="28">
        <v>32781</v>
      </c>
      <c r="I574" s="29">
        <f>IFERROR(_xlfn.XLOOKUP(E574,[1]EMPREENDIMENTO!C:C,[1]EMPREENDIMENTO!E:E),"0")</f>
        <v>204</v>
      </c>
      <c r="J574" s="30">
        <v>45835</v>
      </c>
      <c r="K574" s="28" t="s">
        <v>33</v>
      </c>
      <c r="L574" s="31">
        <v>45218</v>
      </c>
      <c r="M574" s="32">
        <v>42933405</v>
      </c>
      <c r="N574" s="32">
        <v>47350620</v>
      </c>
      <c r="O574" s="32">
        <v>46539650</v>
      </c>
      <c r="P574" s="28" t="s">
        <v>34</v>
      </c>
      <c r="Q574" s="28" t="s">
        <v>1089</v>
      </c>
      <c r="R574" s="30">
        <v>45233</v>
      </c>
      <c r="S574" s="30">
        <v>45218</v>
      </c>
      <c r="T574" s="33"/>
      <c r="U574" s="34" t="str">
        <f>IFERROR(_xlfn.XLOOKUP(E574,[1]EMPREENDIMENTO!C:C,[1]EMPREENDIMENTO!D:D),"")</f>
        <v>B3D7C565-071B-EC11-B501-005056856B6C</v>
      </c>
    </row>
    <row r="575" spans="1:21" hidden="1" x14ac:dyDescent="0.35">
      <c r="A575" s="28" t="str">
        <f>IFERROR(_xlfn.XLOOKUP(C575,[1]DIRETORIA!C:C,[1]DIRETORIA!A:A),"-")</f>
        <v>DIR. COM E CRED SUL</v>
      </c>
      <c r="B575" s="28" t="str">
        <f>IFERROR(_xlfn.XLOOKUP(C575,[1]DIRETORIA!C:C,[1]DIRETORIA!B:B),"-")</f>
        <v>GST. COM SC</v>
      </c>
      <c r="C575" s="28" t="str">
        <f>IFERROR(_xlfn.XLOOKUP(E575,[1]EMPREENDIMENTO!C:C,[1]EMPREENDIMENTO!A:A),"-")</f>
        <v>JOINVILLE</v>
      </c>
      <c r="D575" s="28" t="s">
        <v>29</v>
      </c>
      <c r="E575" s="28" t="s">
        <v>1090</v>
      </c>
      <c r="F575" s="28" t="s">
        <v>42</v>
      </c>
      <c r="G575" s="28" t="s">
        <v>1091</v>
      </c>
      <c r="H575" s="28">
        <v>26373</v>
      </c>
      <c r="I575" s="29">
        <f>IFERROR(_xlfn.XLOOKUP(E575,[1]EMPREENDIMENTO!C:C,[1]EMPREENDIMENTO!E:E),"0")</f>
        <v>176</v>
      </c>
      <c r="J575" s="30">
        <v>46685</v>
      </c>
      <c r="K575" s="28" t="s">
        <v>33</v>
      </c>
      <c r="L575" s="31">
        <v>45873</v>
      </c>
      <c r="M575" s="32">
        <v>42710400</v>
      </c>
      <c r="N575" s="32">
        <v>34243976</v>
      </c>
      <c r="O575" s="32">
        <v>43430700</v>
      </c>
      <c r="P575" s="28" t="s">
        <v>34</v>
      </c>
      <c r="Q575" s="28" t="s">
        <v>1092</v>
      </c>
      <c r="R575" s="30">
        <v>45876</v>
      </c>
      <c r="S575" s="30">
        <v>45874</v>
      </c>
      <c r="T575" s="33"/>
      <c r="U575" s="34" t="str">
        <f>IFERROR(_xlfn.XLOOKUP(E575,[1]EMPREENDIMENTO!C:C,[1]EMPREENDIMENTO!D:D),"")</f>
        <v>2aabc7ce-439c-ea11-88c0-0050568aa20f</v>
      </c>
    </row>
    <row r="576" spans="1:21" hidden="1" x14ac:dyDescent="0.35">
      <c r="A576" s="28" t="str">
        <f>IFERROR(_xlfn.XLOOKUP(C576,[1]DIRETORIA!C:C,[1]DIRETORIA!A:A),"-")</f>
        <v>DIR. COM E CRED RJ</v>
      </c>
      <c r="B576" s="28" t="str">
        <f>IFERROR(_xlfn.XLOOKUP(C576,[1]DIRETORIA!C:C,[1]DIRETORIA!B:B),"-")</f>
        <v>GST. COM SF</v>
      </c>
      <c r="C576" s="28" t="str">
        <f>IFERROR(_xlfn.XLOOKUP(E576,[1]EMPREENDIMENTO!C:C,[1]EMPREENDIMENTO!A:A),"-")</f>
        <v>JUIZ DE FORA</v>
      </c>
      <c r="D576" s="28" t="s">
        <v>29</v>
      </c>
      <c r="E576" s="28" t="s">
        <v>1093</v>
      </c>
      <c r="F576" s="28" t="s">
        <v>31</v>
      </c>
      <c r="G576" s="28" t="s">
        <v>1094</v>
      </c>
      <c r="H576" s="28">
        <v>39924</v>
      </c>
      <c r="I576" s="29">
        <f>IFERROR(_xlfn.XLOOKUP(E576,[1]EMPREENDIMENTO!C:C,[1]EMPREENDIMENTO!E:E),"0")</f>
        <v>272</v>
      </c>
      <c r="J576" s="30">
        <v>46808</v>
      </c>
      <c r="K576" s="28" t="s">
        <v>33</v>
      </c>
      <c r="L576" s="31">
        <v>46226</v>
      </c>
      <c r="M576" s="32">
        <v>69248000</v>
      </c>
      <c r="N576" s="32">
        <v>74678878</v>
      </c>
      <c r="O576" s="32">
        <v>72403000</v>
      </c>
      <c r="P576" s="28" t="s">
        <v>34</v>
      </c>
      <c r="Q576" s="28" t="s">
        <v>1095</v>
      </c>
      <c r="R576" s="30">
        <v>46225</v>
      </c>
      <c r="S576" s="30">
        <v>46226</v>
      </c>
      <c r="T576" s="33"/>
      <c r="U576" s="34" t="str">
        <f>IFERROR(_xlfn.XLOOKUP(E576,[1]EMPREENDIMENTO!C:C,[1]EMPREENDIMENTO!D:D),"")</f>
        <v>3c242a70-7678-eb11-aa45-005056856875</v>
      </c>
    </row>
    <row r="577" spans="1:21" hidden="1" x14ac:dyDescent="0.35">
      <c r="A577" s="28" t="str">
        <f>IFERROR(_xlfn.XLOOKUP(C577,[1]DIRETORIA!C:C,[1]DIRETORIA!A:A),"-")</f>
        <v>DIR. COM E CRED RJ</v>
      </c>
      <c r="B577" s="28" t="str">
        <f>IFERROR(_xlfn.XLOOKUP(C577,[1]DIRETORIA!C:C,[1]DIRETORIA!B:B),"-")</f>
        <v>GST. COM SF</v>
      </c>
      <c r="C577" s="28" t="str">
        <f>IFERROR(_xlfn.XLOOKUP(E577,[1]EMPREENDIMENTO!C:C,[1]EMPREENDIMENTO!A:A),"-")</f>
        <v>JUIZ DE FORA</v>
      </c>
      <c r="D577" s="28" t="s">
        <v>29</v>
      </c>
      <c r="E577" s="28" t="s">
        <v>1093</v>
      </c>
      <c r="F577" s="28" t="s">
        <v>36</v>
      </c>
      <c r="G577" s="28" t="s">
        <v>1096</v>
      </c>
      <c r="H577" s="28">
        <v>52826</v>
      </c>
      <c r="I577" s="29">
        <f>IFERROR(_xlfn.XLOOKUP(E577,[1]EMPREENDIMENTO!C:C,[1]EMPREENDIMENTO!E:E),"0")</f>
        <v>272</v>
      </c>
      <c r="J577" s="30">
        <v>46808</v>
      </c>
      <c r="K577" s="28" t="s">
        <v>33</v>
      </c>
      <c r="L577" s="31">
        <v>46226</v>
      </c>
      <c r="M577" s="32">
        <v>69248000</v>
      </c>
      <c r="N577" s="32">
        <v>74678878</v>
      </c>
      <c r="O577" s="32">
        <v>72403000</v>
      </c>
      <c r="P577" s="28" t="s">
        <v>34</v>
      </c>
      <c r="Q577" s="28" t="s">
        <v>1095</v>
      </c>
      <c r="R577" s="30">
        <v>46223</v>
      </c>
      <c r="S577" s="30">
        <v>46230</v>
      </c>
      <c r="T577" s="33"/>
      <c r="U577" s="34" t="str">
        <f>IFERROR(_xlfn.XLOOKUP(E577,[1]EMPREENDIMENTO!C:C,[1]EMPREENDIMENTO!D:D),"")</f>
        <v>3c242a70-7678-eb11-aa45-005056856875</v>
      </c>
    </row>
    <row r="578" spans="1:21" hidden="1" x14ac:dyDescent="0.35">
      <c r="A578" s="28" t="str">
        <f>IFERROR(_xlfn.XLOOKUP(C578,[1]DIRETORIA!C:C,[1]DIRETORIA!A:A),"-")</f>
        <v>DIR. COM E CRED NE</v>
      </c>
      <c r="B578" s="28" t="str">
        <f>IFERROR(_xlfn.XLOOKUP(C578,[1]DIRETORIA!C:C,[1]DIRETORIA!B:B),"-")</f>
        <v>GST. COM NE4 (CE)</v>
      </c>
      <c r="C578" s="28" t="str">
        <f>IFERROR(_xlfn.XLOOKUP(E578,[1]EMPREENDIMENTO!C:C,[1]EMPREENDIMENTO!A:A),"-")</f>
        <v>EUSÉBIO</v>
      </c>
      <c r="D578" s="28" t="s">
        <v>29</v>
      </c>
      <c r="E578" s="28" t="s">
        <v>1097</v>
      </c>
      <c r="F578" s="28" t="s">
        <v>31</v>
      </c>
      <c r="G578" s="28" t="s">
        <v>1098</v>
      </c>
      <c r="H578" s="28">
        <v>38786</v>
      </c>
      <c r="I578" s="29">
        <f>IFERROR(_xlfn.XLOOKUP(E578,[1]EMPREENDIMENTO!C:C,[1]EMPREENDIMENTO!E:E),"0")</f>
        <v>200</v>
      </c>
      <c r="J578" s="30">
        <v>46678</v>
      </c>
      <c r="K578" s="28" t="s">
        <v>33</v>
      </c>
      <c r="L578" s="31">
        <v>45951</v>
      </c>
      <c r="M578" s="32">
        <v>44425600</v>
      </c>
      <c r="N578" s="32">
        <v>47692000</v>
      </c>
      <c r="O578" s="32">
        <v>47163940</v>
      </c>
      <c r="P578" s="28" t="s">
        <v>34</v>
      </c>
      <c r="Q578" s="28" t="s">
        <v>1099</v>
      </c>
      <c r="R578" s="30">
        <v>45702</v>
      </c>
      <c r="S578" s="30">
        <v>45951</v>
      </c>
      <c r="T578" s="33"/>
      <c r="U578" s="34" t="str">
        <f>IFERROR(_xlfn.XLOOKUP(E578,[1]EMPREENDIMENTO!C:C,[1]EMPREENDIMENTO!D:D),"")</f>
        <v>c8a20bcd-d306-ed11-ba45-005056890018</v>
      </c>
    </row>
    <row r="579" spans="1:21" hidden="1" x14ac:dyDescent="0.35">
      <c r="A579" s="28" t="str">
        <f>IFERROR(_xlfn.XLOOKUP(C579,[1]DIRETORIA!C:C,[1]DIRETORIA!A:A),"-")</f>
        <v>DIR. COM E CRED NE</v>
      </c>
      <c r="B579" s="28" t="str">
        <f>IFERROR(_xlfn.XLOOKUP(C579,[1]DIRETORIA!C:C,[1]DIRETORIA!B:B),"-")</f>
        <v>GST. COM NE4 (CE)</v>
      </c>
      <c r="C579" s="28" t="str">
        <f>IFERROR(_xlfn.XLOOKUP(E579,[1]EMPREENDIMENTO!C:C,[1]EMPREENDIMENTO!A:A),"-")</f>
        <v>EUSÉBIO</v>
      </c>
      <c r="D579" s="28" t="s">
        <v>29</v>
      </c>
      <c r="E579" s="28" t="s">
        <v>1097</v>
      </c>
      <c r="F579" s="28" t="s">
        <v>36</v>
      </c>
      <c r="G579" s="28" t="s">
        <v>1100</v>
      </c>
      <c r="H579" s="28">
        <v>45785</v>
      </c>
      <c r="I579" s="29">
        <f>IFERROR(_xlfn.XLOOKUP(E579,[1]EMPREENDIMENTO!C:C,[1]EMPREENDIMENTO!E:E),"0")</f>
        <v>200</v>
      </c>
      <c r="J579" s="30">
        <v>46678</v>
      </c>
      <c r="K579" s="28" t="s">
        <v>33</v>
      </c>
      <c r="L579" s="31">
        <v>45951</v>
      </c>
      <c r="M579" s="32">
        <v>44425600</v>
      </c>
      <c r="N579" s="32">
        <v>47692000</v>
      </c>
      <c r="O579" s="32">
        <v>47163940</v>
      </c>
      <c r="P579" s="28" t="s">
        <v>34</v>
      </c>
      <c r="Q579" s="28" t="s">
        <v>1099</v>
      </c>
      <c r="R579" s="30">
        <v>45702</v>
      </c>
      <c r="S579" s="30">
        <v>45951</v>
      </c>
      <c r="T579" s="33"/>
      <c r="U579" s="34" t="str">
        <f>IFERROR(_xlfn.XLOOKUP(E579,[1]EMPREENDIMENTO!C:C,[1]EMPREENDIMENTO!D:D),"")</f>
        <v>c8a20bcd-d306-ed11-ba45-005056890018</v>
      </c>
    </row>
    <row r="580" spans="1:21" hidden="1" x14ac:dyDescent="0.35">
      <c r="A580" s="28" t="str">
        <f>IFERROR(_xlfn.XLOOKUP(C580,[1]DIRETORIA!C:C,[1]DIRETORIA!A:A),"-")</f>
        <v>DIR. COM E CRED NE</v>
      </c>
      <c r="B580" s="28" t="str">
        <f>IFERROR(_xlfn.XLOOKUP(C580,[1]DIRETORIA!C:C,[1]DIRETORIA!B:B),"-")</f>
        <v>GST. COM NE 3 (SE+AL)</v>
      </c>
      <c r="C580" s="28" t="str">
        <f>IFERROR(_xlfn.XLOOKUP(E580,[1]EMPREENDIMENTO!C:C,[1]EMPREENDIMENTO!A:A),"-")</f>
        <v>MACEIÓ</v>
      </c>
      <c r="D580" s="28" t="s">
        <v>29</v>
      </c>
      <c r="E580" s="28" t="s">
        <v>1101</v>
      </c>
      <c r="F580" s="28" t="s">
        <v>42</v>
      </c>
      <c r="G580" s="28" t="s">
        <v>1102</v>
      </c>
      <c r="H580" s="28">
        <v>40881</v>
      </c>
      <c r="I580" s="29">
        <f>IFERROR(_xlfn.XLOOKUP(E580,[1]EMPREENDIMENTO!C:C,[1]EMPREENDIMENTO!E:E),"0")</f>
        <v>216</v>
      </c>
      <c r="J580" s="30">
        <v>46405</v>
      </c>
      <c r="K580" s="28" t="s">
        <v>33</v>
      </c>
      <c r="L580" s="31">
        <v>46213</v>
      </c>
      <c r="M580" s="32">
        <v>74277092</v>
      </c>
      <c r="N580" s="32">
        <v>83615648</v>
      </c>
      <c r="O580" s="32">
        <v>78393798</v>
      </c>
      <c r="P580" s="28" t="s">
        <v>34</v>
      </c>
      <c r="Q580" s="28" t="s">
        <v>1103</v>
      </c>
      <c r="R580" s="30">
        <v>46213</v>
      </c>
      <c r="S580" s="30">
        <v>46216</v>
      </c>
      <c r="T580" s="33"/>
      <c r="U580" s="34" t="str">
        <f>IFERROR(_xlfn.XLOOKUP(E580,[1]EMPREENDIMENTO!C:C,[1]EMPREENDIMENTO!D:D),"")</f>
        <v>fdfad761-3213-e411-8efb-009c02b0cb58</v>
      </c>
    </row>
    <row r="581" spans="1:21" hidden="1" x14ac:dyDescent="0.35">
      <c r="A581" s="28" t="str">
        <f>IFERROR(_xlfn.XLOOKUP(C581,[1]DIRETORIA!C:C,[1]DIRETORIA!A:A),"-")</f>
        <v>DIR. COM E CRED CO E AM</v>
      </c>
      <c r="B581" s="28" t="str">
        <f>IFERROR(_xlfn.XLOOKUP(C581,[1]DIRETORIA!C:C,[1]DIRETORIA!B:B),"-")</f>
        <v>GST. COM GO</v>
      </c>
      <c r="C581" s="28" t="str">
        <f>IFERROR(_xlfn.XLOOKUP(E581,[1]EMPREENDIMENTO!C:C,[1]EMPREENDIMENTO!A:A),"-")</f>
        <v>APARECIDA DE GOIÂNIA</v>
      </c>
      <c r="D581" s="28" t="s">
        <v>29</v>
      </c>
      <c r="E581" s="28" t="s">
        <v>1104</v>
      </c>
      <c r="F581" s="28" t="s">
        <v>31</v>
      </c>
      <c r="G581" s="28" t="s">
        <v>1105</v>
      </c>
      <c r="H581" s="28">
        <v>35020</v>
      </c>
      <c r="I581" s="29">
        <f>IFERROR(_xlfn.XLOOKUP(E581,[1]EMPREENDIMENTO!C:C,[1]EMPREENDIMENTO!E:E),"0")</f>
        <v>592</v>
      </c>
      <c r="J581" s="30">
        <v>46628</v>
      </c>
      <c r="K581" s="28" t="s">
        <v>33</v>
      </c>
      <c r="L581" s="31">
        <v>46192</v>
      </c>
      <c r="M581" s="32">
        <v>141648840</v>
      </c>
      <c r="N581" s="32">
        <v>158377686</v>
      </c>
      <c r="O581" s="32">
        <v>151747429</v>
      </c>
      <c r="P581" s="28" t="s">
        <v>34</v>
      </c>
      <c r="Q581" s="28" t="s">
        <v>1106</v>
      </c>
      <c r="R581" s="30">
        <v>46204</v>
      </c>
      <c r="S581" s="30">
        <v>46195</v>
      </c>
      <c r="T581" s="33"/>
      <c r="U581" s="34" t="str">
        <f>IFERROR(_xlfn.XLOOKUP(E581,[1]EMPREENDIMENTO!C:C,[1]EMPREENDIMENTO!D:D),"")</f>
        <v>784285ad-440f-ec11-a30e-0050568a2e98</v>
      </c>
    </row>
    <row r="582" spans="1:21" hidden="1" x14ac:dyDescent="0.35">
      <c r="A582" s="28" t="str">
        <f>IFERROR(_xlfn.XLOOKUP(C582,[1]DIRETORIA!C:C,[1]DIRETORIA!A:A),"-")</f>
        <v>DIR. COM E CRED CO E AM</v>
      </c>
      <c r="B582" s="28" t="str">
        <f>IFERROR(_xlfn.XLOOKUP(C582,[1]DIRETORIA!C:C,[1]DIRETORIA!B:B),"-")</f>
        <v>GST. COM GO</v>
      </c>
      <c r="C582" s="28" t="str">
        <f>IFERROR(_xlfn.XLOOKUP(E582,[1]EMPREENDIMENTO!C:C,[1]EMPREENDIMENTO!A:A),"-")</f>
        <v>APARECIDA DE GOIÂNIA</v>
      </c>
      <c r="D582" s="28" t="s">
        <v>29</v>
      </c>
      <c r="E582" s="28" t="s">
        <v>1104</v>
      </c>
      <c r="F582" s="28" t="s">
        <v>36</v>
      </c>
      <c r="G582" s="28" t="s">
        <v>1107</v>
      </c>
      <c r="H582" s="28">
        <v>45782</v>
      </c>
      <c r="I582" s="29">
        <f>IFERROR(_xlfn.XLOOKUP(E582,[1]EMPREENDIMENTO!C:C,[1]EMPREENDIMENTO!E:E),"0")</f>
        <v>592</v>
      </c>
      <c r="J582" s="30">
        <v>46628</v>
      </c>
      <c r="K582" s="28" t="s">
        <v>33</v>
      </c>
      <c r="L582" s="31">
        <v>46192</v>
      </c>
      <c r="M582" s="32">
        <v>141648840</v>
      </c>
      <c r="N582" s="32">
        <v>158377686</v>
      </c>
      <c r="O582" s="32">
        <v>151747429</v>
      </c>
      <c r="P582" s="28" t="s">
        <v>34</v>
      </c>
      <c r="Q582" s="28" t="s">
        <v>1106</v>
      </c>
      <c r="R582" s="30">
        <v>46204</v>
      </c>
      <c r="S582" s="30">
        <v>46195</v>
      </c>
      <c r="T582" s="33"/>
      <c r="U582" s="34" t="str">
        <f>IFERROR(_xlfn.XLOOKUP(E582,[1]EMPREENDIMENTO!C:C,[1]EMPREENDIMENTO!D:D),"")</f>
        <v>784285ad-440f-ec11-a30e-0050568a2e98</v>
      </c>
    </row>
    <row r="583" spans="1:21" hidden="1" x14ac:dyDescent="0.35">
      <c r="A583" s="28" t="str">
        <f>IFERROR(_xlfn.XLOOKUP(C583,[1]DIRETORIA!C:C,[1]DIRETORIA!A:A),"-")</f>
        <v>DIR. COM E CRED CO E AM</v>
      </c>
      <c r="B583" s="28" t="str">
        <f>IFERROR(_xlfn.XLOOKUP(C583,[1]DIRETORIA!C:C,[1]DIRETORIA!B:B),"-")</f>
        <v>GST. COM GO</v>
      </c>
      <c r="C583" s="28" t="str">
        <f>IFERROR(_xlfn.XLOOKUP(E583,[1]EMPREENDIMENTO!C:C,[1]EMPREENDIMENTO!A:A),"-")</f>
        <v>APARECIDA DE GOIÂNIA</v>
      </c>
      <c r="D583" s="28" t="s">
        <v>29</v>
      </c>
      <c r="E583" s="28" t="s">
        <v>1104</v>
      </c>
      <c r="F583" s="28" t="s">
        <v>39</v>
      </c>
      <c r="G583" s="28" t="s">
        <v>1108</v>
      </c>
      <c r="H583" s="28">
        <v>50418</v>
      </c>
      <c r="I583" s="29">
        <f>IFERROR(_xlfn.XLOOKUP(E583,[1]EMPREENDIMENTO!C:C,[1]EMPREENDIMENTO!E:E),"0")</f>
        <v>592</v>
      </c>
      <c r="J583" s="30">
        <v>46628</v>
      </c>
      <c r="K583" s="28" t="s">
        <v>33</v>
      </c>
      <c r="L583" s="31">
        <v>46192</v>
      </c>
      <c r="M583" s="32">
        <v>141648840</v>
      </c>
      <c r="N583" s="32">
        <v>158377686</v>
      </c>
      <c r="O583" s="32">
        <v>151747429</v>
      </c>
      <c r="P583" s="28" t="s">
        <v>34</v>
      </c>
      <c r="Q583" s="28" t="s">
        <v>1106</v>
      </c>
      <c r="R583" s="30">
        <v>46204</v>
      </c>
      <c r="S583" s="30">
        <v>46195</v>
      </c>
      <c r="T583" s="33"/>
      <c r="U583" s="34" t="str">
        <f>IFERROR(_xlfn.XLOOKUP(E583,[1]EMPREENDIMENTO!C:C,[1]EMPREENDIMENTO!D:D),"")</f>
        <v>784285ad-440f-ec11-a30e-0050568a2e98</v>
      </c>
    </row>
    <row r="584" spans="1:21" hidden="1" x14ac:dyDescent="0.35">
      <c r="A584" s="28" t="str">
        <f>IFERROR(_xlfn.XLOOKUP(C584,[1]DIRETORIA!C:C,[1]DIRETORIA!A:A),"-")</f>
        <v>DIR. COM E CRED CO E AM</v>
      </c>
      <c r="B584" s="28" t="str">
        <f>IFERROR(_xlfn.XLOOKUP(C584,[1]DIRETORIA!C:C,[1]DIRETORIA!B:B),"-")</f>
        <v>GST. COM GO</v>
      </c>
      <c r="C584" s="28" t="str">
        <f>IFERROR(_xlfn.XLOOKUP(E584,[1]EMPREENDIMENTO!C:C,[1]EMPREENDIMENTO!A:A),"-")</f>
        <v>APARECIDA DE GOIÂNIA</v>
      </c>
      <c r="D584" s="28" t="s">
        <v>29</v>
      </c>
      <c r="E584" s="28" t="s">
        <v>1104</v>
      </c>
      <c r="F584" s="28" t="s">
        <v>50</v>
      </c>
      <c r="G584" s="28" t="s">
        <v>1109</v>
      </c>
      <c r="H584" s="28">
        <v>53394</v>
      </c>
      <c r="I584" s="29">
        <f>IFERROR(_xlfn.XLOOKUP(E584,[1]EMPREENDIMENTO!C:C,[1]EMPREENDIMENTO!E:E),"0")</f>
        <v>592</v>
      </c>
      <c r="J584" s="30">
        <v>46628</v>
      </c>
      <c r="K584" s="28" t="s">
        <v>33</v>
      </c>
      <c r="L584" s="31">
        <v>46192</v>
      </c>
      <c r="M584" s="32">
        <v>141648840</v>
      </c>
      <c r="N584" s="32">
        <v>158377686</v>
      </c>
      <c r="O584" s="32">
        <v>151747429</v>
      </c>
      <c r="P584" s="28" t="s">
        <v>34</v>
      </c>
      <c r="Q584" s="28" t="s">
        <v>1106</v>
      </c>
      <c r="R584" s="30">
        <v>46204</v>
      </c>
      <c r="S584" s="30">
        <v>46195</v>
      </c>
      <c r="T584" s="33"/>
      <c r="U584" s="34" t="str">
        <f>IFERROR(_xlfn.XLOOKUP(E584,[1]EMPREENDIMENTO!C:C,[1]EMPREENDIMENTO!D:D),"")</f>
        <v>784285ad-440f-ec11-a30e-0050568a2e98</v>
      </c>
    </row>
    <row r="585" spans="1:21" hidden="1" x14ac:dyDescent="0.35">
      <c r="A585" s="28" t="str">
        <f>IFERROR(_xlfn.XLOOKUP(C585,[1]DIRETORIA!C:C,[1]DIRETORIA!A:A),"-")</f>
        <v>DIR. COM E CRED CO E AM</v>
      </c>
      <c r="B585" s="28" t="str">
        <f>IFERROR(_xlfn.XLOOKUP(C585,[1]DIRETORIA!C:C,[1]DIRETORIA!B:B),"-")</f>
        <v>GST. COM GO</v>
      </c>
      <c r="C585" s="28" t="str">
        <f>IFERROR(_xlfn.XLOOKUP(E585,[1]EMPREENDIMENTO!C:C,[1]EMPREENDIMENTO!A:A),"-")</f>
        <v>APARECIDA DE GOIÂNIA</v>
      </c>
      <c r="D585" s="28" t="s">
        <v>29</v>
      </c>
      <c r="E585" s="28" t="s">
        <v>1104</v>
      </c>
      <c r="F585" s="28" t="s">
        <v>57</v>
      </c>
      <c r="G585" s="28" t="s">
        <v>1110</v>
      </c>
      <c r="H585" s="28">
        <v>53463</v>
      </c>
      <c r="I585" s="29">
        <f>IFERROR(_xlfn.XLOOKUP(E585,[1]EMPREENDIMENTO!C:C,[1]EMPREENDIMENTO!E:E),"0")</f>
        <v>592</v>
      </c>
      <c r="J585" s="30">
        <v>46628</v>
      </c>
      <c r="K585" s="28" t="s">
        <v>33</v>
      </c>
      <c r="L585" s="31">
        <v>46192</v>
      </c>
      <c r="M585" s="32">
        <v>141648840</v>
      </c>
      <c r="N585" s="32">
        <v>158377686</v>
      </c>
      <c r="O585" s="32">
        <v>151747429</v>
      </c>
      <c r="P585" s="28" t="s">
        <v>34</v>
      </c>
      <c r="Q585" s="28" t="s">
        <v>1106</v>
      </c>
      <c r="R585" s="30">
        <v>46204</v>
      </c>
      <c r="S585" s="30">
        <v>46195</v>
      </c>
      <c r="T585" s="33"/>
      <c r="U585" s="34" t="str">
        <f>IFERROR(_xlfn.XLOOKUP(E585,[1]EMPREENDIMENTO!C:C,[1]EMPREENDIMENTO!D:D),"")</f>
        <v>784285ad-440f-ec11-a30e-0050568a2e98</v>
      </c>
    </row>
    <row r="586" spans="1:21" hidden="1" x14ac:dyDescent="0.35">
      <c r="A586" s="28" t="str">
        <f>IFERROR(_xlfn.XLOOKUP(C586,[1]DIRETORIA!C:C,[1]DIRETORIA!A:A),"-")</f>
        <v>DIR. COM E CRED CO E AM</v>
      </c>
      <c r="B586" s="28" t="str">
        <f>IFERROR(_xlfn.XLOOKUP(C586,[1]DIRETORIA!C:C,[1]DIRETORIA!B:B),"-")</f>
        <v>GST. COM GO</v>
      </c>
      <c r="C586" s="28" t="str">
        <f>IFERROR(_xlfn.XLOOKUP(E586,[1]EMPREENDIMENTO!C:C,[1]EMPREENDIMENTO!A:A),"-")</f>
        <v>APARECIDA DE GOIÂNIA</v>
      </c>
      <c r="D586" s="28" t="s">
        <v>29</v>
      </c>
      <c r="E586" s="28" t="s">
        <v>1104</v>
      </c>
      <c r="F586" s="28" t="s">
        <v>360</v>
      </c>
      <c r="G586" s="28" t="s">
        <v>1111</v>
      </c>
      <c r="H586" s="28">
        <v>67152</v>
      </c>
      <c r="I586" s="29">
        <f>IFERROR(_xlfn.XLOOKUP(E586,[1]EMPREENDIMENTO!C:C,[1]EMPREENDIMENTO!E:E),"0")</f>
        <v>592</v>
      </c>
      <c r="J586" s="30">
        <v>46628</v>
      </c>
      <c r="K586" s="28" t="s">
        <v>33</v>
      </c>
      <c r="L586" s="31">
        <v>46192</v>
      </c>
      <c r="M586" s="32">
        <v>141648840</v>
      </c>
      <c r="N586" s="32">
        <v>158377686</v>
      </c>
      <c r="O586" s="32">
        <v>151747429</v>
      </c>
      <c r="P586" s="28" t="s">
        <v>34</v>
      </c>
      <c r="Q586" s="28" t="s">
        <v>1106</v>
      </c>
      <c r="R586" s="30">
        <v>46204</v>
      </c>
      <c r="S586" s="30">
        <v>46195</v>
      </c>
      <c r="T586" s="33"/>
      <c r="U586" s="34" t="str">
        <f>IFERROR(_xlfn.XLOOKUP(E586,[1]EMPREENDIMENTO!C:C,[1]EMPREENDIMENTO!D:D),"")</f>
        <v>784285ad-440f-ec11-a30e-0050568a2e98</v>
      </c>
    </row>
    <row r="587" spans="1:21" hidden="1" x14ac:dyDescent="0.35">
      <c r="A587" s="28" t="str">
        <f>IFERROR(_xlfn.XLOOKUP(C587,[1]DIRETORIA!C:C,[1]DIRETORIA!A:A),"-")</f>
        <v>DIR. COM E CRED SP E VL</v>
      </c>
      <c r="B587" s="28" t="str">
        <f>IFERROR(_xlfn.XLOOKUP(C587,[1]DIRETORIA!C:C,[1]DIRETORIA!B:B),"-")</f>
        <v>GST. COM SP2</v>
      </c>
      <c r="C587" s="28" t="str">
        <f>IFERROR(_xlfn.XLOOKUP(E587,[1]EMPREENDIMENTO!C:C,[1]EMPREENDIMENTO!A:A),"-")</f>
        <v>SÃO PAULO</v>
      </c>
      <c r="D587" s="28" t="s">
        <v>85</v>
      </c>
      <c r="E587" s="28" t="s">
        <v>1112</v>
      </c>
      <c r="F587" s="28" t="s">
        <v>42</v>
      </c>
      <c r="G587" s="28" t="s">
        <v>1113</v>
      </c>
      <c r="H587" s="28">
        <v>40900</v>
      </c>
      <c r="I587" s="29">
        <f>IFERROR(_xlfn.XLOOKUP(E587,[1]EMPREENDIMENTO!C:C,[1]EMPREENDIMENTO!E:E),"0")</f>
        <v>240</v>
      </c>
      <c r="J587" s="30"/>
      <c r="K587" s="28" t="s">
        <v>33</v>
      </c>
      <c r="L587" s="31">
        <v>45210</v>
      </c>
      <c r="M587" s="32">
        <v>140895840</v>
      </c>
      <c r="N587" s="32">
        <v>140895840</v>
      </c>
      <c r="O587" s="32">
        <v>140895840</v>
      </c>
      <c r="P587" s="28" t="s">
        <v>34</v>
      </c>
      <c r="Q587" s="28"/>
      <c r="R587" s="30"/>
      <c r="S587" s="30">
        <v>45210</v>
      </c>
      <c r="T587" s="33"/>
      <c r="U587" s="34" t="str">
        <f>IFERROR(_xlfn.XLOOKUP(E587,[1]EMPREENDIMENTO!C:C,[1]EMPREENDIMENTO!D:D),"")</f>
        <v>50BE72E7-1678-E911-A7AC-80C16E075108</v>
      </c>
    </row>
    <row r="588" spans="1:21" x14ac:dyDescent="0.35">
      <c r="A588" s="28" t="str">
        <f>IFERROR(_xlfn.XLOOKUP(C588,[1]DIRETORIA!C:C,[1]DIRETORIA!A:A),"-")</f>
        <v>DIR. COM E CRED SPI CP</v>
      </c>
      <c r="B588" s="28" t="str">
        <f>IFERROR(_xlfn.XLOOKUP(C588,[1]DIRETORIA!C:C,[1]DIRETORIA!B:B),"-")</f>
        <v>GST. COM CP3</v>
      </c>
      <c r="C588" s="28" t="str">
        <f>IFERROR(_xlfn.XLOOKUP(E588,[1]EMPREENDIMENTO!C:C,[1]EMPREENDIMENTO!A:A),"-")</f>
        <v>SANTA BÁRBARA D'OESTE</v>
      </c>
      <c r="D588" s="28" t="s">
        <v>29</v>
      </c>
      <c r="E588" s="28" t="s">
        <v>1114</v>
      </c>
      <c r="F588" s="28" t="s">
        <v>42</v>
      </c>
      <c r="G588" s="28" t="s">
        <v>1115</v>
      </c>
      <c r="H588" s="28">
        <v>31407</v>
      </c>
      <c r="I588" s="29">
        <f>IFERROR(_xlfn.XLOOKUP(E588,[1]EMPREENDIMENTO!C:C,[1]EMPREENDIMENTO!E:E),"0")</f>
        <v>184</v>
      </c>
      <c r="J588" s="30"/>
      <c r="K588" s="28" t="s">
        <v>33</v>
      </c>
      <c r="L588" s="31">
        <v>46149</v>
      </c>
      <c r="M588" s="32">
        <v>54864000</v>
      </c>
      <c r="N588" s="32">
        <v>58051598</v>
      </c>
      <c r="O588" s="32">
        <v>56584106</v>
      </c>
      <c r="P588" s="28" t="s">
        <v>34</v>
      </c>
      <c r="Q588" s="28" t="s">
        <v>1116</v>
      </c>
      <c r="R588" s="30">
        <v>46160</v>
      </c>
      <c r="S588" s="30">
        <v>46149</v>
      </c>
      <c r="T588" s="33"/>
      <c r="U588" s="34" t="str">
        <f>IFERROR(_xlfn.XLOOKUP(E588,[1]EMPREENDIMENTO!C:C,[1]EMPREENDIMENTO!D:D),"")</f>
        <v>72bce064-ccf2-ea11-beeb-005056856875</v>
      </c>
    </row>
    <row r="589" spans="1:21" hidden="1" x14ac:dyDescent="0.35">
      <c r="A589" s="28" t="str">
        <f>IFERROR(_xlfn.XLOOKUP(C589,[1]DIRETORIA!C:C,[1]DIRETORIA!A:A),"-")</f>
        <v>DIR. COM E CRED NE</v>
      </c>
      <c r="B589" s="28" t="str">
        <f>IFERROR(_xlfn.XLOOKUP(C589,[1]DIRETORIA!C:C,[1]DIRETORIA!B:B),"-")</f>
        <v>GST. COM NE2 (PE)</v>
      </c>
      <c r="C589" s="28" t="str">
        <f>IFERROR(_xlfn.XLOOKUP(E589,[1]EMPREENDIMENTO!C:C,[1]EMPREENDIMENTO!A:A),"-")</f>
        <v>CAMARAGIBE</v>
      </c>
      <c r="D589" s="28" t="s">
        <v>29</v>
      </c>
      <c r="E589" s="28" t="s">
        <v>1117</v>
      </c>
      <c r="F589" s="28" t="s">
        <v>31</v>
      </c>
      <c r="G589" s="28" t="s">
        <v>1118</v>
      </c>
      <c r="H589" s="28">
        <v>28892</v>
      </c>
      <c r="I589" s="29">
        <f>IFERROR(_xlfn.XLOOKUP(E589,[1]EMPREENDIMENTO!C:C,[1]EMPREENDIMENTO!E:E),"0")</f>
        <v>200</v>
      </c>
      <c r="J589" s="30">
        <v>46808</v>
      </c>
      <c r="K589" s="28" t="s">
        <v>33</v>
      </c>
      <c r="L589" s="31">
        <v>46073</v>
      </c>
      <c r="M589" s="32">
        <v>42993102</v>
      </c>
      <c r="N589" s="32">
        <v>45597570</v>
      </c>
      <c r="O589" s="32">
        <v>43870000</v>
      </c>
      <c r="P589" s="28" t="s">
        <v>34</v>
      </c>
      <c r="Q589" s="28" t="s">
        <v>1119</v>
      </c>
      <c r="R589" s="30">
        <v>46079</v>
      </c>
      <c r="S589" s="30">
        <v>46076</v>
      </c>
      <c r="T589" s="33"/>
      <c r="U589" s="34" t="str">
        <f>IFERROR(_xlfn.XLOOKUP(E589,[1]EMPREENDIMENTO!C:C,[1]EMPREENDIMENTO!D:D),"")</f>
        <v>1395ff8d-81fd-e811-b503-009c02b0cb58</v>
      </c>
    </row>
    <row r="590" spans="1:21" hidden="1" x14ac:dyDescent="0.35">
      <c r="A590" s="28" t="str">
        <f>IFERROR(_xlfn.XLOOKUP(C590,[1]DIRETORIA!C:C,[1]DIRETORIA!A:A),"-")</f>
        <v>DIR. COM E CRED NE</v>
      </c>
      <c r="B590" s="28" t="str">
        <f>IFERROR(_xlfn.XLOOKUP(C590,[1]DIRETORIA!C:C,[1]DIRETORIA!B:B),"-")</f>
        <v>GST. COM NE2 (PE)</v>
      </c>
      <c r="C590" s="28" t="str">
        <f>IFERROR(_xlfn.XLOOKUP(E590,[1]EMPREENDIMENTO!C:C,[1]EMPREENDIMENTO!A:A),"-")</f>
        <v>CAMARAGIBE</v>
      </c>
      <c r="D590" s="28" t="s">
        <v>29</v>
      </c>
      <c r="E590" s="28" t="s">
        <v>1117</v>
      </c>
      <c r="F590" s="28" t="s">
        <v>36</v>
      </c>
      <c r="G590" s="28" t="s">
        <v>1120</v>
      </c>
      <c r="H590" s="28">
        <v>52670</v>
      </c>
      <c r="I590" s="29">
        <f>IFERROR(_xlfn.XLOOKUP(E590,[1]EMPREENDIMENTO!C:C,[1]EMPREENDIMENTO!E:E),"0")</f>
        <v>200</v>
      </c>
      <c r="J590" s="30">
        <v>46808</v>
      </c>
      <c r="K590" s="28" t="s">
        <v>33</v>
      </c>
      <c r="L590" s="31">
        <v>46073</v>
      </c>
      <c r="M590" s="32">
        <v>42993102</v>
      </c>
      <c r="N590" s="32">
        <v>45597570</v>
      </c>
      <c r="O590" s="32">
        <v>43870000</v>
      </c>
      <c r="P590" s="28" t="s">
        <v>34</v>
      </c>
      <c r="Q590" s="28" t="s">
        <v>1119</v>
      </c>
      <c r="R590" s="30">
        <v>46079</v>
      </c>
      <c r="S590" s="30">
        <v>46076</v>
      </c>
      <c r="T590" s="33"/>
      <c r="U590" s="34" t="str">
        <f>IFERROR(_xlfn.XLOOKUP(E590,[1]EMPREENDIMENTO!C:C,[1]EMPREENDIMENTO!D:D),"")</f>
        <v>1395ff8d-81fd-e811-b503-009c02b0cb58</v>
      </c>
    </row>
    <row r="591" spans="1:21" x14ac:dyDescent="0.35">
      <c r="A591" s="28" t="str">
        <f>IFERROR(_xlfn.XLOOKUP(C591,[1]DIRETORIA!C:C,[1]DIRETORIA!A:A),"-")</f>
        <v>DIR. COM E CRED SPI</v>
      </c>
      <c r="B591" s="28" t="str">
        <f>IFERROR(_xlfn.XLOOKUP(C591,[1]DIRETORIA!C:C,[1]DIRETORIA!B:B),"-")</f>
        <v>GST. COM RP 1</v>
      </c>
      <c r="C591" s="28" t="str">
        <f>IFERROR(_xlfn.XLOOKUP(E591,[1]EMPREENDIMENTO!C:C,[1]EMPREENDIMENTO!A:A),"-")</f>
        <v>RIBEIRÃO PRETO</v>
      </c>
      <c r="D591" s="28" t="s">
        <v>29</v>
      </c>
      <c r="E591" s="28" t="s">
        <v>1121</v>
      </c>
      <c r="F591" s="28" t="s">
        <v>31</v>
      </c>
      <c r="G591" s="28" t="s">
        <v>1122</v>
      </c>
      <c r="H591" s="28">
        <v>23922</v>
      </c>
      <c r="I591" s="29">
        <f>IFERROR(_xlfn.XLOOKUP(E591,[1]EMPREENDIMENTO!C:C,[1]EMPREENDIMENTO!E:E),"0")</f>
        <v>496</v>
      </c>
      <c r="J591" s="30">
        <v>46629</v>
      </c>
      <c r="K591" s="28" t="s">
        <v>164</v>
      </c>
      <c r="L591" s="31">
        <v>45952</v>
      </c>
      <c r="M591" s="32">
        <v>117375500</v>
      </c>
      <c r="N591" s="32">
        <v>130610300</v>
      </c>
      <c r="O591" s="32">
        <v>122444000</v>
      </c>
      <c r="P591" s="28" t="s">
        <v>34</v>
      </c>
      <c r="Q591" s="28" t="s">
        <v>1123</v>
      </c>
      <c r="R591" s="30">
        <v>45982</v>
      </c>
      <c r="S591" s="30">
        <v>45952</v>
      </c>
      <c r="T591" s="33"/>
      <c r="U591" s="34" t="str">
        <f>IFERROR(_xlfn.XLOOKUP(E591,[1]EMPREENDIMENTO!C:C,[1]EMPREENDIMENTO!D:D),"")</f>
        <v>548f8b78-73df-e711-b989-80c16e075108</v>
      </c>
    </row>
    <row r="592" spans="1:21" x14ac:dyDescent="0.35">
      <c r="A592" s="28" t="str">
        <f>IFERROR(_xlfn.XLOOKUP(C592,[1]DIRETORIA!C:C,[1]DIRETORIA!A:A),"-")</f>
        <v>DIR. COM E CRED SPI</v>
      </c>
      <c r="B592" s="28" t="str">
        <f>IFERROR(_xlfn.XLOOKUP(C592,[1]DIRETORIA!C:C,[1]DIRETORIA!B:B),"-")</f>
        <v>GST. COM RP 1</v>
      </c>
      <c r="C592" s="28" t="str">
        <f>IFERROR(_xlfn.XLOOKUP(E592,[1]EMPREENDIMENTO!C:C,[1]EMPREENDIMENTO!A:A),"-")</f>
        <v>RIBEIRÃO PRETO</v>
      </c>
      <c r="D592" s="28" t="s">
        <v>29</v>
      </c>
      <c r="E592" s="28" t="s">
        <v>1121</v>
      </c>
      <c r="F592" s="28" t="s">
        <v>36</v>
      </c>
      <c r="G592" s="28" t="s">
        <v>1124</v>
      </c>
      <c r="H592" s="28">
        <v>50800</v>
      </c>
      <c r="I592" s="29">
        <f>IFERROR(_xlfn.XLOOKUP(E592,[1]EMPREENDIMENTO!C:C,[1]EMPREENDIMENTO!E:E),"0")</f>
        <v>496</v>
      </c>
      <c r="J592" s="30">
        <v>46629</v>
      </c>
      <c r="K592" s="28" t="s">
        <v>164</v>
      </c>
      <c r="L592" s="31">
        <v>45952</v>
      </c>
      <c r="M592" s="32">
        <v>117375500</v>
      </c>
      <c r="N592" s="32">
        <v>130610300</v>
      </c>
      <c r="O592" s="32">
        <v>122444000</v>
      </c>
      <c r="P592" s="28" t="s">
        <v>34</v>
      </c>
      <c r="Q592" s="28" t="s">
        <v>1123</v>
      </c>
      <c r="R592" s="30">
        <v>45982</v>
      </c>
      <c r="S592" s="30">
        <v>45952</v>
      </c>
      <c r="T592" s="33"/>
      <c r="U592" s="34" t="str">
        <f>IFERROR(_xlfn.XLOOKUP(E592,[1]EMPREENDIMENTO!C:C,[1]EMPREENDIMENTO!D:D),"")</f>
        <v>548f8b78-73df-e711-b989-80c16e075108</v>
      </c>
    </row>
    <row r="593" spans="1:21" hidden="1" x14ac:dyDescent="0.35">
      <c r="A593" s="28" t="str">
        <f>IFERROR(_xlfn.XLOOKUP(C593,[1]DIRETORIA!C:C,[1]DIRETORIA!A:A),"-")</f>
        <v>DIR. COM E CRED SUL</v>
      </c>
      <c r="B593" s="28" t="str">
        <f>IFERROR(_xlfn.XLOOKUP(C593,[1]DIRETORIA!C:C,[1]DIRETORIA!B:B),"-")</f>
        <v>GST. COM CURITIBA</v>
      </c>
      <c r="C593" s="28" t="str">
        <f>IFERROR(_xlfn.XLOOKUP(E593,[1]EMPREENDIMENTO!C:C,[1]EMPREENDIMENTO!A:A),"-")</f>
        <v>CURITIBA</v>
      </c>
      <c r="D593" s="28" t="s">
        <v>29</v>
      </c>
      <c r="E593" s="28" t="s">
        <v>1125</v>
      </c>
      <c r="F593" s="28" t="s">
        <v>31</v>
      </c>
      <c r="G593" s="28" t="s">
        <v>1126</v>
      </c>
      <c r="H593" s="28">
        <v>41013</v>
      </c>
      <c r="I593" s="29">
        <f>IFERROR(_xlfn.XLOOKUP(E593,[1]EMPREENDIMENTO!C:C,[1]EMPREENDIMENTO!E:E),"0")</f>
        <v>360</v>
      </c>
      <c r="J593" s="30">
        <v>46580</v>
      </c>
      <c r="K593" s="28" t="s">
        <v>33</v>
      </c>
      <c r="L593" s="31">
        <v>45615</v>
      </c>
      <c r="M593" s="32">
        <v>113700030</v>
      </c>
      <c r="N593" s="32">
        <v>130755035</v>
      </c>
      <c r="O593" s="32">
        <v>122456650</v>
      </c>
      <c r="P593" s="28" t="s">
        <v>34</v>
      </c>
      <c r="Q593" s="28" t="s">
        <v>1127</v>
      </c>
      <c r="R593" s="30">
        <v>45617</v>
      </c>
      <c r="S593" s="30">
        <v>45615</v>
      </c>
      <c r="T593" s="33"/>
      <c r="U593" s="34" t="str">
        <f>IFERROR(_xlfn.XLOOKUP(E593,[1]EMPREENDIMENTO!C:C,[1]EMPREENDIMENTO!D:D),"")</f>
        <v>8a7098ef-9cde-eb11-930a-0050568aa20f</v>
      </c>
    </row>
    <row r="594" spans="1:21" hidden="1" x14ac:dyDescent="0.35">
      <c r="A594" s="28" t="str">
        <f>IFERROR(_xlfn.XLOOKUP(C594,[1]DIRETORIA!C:C,[1]DIRETORIA!A:A),"-")</f>
        <v>DIR. COM E CRED SUL</v>
      </c>
      <c r="B594" s="28" t="str">
        <f>IFERROR(_xlfn.XLOOKUP(C594,[1]DIRETORIA!C:C,[1]DIRETORIA!B:B),"-")</f>
        <v>GST. COM CURITIBA</v>
      </c>
      <c r="C594" s="28" t="str">
        <f>IFERROR(_xlfn.XLOOKUP(E594,[1]EMPREENDIMENTO!C:C,[1]EMPREENDIMENTO!A:A),"-")</f>
        <v>CURITIBA</v>
      </c>
      <c r="D594" s="28" t="s">
        <v>29</v>
      </c>
      <c r="E594" s="28" t="s">
        <v>1125</v>
      </c>
      <c r="F594" s="28" t="s">
        <v>36</v>
      </c>
      <c r="G594" s="28" t="s">
        <v>1128</v>
      </c>
      <c r="H594" s="28">
        <v>45490</v>
      </c>
      <c r="I594" s="29">
        <f>IFERROR(_xlfn.XLOOKUP(E594,[1]EMPREENDIMENTO!C:C,[1]EMPREENDIMENTO!E:E),"0")</f>
        <v>360</v>
      </c>
      <c r="J594" s="30">
        <v>46580</v>
      </c>
      <c r="K594" s="28" t="s">
        <v>33</v>
      </c>
      <c r="L594" s="31">
        <v>45615</v>
      </c>
      <c r="M594" s="32">
        <v>113700030</v>
      </c>
      <c r="N594" s="32">
        <v>130755035</v>
      </c>
      <c r="O594" s="32">
        <v>122456650</v>
      </c>
      <c r="P594" s="28" t="s">
        <v>34</v>
      </c>
      <c r="Q594" s="28" t="s">
        <v>1127</v>
      </c>
      <c r="R594" s="30">
        <v>45617</v>
      </c>
      <c r="S594" s="30">
        <v>45615</v>
      </c>
      <c r="T594" s="33"/>
      <c r="U594" s="34" t="str">
        <f>IFERROR(_xlfn.XLOOKUP(E594,[1]EMPREENDIMENTO!C:C,[1]EMPREENDIMENTO!D:D),"")</f>
        <v>8a7098ef-9cde-eb11-930a-0050568aa20f</v>
      </c>
    </row>
    <row r="595" spans="1:21" hidden="1" x14ac:dyDescent="0.35">
      <c r="A595" s="28" t="str">
        <f>IFERROR(_xlfn.XLOOKUP(C595,[1]DIRETORIA!C:C,[1]DIRETORIA!A:A),"-")</f>
        <v>DIR. COM E CRED CO E AM</v>
      </c>
      <c r="B595" s="28" t="str">
        <f>IFERROR(_xlfn.XLOOKUP(C595,[1]DIRETORIA!C:C,[1]DIRETORIA!B:B),"-")</f>
        <v>GST. COM AM</v>
      </c>
      <c r="C595" s="28" t="str">
        <f>IFERROR(_xlfn.XLOOKUP(E595,[1]EMPREENDIMENTO!C:C,[1]EMPREENDIMENTO!A:A),"-")</f>
        <v>MANAUS</v>
      </c>
      <c r="D595" s="28" t="s">
        <v>29</v>
      </c>
      <c r="E595" s="28" t="s">
        <v>1129</v>
      </c>
      <c r="F595" s="28" t="s">
        <v>31</v>
      </c>
      <c r="G595" s="28" t="s">
        <v>1130</v>
      </c>
      <c r="H595" s="28">
        <v>40971</v>
      </c>
      <c r="I595" s="29">
        <f>IFERROR(_xlfn.XLOOKUP(E595,[1]EMPREENDIMENTO!C:C,[1]EMPREENDIMENTO!E:E),"0")</f>
        <v>320</v>
      </c>
      <c r="J595" s="30">
        <v>46871</v>
      </c>
      <c r="K595" s="28" t="s">
        <v>33</v>
      </c>
      <c r="L595" s="31">
        <v>45880</v>
      </c>
      <c r="M595" s="32">
        <v>108137000</v>
      </c>
      <c r="N595" s="32">
        <v>111460000</v>
      </c>
      <c r="O595" s="32">
        <v>108981000</v>
      </c>
      <c r="P595" s="28" t="s">
        <v>34</v>
      </c>
      <c r="Q595" s="28" t="s">
        <v>1131</v>
      </c>
      <c r="R595" s="30">
        <v>46129</v>
      </c>
      <c r="S595" s="30">
        <v>46126</v>
      </c>
      <c r="T595" s="33" t="s">
        <v>1132</v>
      </c>
      <c r="U595" s="34" t="str">
        <f>IFERROR(_xlfn.XLOOKUP(E595,[1]EMPREENDIMENTO!C:C,[1]EMPREENDIMENTO!D:D),"")</f>
        <v>9be1385e-2018-ed11-ba45-005056890018</v>
      </c>
    </row>
    <row r="596" spans="1:21" hidden="1" x14ac:dyDescent="0.35">
      <c r="A596" s="28" t="str">
        <f>IFERROR(_xlfn.XLOOKUP(C596,[1]DIRETORIA!C:C,[1]DIRETORIA!A:A),"-")</f>
        <v>DIR. COM E CRED CO E AM</v>
      </c>
      <c r="B596" s="28" t="str">
        <f>IFERROR(_xlfn.XLOOKUP(C596,[1]DIRETORIA!C:C,[1]DIRETORIA!B:B),"-")</f>
        <v>GST. COM AM</v>
      </c>
      <c r="C596" s="28" t="str">
        <f>IFERROR(_xlfn.XLOOKUP(E596,[1]EMPREENDIMENTO!C:C,[1]EMPREENDIMENTO!A:A),"-")</f>
        <v>MANAUS</v>
      </c>
      <c r="D596" s="28" t="s">
        <v>29</v>
      </c>
      <c r="E596" s="28" t="s">
        <v>1129</v>
      </c>
      <c r="F596" s="28" t="s">
        <v>36</v>
      </c>
      <c r="G596" s="28" t="s">
        <v>1133</v>
      </c>
      <c r="H596" s="28">
        <v>45989</v>
      </c>
      <c r="I596" s="29">
        <f>IFERROR(_xlfn.XLOOKUP(E596,[1]EMPREENDIMENTO!C:C,[1]EMPREENDIMENTO!E:E),"0")</f>
        <v>320</v>
      </c>
      <c r="J596" s="30">
        <v>46871</v>
      </c>
      <c r="K596" s="28" t="s">
        <v>33</v>
      </c>
      <c r="L596" s="31">
        <v>45880</v>
      </c>
      <c r="M596" s="32">
        <v>108137000</v>
      </c>
      <c r="N596" s="32">
        <v>111460000</v>
      </c>
      <c r="O596" s="32">
        <v>108981000</v>
      </c>
      <c r="P596" s="28" t="s">
        <v>34</v>
      </c>
      <c r="Q596" s="28" t="s">
        <v>1131</v>
      </c>
      <c r="R596" s="30">
        <v>46129</v>
      </c>
      <c r="S596" s="30">
        <v>46126</v>
      </c>
      <c r="T596" s="33" t="s">
        <v>1132</v>
      </c>
      <c r="U596" s="34" t="str">
        <f>IFERROR(_xlfn.XLOOKUP(E596,[1]EMPREENDIMENTO!C:C,[1]EMPREENDIMENTO!D:D),"")</f>
        <v>9be1385e-2018-ed11-ba45-005056890018</v>
      </c>
    </row>
    <row r="597" spans="1:21" hidden="1" x14ac:dyDescent="0.35">
      <c r="A597" s="28" t="str">
        <f>IFERROR(_xlfn.XLOOKUP(C597,[1]DIRETORIA!C:C,[1]DIRETORIA!A:A),"-")</f>
        <v>DIR. COM E CRED CO E AM</v>
      </c>
      <c r="B597" s="28" t="str">
        <f>IFERROR(_xlfn.XLOOKUP(C597,[1]DIRETORIA!C:C,[1]DIRETORIA!B:B),"-")</f>
        <v>GST. COM AM</v>
      </c>
      <c r="C597" s="28" t="str">
        <f>IFERROR(_xlfn.XLOOKUP(E597,[1]EMPREENDIMENTO!C:C,[1]EMPREENDIMENTO!A:A),"-")</f>
        <v>MANAUS</v>
      </c>
      <c r="D597" s="28" t="s">
        <v>29</v>
      </c>
      <c r="E597" s="28" t="s">
        <v>1129</v>
      </c>
      <c r="F597" s="28" t="s">
        <v>39</v>
      </c>
      <c r="G597" s="28" t="s">
        <v>1134</v>
      </c>
      <c r="H597" s="28">
        <v>50416</v>
      </c>
      <c r="I597" s="29">
        <f>IFERROR(_xlfn.XLOOKUP(E597,[1]EMPREENDIMENTO!C:C,[1]EMPREENDIMENTO!E:E),"0")</f>
        <v>320</v>
      </c>
      <c r="J597" s="30">
        <v>46871</v>
      </c>
      <c r="K597" s="28" t="s">
        <v>33</v>
      </c>
      <c r="L597" s="31">
        <v>45880</v>
      </c>
      <c r="M597" s="32">
        <v>108137000</v>
      </c>
      <c r="N597" s="32">
        <v>111460000</v>
      </c>
      <c r="O597" s="32">
        <v>108981000</v>
      </c>
      <c r="P597" s="28" t="s">
        <v>34</v>
      </c>
      <c r="Q597" s="28" t="s">
        <v>1131</v>
      </c>
      <c r="R597" s="30">
        <v>46129</v>
      </c>
      <c r="S597" s="30">
        <v>46126</v>
      </c>
      <c r="T597" s="33" t="s">
        <v>1132</v>
      </c>
      <c r="U597" s="34" t="str">
        <f>IFERROR(_xlfn.XLOOKUP(E597,[1]EMPREENDIMENTO!C:C,[1]EMPREENDIMENTO!D:D),"")</f>
        <v>9be1385e-2018-ed11-ba45-005056890018</v>
      </c>
    </row>
    <row r="598" spans="1:21" hidden="1" x14ac:dyDescent="0.35">
      <c r="A598" s="28" t="str">
        <f>IFERROR(_xlfn.XLOOKUP(C598,[1]DIRETORIA!C:C,[1]DIRETORIA!A:A),"-")</f>
        <v>DIR. COM E CRED SUL</v>
      </c>
      <c r="B598" s="28" t="str">
        <f>IFERROR(_xlfn.XLOOKUP(C598,[1]DIRETORIA!C:C,[1]DIRETORIA!B:B),"-")</f>
        <v>GST. COM LONDRINA</v>
      </c>
      <c r="C598" s="28" t="str">
        <f>IFERROR(_xlfn.XLOOKUP(E598,[1]EMPREENDIMENTO!C:C,[1]EMPREENDIMENTO!A:A),"-")</f>
        <v>LONDRINA</v>
      </c>
      <c r="D598" s="28" t="s">
        <v>29</v>
      </c>
      <c r="E598" s="28" t="s">
        <v>1135</v>
      </c>
      <c r="F598" s="28" t="s">
        <v>42</v>
      </c>
      <c r="G598" s="28" t="s">
        <v>1136</v>
      </c>
      <c r="H598" s="28">
        <v>41085</v>
      </c>
      <c r="I598" s="29">
        <f>IFERROR(_xlfn.XLOOKUP(E598,[1]EMPREENDIMENTO!C:C,[1]EMPREENDIMENTO!E:E),"0")</f>
        <v>96</v>
      </c>
      <c r="J598" s="30">
        <v>46598</v>
      </c>
      <c r="K598" s="28" t="s">
        <v>33</v>
      </c>
      <c r="L598" s="31">
        <v>45595</v>
      </c>
      <c r="M598" s="32">
        <v>21963600</v>
      </c>
      <c r="N598" s="32">
        <v>23988000</v>
      </c>
      <c r="O598" s="32">
        <v>22611960</v>
      </c>
      <c r="P598" s="28" t="s">
        <v>34</v>
      </c>
      <c r="Q598" s="28" t="s">
        <v>1137</v>
      </c>
      <c r="R598" s="30">
        <v>45593</v>
      </c>
      <c r="S598" s="30">
        <v>45595</v>
      </c>
      <c r="T598" s="33"/>
      <c r="U598" s="34" t="str">
        <f>IFERROR(_xlfn.XLOOKUP(E598,[1]EMPREENDIMENTO!C:C,[1]EMPREENDIMENTO!D:D),"")</f>
        <v>1fb9e727-57de-ea11-88c0-0050568aa20f</v>
      </c>
    </row>
    <row r="599" spans="1:21" hidden="1" x14ac:dyDescent="0.35">
      <c r="A599" s="28" t="str">
        <f>IFERROR(_xlfn.XLOOKUP(C599,[1]DIRETORIA!C:C,[1]DIRETORIA!A:A),"-")</f>
        <v>DIR. COM E CRED CO E AM</v>
      </c>
      <c r="B599" s="28" t="str">
        <f>IFERROR(_xlfn.XLOOKUP(C599,[1]DIRETORIA!C:C,[1]DIRETORIA!B:B),"-")</f>
        <v>GST. COM AM</v>
      </c>
      <c r="C599" s="28" t="str">
        <f>IFERROR(_xlfn.XLOOKUP(E599,[1]EMPREENDIMENTO!C:C,[1]EMPREENDIMENTO!A:A),"-")</f>
        <v>MANAUS</v>
      </c>
      <c r="D599" s="28" t="s">
        <v>29</v>
      </c>
      <c r="E599" s="28" t="s">
        <v>1138</v>
      </c>
      <c r="F599" s="28" t="s">
        <v>31</v>
      </c>
      <c r="G599" s="28" t="s">
        <v>1139</v>
      </c>
      <c r="H599" s="28">
        <v>39565</v>
      </c>
      <c r="I599" s="29">
        <f>IFERROR(_xlfn.XLOOKUP(E599,[1]EMPREENDIMENTO!C:C,[1]EMPREENDIMENTO!E:E),"0")</f>
        <v>720</v>
      </c>
      <c r="J599" s="30">
        <v>46779</v>
      </c>
      <c r="K599" s="28" t="s">
        <v>33</v>
      </c>
      <c r="L599" s="31">
        <v>46080</v>
      </c>
      <c r="M599" s="32">
        <v>178897179</v>
      </c>
      <c r="N599" s="32">
        <v>193297179</v>
      </c>
      <c r="O599" s="32">
        <v>184175500</v>
      </c>
      <c r="P599" s="28" t="s">
        <v>34</v>
      </c>
      <c r="Q599" s="28" t="s">
        <v>1140</v>
      </c>
      <c r="R599" s="30">
        <v>46221</v>
      </c>
      <c r="S599" s="30">
        <v>46220</v>
      </c>
      <c r="T599" s="33"/>
      <c r="U599" s="34" t="str">
        <f>IFERROR(_xlfn.XLOOKUP(E599,[1]EMPREENDIMENTO!C:C,[1]EMPREENDIMENTO!D:D),"")</f>
        <v>3d8d356c-d218-ed11-ba45-005056890018</v>
      </c>
    </row>
    <row r="600" spans="1:21" hidden="1" x14ac:dyDescent="0.35">
      <c r="A600" s="28" t="str">
        <f>IFERROR(_xlfn.XLOOKUP(C600,[1]DIRETORIA!C:C,[1]DIRETORIA!A:A),"-")</f>
        <v>DIR. COM E CRED CO E AM</v>
      </c>
      <c r="B600" s="28" t="str">
        <f>IFERROR(_xlfn.XLOOKUP(C600,[1]DIRETORIA!C:C,[1]DIRETORIA!B:B),"-")</f>
        <v>GST. COM AM</v>
      </c>
      <c r="C600" s="28" t="str">
        <f>IFERROR(_xlfn.XLOOKUP(E600,[1]EMPREENDIMENTO!C:C,[1]EMPREENDIMENTO!A:A),"-")</f>
        <v>MANAUS</v>
      </c>
      <c r="D600" s="28" t="s">
        <v>29</v>
      </c>
      <c r="E600" s="28" t="s">
        <v>1138</v>
      </c>
      <c r="F600" s="28" t="s">
        <v>36</v>
      </c>
      <c r="G600" s="28" t="s">
        <v>1141</v>
      </c>
      <c r="H600" s="28">
        <v>45545</v>
      </c>
      <c r="I600" s="29">
        <f>IFERROR(_xlfn.XLOOKUP(E600,[1]EMPREENDIMENTO!C:C,[1]EMPREENDIMENTO!E:E),"0")</f>
        <v>720</v>
      </c>
      <c r="J600" s="30">
        <v>46779</v>
      </c>
      <c r="K600" s="28" t="s">
        <v>33</v>
      </c>
      <c r="L600" s="31">
        <v>46080</v>
      </c>
      <c r="M600" s="32">
        <v>178897179</v>
      </c>
      <c r="N600" s="32">
        <v>193297179</v>
      </c>
      <c r="O600" s="32">
        <v>184175500</v>
      </c>
      <c r="P600" s="28" t="s">
        <v>34</v>
      </c>
      <c r="Q600" s="28" t="s">
        <v>1140</v>
      </c>
      <c r="R600" s="30">
        <v>46221</v>
      </c>
      <c r="S600" s="30">
        <v>46220</v>
      </c>
      <c r="T600" s="33"/>
      <c r="U600" s="34" t="str">
        <f>IFERROR(_xlfn.XLOOKUP(E600,[1]EMPREENDIMENTO!C:C,[1]EMPREENDIMENTO!D:D),"")</f>
        <v>3d8d356c-d218-ed11-ba45-005056890018</v>
      </c>
    </row>
    <row r="601" spans="1:21" hidden="1" x14ac:dyDescent="0.35">
      <c r="A601" s="28" t="str">
        <f>IFERROR(_xlfn.XLOOKUP(C601,[1]DIRETORIA!C:C,[1]DIRETORIA!A:A),"-")</f>
        <v>DIR. COM E CRED CO E AM</v>
      </c>
      <c r="B601" s="28" t="str">
        <f>IFERROR(_xlfn.XLOOKUP(C601,[1]DIRETORIA!C:C,[1]DIRETORIA!B:B),"-")</f>
        <v>GST. COM AM</v>
      </c>
      <c r="C601" s="28" t="str">
        <f>IFERROR(_xlfn.XLOOKUP(E601,[1]EMPREENDIMENTO!C:C,[1]EMPREENDIMENTO!A:A),"-")</f>
        <v>MANAUS</v>
      </c>
      <c r="D601" s="28" t="s">
        <v>29</v>
      </c>
      <c r="E601" s="28" t="s">
        <v>1138</v>
      </c>
      <c r="F601" s="28" t="s">
        <v>39</v>
      </c>
      <c r="G601" s="28" t="s">
        <v>1142</v>
      </c>
      <c r="H601" s="28">
        <v>50503</v>
      </c>
      <c r="I601" s="29">
        <f>IFERROR(_xlfn.XLOOKUP(E601,[1]EMPREENDIMENTO!C:C,[1]EMPREENDIMENTO!E:E),"0")</f>
        <v>720</v>
      </c>
      <c r="J601" s="30">
        <v>46779</v>
      </c>
      <c r="K601" s="28" t="s">
        <v>33</v>
      </c>
      <c r="L601" s="31">
        <v>46080</v>
      </c>
      <c r="M601" s="32">
        <v>178897179</v>
      </c>
      <c r="N601" s="32">
        <v>193297179</v>
      </c>
      <c r="O601" s="32">
        <v>184175500</v>
      </c>
      <c r="P601" s="28" t="s">
        <v>34</v>
      </c>
      <c r="Q601" s="28" t="s">
        <v>1140</v>
      </c>
      <c r="R601" s="30">
        <v>46221</v>
      </c>
      <c r="S601" s="30">
        <v>46220</v>
      </c>
      <c r="T601" s="33"/>
      <c r="U601" s="34" t="str">
        <f>IFERROR(_xlfn.XLOOKUP(E601,[1]EMPREENDIMENTO!C:C,[1]EMPREENDIMENTO!D:D),"")</f>
        <v>3d8d356c-d218-ed11-ba45-005056890018</v>
      </c>
    </row>
    <row r="602" spans="1:21" hidden="1" x14ac:dyDescent="0.35">
      <c r="A602" s="28" t="str">
        <f>IFERROR(_xlfn.XLOOKUP(C602,[1]DIRETORIA!C:C,[1]DIRETORIA!A:A),"-")</f>
        <v>DIR. COM E CRED CO E AM</v>
      </c>
      <c r="B602" s="28" t="str">
        <f>IFERROR(_xlfn.XLOOKUP(C602,[1]DIRETORIA!C:C,[1]DIRETORIA!B:B),"-")</f>
        <v>GST. COM AM</v>
      </c>
      <c r="C602" s="28" t="str">
        <f>IFERROR(_xlfn.XLOOKUP(E602,[1]EMPREENDIMENTO!C:C,[1]EMPREENDIMENTO!A:A),"-")</f>
        <v>MANAUS</v>
      </c>
      <c r="D602" s="28" t="s">
        <v>29</v>
      </c>
      <c r="E602" s="28" t="s">
        <v>1138</v>
      </c>
      <c r="F602" s="28" t="s">
        <v>50</v>
      </c>
      <c r="G602" s="28" t="s">
        <v>1143</v>
      </c>
      <c r="H602" s="28">
        <v>50504</v>
      </c>
      <c r="I602" s="29">
        <f>IFERROR(_xlfn.XLOOKUP(E602,[1]EMPREENDIMENTO!C:C,[1]EMPREENDIMENTO!E:E),"0")</f>
        <v>720</v>
      </c>
      <c r="J602" s="30">
        <v>46779</v>
      </c>
      <c r="K602" s="28" t="s">
        <v>33</v>
      </c>
      <c r="L602" s="31">
        <v>46080</v>
      </c>
      <c r="M602" s="32">
        <v>178897179</v>
      </c>
      <c r="N602" s="32">
        <v>193297179</v>
      </c>
      <c r="O602" s="32">
        <v>184175500</v>
      </c>
      <c r="P602" s="28" t="s">
        <v>34</v>
      </c>
      <c r="Q602" s="28" t="s">
        <v>1140</v>
      </c>
      <c r="R602" s="30">
        <v>46221</v>
      </c>
      <c r="S602" s="30">
        <v>46220</v>
      </c>
      <c r="T602" s="33"/>
      <c r="U602" s="34" t="str">
        <f>IFERROR(_xlfn.XLOOKUP(E602,[1]EMPREENDIMENTO!C:C,[1]EMPREENDIMENTO!D:D),"")</f>
        <v>3d8d356c-d218-ed11-ba45-005056890018</v>
      </c>
    </row>
    <row r="603" spans="1:21" hidden="1" x14ac:dyDescent="0.35">
      <c r="A603" s="28" t="str">
        <f>IFERROR(_xlfn.XLOOKUP(C603,[1]DIRETORIA!C:C,[1]DIRETORIA!A:A),"-")</f>
        <v>DIR. COM E CRED CO E AM</v>
      </c>
      <c r="B603" s="28" t="str">
        <f>IFERROR(_xlfn.XLOOKUP(C603,[1]DIRETORIA!C:C,[1]DIRETORIA!B:B),"-")</f>
        <v>GST. COM AM</v>
      </c>
      <c r="C603" s="28" t="str">
        <f>IFERROR(_xlfn.XLOOKUP(E603,[1]EMPREENDIMENTO!C:C,[1]EMPREENDIMENTO!A:A),"-")</f>
        <v>MANAUS</v>
      </c>
      <c r="D603" s="28" t="s">
        <v>29</v>
      </c>
      <c r="E603" s="28" t="s">
        <v>1138</v>
      </c>
      <c r="F603" s="28" t="s">
        <v>57</v>
      </c>
      <c r="G603" s="28" t="s">
        <v>1144</v>
      </c>
      <c r="H603" s="28">
        <v>51750</v>
      </c>
      <c r="I603" s="29">
        <f>IFERROR(_xlfn.XLOOKUP(E603,[1]EMPREENDIMENTO!C:C,[1]EMPREENDIMENTO!E:E),"0")</f>
        <v>720</v>
      </c>
      <c r="J603" s="30">
        <v>46779</v>
      </c>
      <c r="K603" s="28" t="s">
        <v>33</v>
      </c>
      <c r="L603" s="31">
        <v>46080</v>
      </c>
      <c r="M603" s="32">
        <v>178897179</v>
      </c>
      <c r="N603" s="32">
        <v>193297179</v>
      </c>
      <c r="O603" s="32">
        <v>184175500</v>
      </c>
      <c r="P603" s="28" t="s">
        <v>34</v>
      </c>
      <c r="Q603" s="28" t="s">
        <v>1140</v>
      </c>
      <c r="R603" s="30">
        <v>46221</v>
      </c>
      <c r="S603" s="30">
        <v>46220</v>
      </c>
      <c r="T603" s="33"/>
      <c r="U603" s="34" t="str">
        <f>IFERROR(_xlfn.XLOOKUP(E603,[1]EMPREENDIMENTO!C:C,[1]EMPREENDIMENTO!D:D),"")</f>
        <v>3d8d356c-d218-ed11-ba45-005056890018</v>
      </c>
    </row>
    <row r="604" spans="1:21" x14ac:dyDescent="0.35">
      <c r="A604" s="28" t="str">
        <f>IFERROR(_xlfn.XLOOKUP(C604,[1]DIRETORIA!C:C,[1]DIRETORIA!A:A),"-")</f>
        <v>DIR. COM E CRED SPI CP</v>
      </c>
      <c r="B604" s="28" t="str">
        <f>IFERROR(_xlfn.XLOOKUP(C604,[1]DIRETORIA!C:C,[1]DIRETORIA!B:B),"-")</f>
        <v>GST. COM CP1</v>
      </c>
      <c r="C604" s="28" t="str">
        <f>IFERROR(_xlfn.XLOOKUP(E604,[1]EMPREENDIMENTO!C:C,[1]EMPREENDIMENTO!A:A),"-")</f>
        <v>CAMPINAS</v>
      </c>
      <c r="D604" s="28" t="s">
        <v>29</v>
      </c>
      <c r="E604" s="28" t="s">
        <v>1145</v>
      </c>
      <c r="F604" s="28" t="s">
        <v>42</v>
      </c>
      <c r="G604" s="28" t="s">
        <v>1146</v>
      </c>
      <c r="H604" s="28">
        <v>41181</v>
      </c>
      <c r="I604" s="29">
        <f>IFERROR(_xlfn.XLOOKUP(E604,[1]EMPREENDIMENTO!C:C,[1]EMPREENDIMENTO!E:E),"0")</f>
        <v>280</v>
      </c>
      <c r="J604" s="30">
        <v>46538</v>
      </c>
      <c r="K604" s="28" t="s">
        <v>33</v>
      </c>
      <c r="L604" s="31">
        <v>46125</v>
      </c>
      <c r="M604" s="32">
        <v>67627000</v>
      </c>
      <c r="N604" s="32">
        <v>73630600</v>
      </c>
      <c r="O604" s="32">
        <v>68852000</v>
      </c>
      <c r="P604" s="28" t="s">
        <v>34</v>
      </c>
      <c r="Q604" s="28" t="s">
        <v>1147</v>
      </c>
      <c r="R604" s="30">
        <v>46129</v>
      </c>
      <c r="S604" s="30">
        <v>46126</v>
      </c>
      <c r="T604" s="33"/>
      <c r="U604" s="34" t="str">
        <f>IFERROR(_xlfn.XLOOKUP(E604,[1]EMPREENDIMENTO!C:C,[1]EMPREENDIMENTO!D:D),"")</f>
        <v>1671bb03-7767-e511-8826-80c16e075108</v>
      </c>
    </row>
    <row r="605" spans="1:21" hidden="1" x14ac:dyDescent="0.35">
      <c r="A605" s="28" t="str">
        <f>IFERROR(_xlfn.XLOOKUP(C605,[1]DIRETORIA!C:C,[1]DIRETORIA!A:A),"-")</f>
        <v>DIR. COM E CRED NE</v>
      </c>
      <c r="B605" s="28" t="str">
        <f>IFERROR(_xlfn.XLOOKUP(C605,[1]DIRETORIA!C:C,[1]DIRETORIA!B:B),"-")</f>
        <v>GST. COM NE5 (RN+PB)</v>
      </c>
      <c r="C605" s="28" t="str">
        <f>IFERROR(_xlfn.XLOOKUP(E605,[1]EMPREENDIMENTO!C:C,[1]EMPREENDIMENTO!A:A),"-")</f>
        <v>NATAL</v>
      </c>
      <c r="D605" s="28" t="s">
        <v>85</v>
      </c>
      <c r="E605" s="28" t="s">
        <v>1148</v>
      </c>
      <c r="F605" s="28" t="s">
        <v>42</v>
      </c>
      <c r="G605" s="28" t="s">
        <v>1149</v>
      </c>
      <c r="H605" s="28">
        <v>61338</v>
      </c>
      <c r="I605" s="29">
        <f>IFERROR(_xlfn.XLOOKUP(E605,[1]EMPREENDIMENTO!C:C,[1]EMPREENDIMENTO!E:E),"0")</f>
        <v>0</v>
      </c>
      <c r="J605" s="30"/>
      <c r="K605" s="28" t="s">
        <v>33</v>
      </c>
      <c r="L605" s="31">
        <v>46108</v>
      </c>
      <c r="M605" s="32">
        <v>220677945</v>
      </c>
      <c r="N605" s="32">
        <v>220677945</v>
      </c>
      <c r="O605" s="32">
        <v>204187440</v>
      </c>
      <c r="P605" s="28" t="s">
        <v>34</v>
      </c>
      <c r="Q605" s="28"/>
      <c r="R605" s="30"/>
      <c r="S605" s="30">
        <v>46108</v>
      </c>
      <c r="T605" s="33" t="s">
        <v>1150</v>
      </c>
      <c r="U605" s="34" t="str">
        <f>IFERROR(_xlfn.XLOOKUP(E605,[1]EMPREENDIMENTO!C:C,[1]EMPREENDIMENTO!D:D),"")</f>
        <v>B670DD2B-D3DF-E911-A6A0-005056856875</v>
      </c>
    </row>
    <row r="606" spans="1:21" hidden="1" x14ac:dyDescent="0.35">
      <c r="A606" s="28" t="str">
        <f>IFERROR(_xlfn.XLOOKUP(C606,[1]DIRETORIA!C:C,[1]DIRETORIA!A:A),"-")</f>
        <v>DIR. COM E CRED MG E ES</v>
      </c>
      <c r="B606" s="28" t="str">
        <f>IFERROR(_xlfn.XLOOKUP(C606,[1]DIRETORIA!C:C,[1]DIRETORIA!B:B),"-")</f>
        <v>GST. COM TM</v>
      </c>
      <c r="C606" s="28" t="str">
        <f>IFERROR(_xlfn.XLOOKUP(E606,[1]EMPREENDIMENTO!C:C,[1]EMPREENDIMENTO!A:A),"-")</f>
        <v>UBERLÂNDIA</v>
      </c>
      <c r="D606" s="28" t="s">
        <v>29</v>
      </c>
      <c r="E606" s="28" t="s">
        <v>1151</v>
      </c>
      <c r="F606" s="28" t="s">
        <v>31</v>
      </c>
      <c r="G606" s="28" t="s">
        <v>1152</v>
      </c>
      <c r="H606" s="28">
        <v>31048</v>
      </c>
      <c r="I606" s="29">
        <f>IFERROR(_xlfn.XLOOKUP(E606,[1]EMPREENDIMENTO!C:C,[1]EMPREENDIMENTO!E:E),"0")</f>
        <v>352</v>
      </c>
      <c r="J606" s="30"/>
      <c r="K606" s="28" t="s">
        <v>164</v>
      </c>
      <c r="L606" s="31">
        <v>46150</v>
      </c>
      <c r="M606" s="32">
        <v>79046300</v>
      </c>
      <c r="N606" s="32">
        <v>85123119</v>
      </c>
      <c r="O606" s="32">
        <v>79298640</v>
      </c>
      <c r="P606" s="28" t="s">
        <v>2</v>
      </c>
      <c r="Q606" s="28" t="s">
        <v>1153</v>
      </c>
      <c r="R606" s="30">
        <v>46286</v>
      </c>
      <c r="S606" s="30"/>
      <c r="T606" s="33"/>
      <c r="U606" s="34" t="str">
        <f>IFERROR(_xlfn.XLOOKUP(E606,[1]EMPREENDIMENTO!C:C,[1]EMPREENDIMENTO!D:D),"")</f>
        <v>5c5318f7-9596-e811-8d3f-80c16e075108</v>
      </c>
    </row>
    <row r="607" spans="1:21" hidden="1" x14ac:dyDescent="0.35">
      <c r="A607" s="28" t="str">
        <f>IFERROR(_xlfn.XLOOKUP(C607,[1]DIRETORIA!C:C,[1]DIRETORIA!A:A),"-")</f>
        <v>DIR. COM E CRED MG E ES</v>
      </c>
      <c r="B607" s="28" t="str">
        <f>IFERROR(_xlfn.XLOOKUP(C607,[1]DIRETORIA!C:C,[1]DIRETORIA!B:B),"-")</f>
        <v>GST. COM TM</v>
      </c>
      <c r="C607" s="28" t="str">
        <f>IFERROR(_xlfn.XLOOKUP(E607,[1]EMPREENDIMENTO!C:C,[1]EMPREENDIMENTO!A:A),"-")</f>
        <v>UBERLÂNDIA</v>
      </c>
      <c r="D607" s="28" t="s">
        <v>29</v>
      </c>
      <c r="E607" s="28" t="s">
        <v>1151</v>
      </c>
      <c r="F607" s="28" t="s">
        <v>36</v>
      </c>
      <c r="G607" s="28" t="s">
        <v>1154</v>
      </c>
      <c r="H607" s="28">
        <v>32680</v>
      </c>
      <c r="I607" s="29">
        <f>IFERROR(_xlfn.XLOOKUP(E607,[1]EMPREENDIMENTO!C:C,[1]EMPREENDIMENTO!E:E),"0")</f>
        <v>352</v>
      </c>
      <c r="J607" s="30"/>
      <c r="K607" s="28" t="s">
        <v>164</v>
      </c>
      <c r="L607" s="31">
        <v>46150</v>
      </c>
      <c r="M607" s="32">
        <v>79046300</v>
      </c>
      <c r="N607" s="32">
        <v>85123119</v>
      </c>
      <c r="O607" s="32">
        <v>79298640</v>
      </c>
      <c r="P607" s="28" t="s">
        <v>2</v>
      </c>
      <c r="Q607" s="28" t="s">
        <v>1153</v>
      </c>
      <c r="R607" s="30">
        <v>46286</v>
      </c>
      <c r="S607" s="30"/>
      <c r="T607" s="33"/>
      <c r="U607" s="34" t="str">
        <f>IFERROR(_xlfn.XLOOKUP(E607,[1]EMPREENDIMENTO!C:C,[1]EMPREENDIMENTO!D:D),"")</f>
        <v>5c5318f7-9596-e811-8d3f-80c16e075108</v>
      </c>
    </row>
    <row r="608" spans="1:21" hidden="1" x14ac:dyDescent="0.35">
      <c r="A608" s="28" t="str">
        <f>IFERROR(_xlfn.XLOOKUP(C608,[1]DIRETORIA!C:C,[1]DIRETORIA!A:A),"-")</f>
        <v>DIR. COM E CRED MG E ES</v>
      </c>
      <c r="B608" s="28" t="str">
        <f>IFERROR(_xlfn.XLOOKUP(C608,[1]DIRETORIA!C:C,[1]DIRETORIA!B:B),"-")</f>
        <v>GST. COM TM</v>
      </c>
      <c r="C608" s="28" t="str">
        <f>IFERROR(_xlfn.XLOOKUP(E608,[1]EMPREENDIMENTO!C:C,[1]EMPREENDIMENTO!A:A),"-")</f>
        <v>UBERLÂNDIA</v>
      </c>
      <c r="D608" s="28" t="s">
        <v>85</v>
      </c>
      <c r="E608" s="28" t="s">
        <v>1151</v>
      </c>
      <c r="F608" s="28" t="s">
        <v>39</v>
      </c>
      <c r="G608" s="28" t="s">
        <v>1155</v>
      </c>
      <c r="H608" s="28">
        <v>32679</v>
      </c>
      <c r="I608" s="29">
        <f>IFERROR(_xlfn.XLOOKUP(E608,[1]EMPREENDIMENTO!C:C,[1]EMPREENDIMENTO!E:E),"0")</f>
        <v>352</v>
      </c>
      <c r="J608" s="30"/>
      <c r="K608" s="28" t="s">
        <v>164</v>
      </c>
      <c r="L608" s="31">
        <v>46150</v>
      </c>
      <c r="M608" s="32">
        <v>79046300</v>
      </c>
      <c r="N608" s="32">
        <v>85123119</v>
      </c>
      <c r="O608" s="32">
        <v>79298640</v>
      </c>
      <c r="P608" s="28" t="s">
        <v>2</v>
      </c>
      <c r="Q608" s="28" t="s">
        <v>1153</v>
      </c>
      <c r="R608" s="30">
        <v>46286</v>
      </c>
      <c r="S608" s="30"/>
      <c r="T608" s="33"/>
      <c r="U608" s="34" t="str">
        <f>IFERROR(_xlfn.XLOOKUP(E608,[1]EMPREENDIMENTO!C:C,[1]EMPREENDIMENTO!D:D),"")</f>
        <v>5c5318f7-9596-e811-8d3f-80c16e075108</v>
      </c>
    </row>
    <row r="609" spans="1:21" hidden="1" x14ac:dyDescent="0.35">
      <c r="A609" s="28" t="str">
        <f>IFERROR(_xlfn.XLOOKUP(C609,[1]DIRETORIA!C:C,[1]DIRETORIA!A:A),"-")</f>
        <v>DIR. COM E CRED MG E ES</v>
      </c>
      <c r="B609" s="28" t="str">
        <f>IFERROR(_xlfn.XLOOKUP(C609,[1]DIRETORIA!C:C,[1]DIRETORIA!B:B),"-")</f>
        <v>GST. COM TM</v>
      </c>
      <c r="C609" s="28" t="str">
        <f>IFERROR(_xlfn.XLOOKUP(E609,[1]EMPREENDIMENTO!C:C,[1]EMPREENDIMENTO!A:A),"-")</f>
        <v>UBERLÂNDIA</v>
      </c>
      <c r="D609" s="28" t="s">
        <v>85</v>
      </c>
      <c r="E609" s="28" t="s">
        <v>1151</v>
      </c>
      <c r="F609" s="28" t="s">
        <v>50</v>
      </c>
      <c r="G609" s="28" t="s">
        <v>1156</v>
      </c>
      <c r="H609" s="28">
        <v>32678</v>
      </c>
      <c r="I609" s="29">
        <f>IFERROR(_xlfn.XLOOKUP(E609,[1]EMPREENDIMENTO!C:C,[1]EMPREENDIMENTO!E:E),"0")</f>
        <v>352</v>
      </c>
      <c r="J609" s="30"/>
      <c r="K609" s="28" t="s">
        <v>164</v>
      </c>
      <c r="L609" s="31">
        <v>46150</v>
      </c>
      <c r="M609" s="32">
        <v>79046300</v>
      </c>
      <c r="N609" s="32">
        <v>85123119</v>
      </c>
      <c r="O609" s="32">
        <v>79298640</v>
      </c>
      <c r="P609" s="28" t="s">
        <v>2</v>
      </c>
      <c r="Q609" s="28" t="s">
        <v>1153</v>
      </c>
      <c r="R609" s="30">
        <v>46286</v>
      </c>
      <c r="S609" s="30"/>
      <c r="T609" s="33"/>
      <c r="U609" s="34" t="str">
        <f>IFERROR(_xlfn.XLOOKUP(E609,[1]EMPREENDIMENTO!C:C,[1]EMPREENDIMENTO!D:D),"")</f>
        <v>5c5318f7-9596-e811-8d3f-80c16e075108</v>
      </c>
    </row>
    <row r="610" spans="1:21" x14ac:dyDescent="0.35">
      <c r="A610" s="28" t="str">
        <f>IFERROR(_xlfn.XLOOKUP(C610,[1]DIRETORIA!C:C,[1]DIRETORIA!A:A),"-")</f>
        <v>DIR. COM E CRED SPI CP</v>
      </c>
      <c r="B610" s="28" t="str">
        <f>IFERROR(_xlfn.XLOOKUP(C610,[1]DIRETORIA!C:C,[1]DIRETORIA!B:B),"-")</f>
        <v>GST. COM CP2</v>
      </c>
      <c r="C610" s="28" t="str">
        <f>IFERROR(_xlfn.XLOOKUP(E610,[1]EMPREENDIMENTO!C:C,[1]EMPREENDIMENTO!A:A),"-")</f>
        <v>VOTORANTIM</v>
      </c>
      <c r="D610" s="28" t="s">
        <v>29</v>
      </c>
      <c r="E610" s="28" t="s">
        <v>1157</v>
      </c>
      <c r="F610" s="28" t="s">
        <v>31</v>
      </c>
      <c r="G610" s="28" t="s">
        <v>1158</v>
      </c>
      <c r="H610" s="28">
        <v>41346</v>
      </c>
      <c r="I610" s="29">
        <f>IFERROR(_xlfn.XLOOKUP(E610,[1]EMPREENDIMENTO!C:C,[1]EMPREENDIMENTO!E:E),"0")</f>
        <v>240</v>
      </c>
      <c r="J610" s="30">
        <v>46769</v>
      </c>
      <c r="K610" s="28" t="s">
        <v>164</v>
      </c>
      <c r="L610" s="31">
        <v>46066</v>
      </c>
      <c r="M610" s="32">
        <v>56530050</v>
      </c>
      <c r="N610" s="32">
        <v>58104400</v>
      </c>
      <c r="O610" s="32">
        <v>57432000</v>
      </c>
      <c r="P610" s="28" t="s">
        <v>34</v>
      </c>
      <c r="Q610" s="28" t="s">
        <v>1159</v>
      </c>
      <c r="R610" s="30">
        <v>46059</v>
      </c>
      <c r="S610" s="30">
        <v>46067</v>
      </c>
      <c r="T610" s="33"/>
      <c r="U610" s="34" t="str">
        <f>IFERROR(_xlfn.XLOOKUP(E610,[1]EMPREENDIMENTO!C:C,[1]EMPREENDIMENTO!D:D),"")</f>
        <v>fbb9fa7e-5b28-ec11-b501-005056856b6c</v>
      </c>
    </row>
    <row r="611" spans="1:21" x14ac:dyDescent="0.35">
      <c r="A611" s="28" t="str">
        <f>IFERROR(_xlfn.XLOOKUP(C611,[1]DIRETORIA!C:C,[1]DIRETORIA!A:A),"-")</f>
        <v>DIR. COM E CRED SPI CP</v>
      </c>
      <c r="B611" s="28" t="str">
        <f>IFERROR(_xlfn.XLOOKUP(C611,[1]DIRETORIA!C:C,[1]DIRETORIA!B:B),"-")</f>
        <v>GST. COM CP2</v>
      </c>
      <c r="C611" s="28" t="str">
        <f>IFERROR(_xlfn.XLOOKUP(E611,[1]EMPREENDIMENTO!C:C,[1]EMPREENDIMENTO!A:A),"-")</f>
        <v>VOTORANTIM</v>
      </c>
      <c r="D611" s="28" t="s">
        <v>29</v>
      </c>
      <c r="E611" s="28" t="s">
        <v>1157</v>
      </c>
      <c r="F611" s="28" t="s">
        <v>36</v>
      </c>
      <c r="G611" s="28" t="s">
        <v>1160</v>
      </c>
      <c r="H611" s="28">
        <v>50568</v>
      </c>
      <c r="I611" s="29">
        <f>IFERROR(_xlfn.XLOOKUP(E611,[1]EMPREENDIMENTO!C:C,[1]EMPREENDIMENTO!E:E),"0")</f>
        <v>240</v>
      </c>
      <c r="J611" s="30">
        <v>46769</v>
      </c>
      <c r="K611" s="28" t="s">
        <v>164</v>
      </c>
      <c r="L611" s="31">
        <v>46066</v>
      </c>
      <c r="M611" s="32">
        <v>56530050</v>
      </c>
      <c r="N611" s="32">
        <v>58104400</v>
      </c>
      <c r="O611" s="32">
        <v>57432000</v>
      </c>
      <c r="P611" s="28" t="s">
        <v>34</v>
      </c>
      <c r="Q611" s="28" t="s">
        <v>1159</v>
      </c>
      <c r="R611" s="30">
        <v>46059</v>
      </c>
      <c r="S611" s="30">
        <v>46067</v>
      </c>
      <c r="T611" s="33"/>
      <c r="U611" s="34" t="str">
        <f>IFERROR(_xlfn.XLOOKUP(E611,[1]EMPREENDIMENTO!C:C,[1]EMPREENDIMENTO!D:D),"")</f>
        <v>fbb9fa7e-5b28-ec11-b501-005056856b6c</v>
      </c>
    </row>
    <row r="612" spans="1:21" hidden="1" x14ac:dyDescent="0.35">
      <c r="A612" s="28" t="str">
        <f>IFERROR(_xlfn.XLOOKUP(C612,[1]DIRETORIA!C:C,[1]DIRETORIA!A:A),"-")</f>
        <v>DIR. COM E CRED SP E VL</v>
      </c>
      <c r="B612" s="28" t="str">
        <f>IFERROR(_xlfn.XLOOKUP(C612,[1]DIRETORIA!C:C,[1]DIRETORIA!B:B),"-")</f>
        <v>GST. COM SP2</v>
      </c>
      <c r="C612" s="28" t="str">
        <f>IFERROR(_xlfn.XLOOKUP(E612,[1]EMPREENDIMENTO!C:C,[1]EMPREENDIMENTO!A:A),"-")</f>
        <v>SÃO PAULO</v>
      </c>
      <c r="D612" s="28" t="s">
        <v>29</v>
      </c>
      <c r="E612" s="28" t="s">
        <v>1161</v>
      </c>
      <c r="F612" s="28" t="s">
        <v>31</v>
      </c>
      <c r="G612" s="28" t="s">
        <v>1162</v>
      </c>
      <c r="H612" s="28">
        <v>41387</v>
      </c>
      <c r="I612" s="29">
        <f>IFERROR(_xlfn.XLOOKUP(E612,[1]EMPREENDIMENTO!C:C,[1]EMPREENDIMENTO!E:E),"0")</f>
        <v>372</v>
      </c>
      <c r="J612" s="30"/>
      <c r="K612" s="28" t="s">
        <v>164</v>
      </c>
      <c r="L612" s="31">
        <v>46147</v>
      </c>
      <c r="M612" s="32">
        <v>111675604</v>
      </c>
      <c r="N612" s="32">
        <v>121109567</v>
      </c>
      <c r="O612" s="32">
        <v>117823900</v>
      </c>
      <c r="P612" s="28" t="s">
        <v>34</v>
      </c>
      <c r="Q612" s="28" t="s">
        <v>1163</v>
      </c>
      <c r="R612" s="30">
        <v>46160</v>
      </c>
      <c r="S612" s="30">
        <v>46147</v>
      </c>
      <c r="T612" s="33"/>
      <c r="U612" s="34" t="str">
        <f>IFERROR(_xlfn.XLOOKUP(E612,[1]EMPREENDIMENTO!C:C,[1]EMPREENDIMENTO!D:D),"")</f>
        <v>64a5ab60-d849-eb11-85d0-005056856875</v>
      </c>
    </row>
    <row r="613" spans="1:21" hidden="1" x14ac:dyDescent="0.35">
      <c r="A613" s="28" t="str">
        <f>IFERROR(_xlfn.XLOOKUP(C613,[1]DIRETORIA!C:C,[1]DIRETORIA!A:A),"-")</f>
        <v>DIR. COM E CRED SP E VL</v>
      </c>
      <c r="B613" s="28" t="str">
        <f>IFERROR(_xlfn.XLOOKUP(C613,[1]DIRETORIA!C:C,[1]DIRETORIA!B:B),"-")</f>
        <v>GST. COM SP2</v>
      </c>
      <c r="C613" s="28" t="str">
        <f>IFERROR(_xlfn.XLOOKUP(E613,[1]EMPREENDIMENTO!C:C,[1]EMPREENDIMENTO!A:A),"-")</f>
        <v>SÃO PAULO</v>
      </c>
      <c r="D613" s="28" t="s">
        <v>85</v>
      </c>
      <c r="E613" s="28" t="s">
        <v>1161</v>
      </c>
      <c r="F613" s="28" t="s">
        <v>36</v>
      </c>
      <c r="G613" s="28" t="s">
        <v>1164</v>
      </c>
      <c r="H613" s="28">
        <v>45131</v>
      </c>
      <c r="I613" s="29">
        <f>IFERROR(_xlfn.XLOOKUP(E613,[1]EMPREENDIMENTO!C:C,[1]EMPREENDIMENTO!E:E),"0")</f>
        <v>372</v>
      </c>
      <c r="J613" s="30"/>
      <c r="K613" s="28" t="s">
        <v>164</v>
      </c>
      <c r="L613" s="31">
        <v>46147</v>
      </c>
      <c r="M613" s="32">
        <v>111675604</v>
      </c>
      <c r="N613" s="32">
        <v>121109567</v>
      </c>
      <c r="O613" s="32">
        <v>117823900</v>
      </c>
      <c r="P613" s="28" t="s">
        <v>34</v>
      </c>
      <c r="Q613" s="28" t="s">
        <v>1163</v>
      </c>
      <c r="R613" s="30">
        <v>46160</v>
      </c>
      <c r="S613" s="30">
        <v>46147</v>
      </c>
      <c r="T613" s="33"/>
      <c r="U613" s="34" t="str">
        <f>IFERROR(_xlfn.XLOOKUP(E613,[1]EMPREENDIMENTO!C:C,[1]EMPREENDIMENTO!D:D),"")</f>
        <v>64a5ab60-d849-eb11-85d0-005056856875</v>
      </c>
    </row>
    <row r="614" spans="1:21" hidden="1" x14ac:dyDescent="0.35">
      <c r="A614" s="28" t="str">
        <f>IFERROR(_xlfn.XLOOKUP(C614,[1]DIRETORIA!C:C,[1]DIRETORIA!A:A),"-")</f>
        <v>DIR. COM E CRED SUL</v>
      </c>
      <c r="B614" s="28" t="str">
        <f>IFERROR(_xlfn.XLOOKUP(C614,[1]DIRETORIA!C:C,[1]DIRETORIA!B:B),"-")</f>
        <v>GST. COM SC</v>
      </c>
      <c r="C614" s="28" t="str">
        <f>IFERROR(_xlfn.XLOOKUP(E614,[1]EMPREENDIMENTO!C:C,[1]EMPREENDIMENTO!A:A),"-")</f>
        <v>PALHOÇA</v>
      </c>
      <c r="D614" s="28" t="s">
        <v>85</v>
      </c>
      <c r="E614" s="28" t="s">
        <v>1165</v>
      </c>
      <c r="F614" s="28" t="s">
        <v>42</v>
      </c>
      <c r="G614" s="28" t="s">
        <v>1166</v>
      </c>
      <c r="H614" s="28">
        <v>39797</v>
      </c>
      <c r="I614" s="29">
        <f>IFERROR(_xlfn.XLOOKUP(E614,[1]EMPREENDIMENTO!C:C,[1]EMPREENDIMENTO!E:E),"0")</f>
        <v>320</v>
      </c>
      <c r="J614" s="30"/>
      <c r="K614" s="28" t="s">
        <v>33</v>
      </c>
      <c r="L614" s="31">
        <v>46041</v>
      </c>
      <c r="M614" s="32">
        <v>78186000</v>
      </c>
      <c r="N614" s="32">
        <v>91242312</v>
      </c>
      <c r="O614" s="32">
        <v>90925755</v>
      </c>
      <c r="P614" s="28" t="s">
        <v>34</v>
      </c>
      <c r="Q614" s="28" t="s">
        <v>1167</v>
      </c>
      <c r="R614" s="30"/>
      <c r="S614" s="30">
        <v>46042</v>
      </c>
      <c r="T614" s="33"/>
      <c r="U614" s="34" t="str">
        <f>IFERROR(_xlfn.XLOOKUP(E614,[1]EMPREENDIMENTO!C:C,[1]EMPREENDIMENTO!D:D),"")</f>
        <v>DF36D268-04F7-EC11-B1AD-005056856875</v>
      </c>
    </row>
    <row r="615" spans="1:21" hidden="1" x14ac:dyDescent="0.35">
      <c r="A615" s="28" t="str">
        <f>IFERROR(_xlfn.XLOOKUP(C615,[1]DIRETORIA!C:C,[1]DIRETORIA!A:A),"-")</f>
        <v>DIR. COM E CRED SUL</v>
      </c>
      <c r="B615" s="28" t="str">
        <f>IFERROR(_xlfn.XLOOKUP(C615,[1]DIRETORIA!C:C,[1]DIRETORIA!B:B),"-")</f>
        <v>GST. COM CURITIBA</v>
      </c>
      <c r="C615" s="28" t="str">
        <f>IFERROR(_xlfn.XLOOKUP(E615,[1]EMPREENDIMENTO!C:C,[1]EMPREENDIMENTO!A:A),"-")</f>
        <v>CURITIBA</v>
      </c>
      <c r="D615" s="28" t="s">
        <v>29</v>
      </c>
      <c r="E615" s="28" t="s">
        <v>1168</v>
      </c>
      <c r="F615" s="28" t="s">
        <v>31</v>
      </c>
      <c r="G615" s="28" t="s">
        <v>1169</v>
      </c>
      <c r="H615" s="28">
        <v>41321</v>
      </c>
      <c r="I615" s="29">
        <f>IFERROR(_xlfn.XLOOKUP(E615,[1]EMPREENDIMENTO!C:C,[1]EMPREENDIMENTO!E:E),"0")</f>
        <v>360</v>
      </c>
      <c r="J615" s="30">
        <v>46751</v>
      </c>
      <c r="K615" s="28" t="s">
        <v>33</v>
      </c>
      <c r="L615" s="31">
        <v>45786</v>
      </c>
      <c r="M615" s="32">
        <v>118943008</v>
      </c>
      <c r="N615" s="32">
        <v>128458449</v>
      </c>
      <c r="O615" s="32">
        <v>128458449</v>
      </c>
      <c r="P615" s="28" t="s">
        <v>34</v>
      </c>
      <c r="Q615" s="28" t="s">
        <v>1170</v>
      </c>
      <c r="R615" s="30">
        <v>45799</v>
      </c>
      <c r="S615" s="30">
        <v>45786</v>
      </c>
      <c r="T615" s="33"/>
      <c r="U615" s="34" t="str">
        <f>IFERROR(_xlfn.XLOOKUP(E615,[1]EMPREENDIMENTO!C:C,[1]EMPREENDIMENTO!D:D),"")</f>
        <v>5fab6661-9dde-eb11-930a-0050568aa20f</v>
      </c>
    </row>
    <row r="616" spans="1:21" hidden="1" x14ac:dyDescent="0.35">
      <c r="A616" s="28" t="str">
        <f>IFERROR(_xlfn.XLOOKUP(C616,[1]DIRETORIA!C:C,[1]DIRETORIA!A:A),"-")</f>
        <v>DIR. COM E CRED SUL</v>
      </c>
      <c r="B616" s="28" t="str">
        <f>IFERROR(_xlfn.XLOOKUP(C616,[1]DIRETORIA!C:C,[1]DIRETORIA!B:B),"-")</f>
        <v>GST. COM CURITIBA</v>
      </c>
      <c r="C616" s="28" t="str">
        <f>IFERROR(_xlfn.XLOOKUP(E616,[1]EMPREENDIMENTO!C:C,[1]EMPREENDIMENTO!A:A),"-")</f>
        <v>CURITIBA</v>
      </c>
      <c r="D616" s="28" t="s">
        <v>29</v>
      </c>
      <c r="E616" s="28" t="s">
        <v>1168</v>
      </c>
      <c r="F616" s="28" t="s">
        <v>36</v>
      </c>
      <c r="G616" s="28" t="s">
        <v>1171</v>
      </c>
      <c r="H616" s="28">
        <v>51692</v>
      </c>
      <c r="I616" s="29">
        <f>IFERROR(_xlfn.XLOOKUP(E616,[1]EMPREENDIMENTO!C:C,[1]EMPREENDIMENTO!E:E),"0")</f>
        <v>360</v>
      </c>
      <c r="J616" s="30">
        <v>46751</v>
      </c>
      <c r="K616" s="28" t="s">
        <v>33</v>
      </c>
      <c r="L616" s="31">
        <v>45786</v>
      </c>
      <c r="M616" s="32">
        <v>118943008</v>
      </c>
      <c r="N616" s="32">
        <v>128458449</v>
      </c>
      <c r="O616" s="32">
        <v>128458449</v>
      </c>
      <c r="P616" s="28" t="s">
        <v>34</v>
      </c>
      <c r="Q616" s="28" t="s">
        <v>1170</v>
      </c>
      <c r="R616" s="30">
        <v>45799</v>
      </c>
      <c r="S616" s="30">
        <v>45786</v>
      </c>
      <c r="T616" s="33"/>
      <c r="U616" s="34" t="str">
        <f>IFERROR(_xlfn.XLOOKUP(E616,[1]EMPREENDIMENTO!C:C,[1]EMPREENDIMENTO!D:D),"")</f>
        <v>5fab6661-9dde-eb11-930a-0050568aa20f</v>
      </c>
    </row>
    <row r="617" spans="1:21" hidden="1" x14ac:dyDescent="0.35">
      <c r="A617" s="28" t="str">
        <f>IFERROR(_xlfn.XLOOKUP(C617,[1]DIRETORIA!C:C,[1]DIRETORIA!A:A),"-")</f>
        <v>DIR. COM E CRED CO E AM</v>
      </c>
      <c r="B617" s="28" t="str">
        <f>IFERROR(_xlfn.XLOOKUP(C617,[1]DIRETORIA!C:C,[1]DIRETORIA!B:B),"-")</f>
        <v>GST. COM MS</v>
      </c>
      <c r="C617" s="28" t="str">
        <f>IFERROR(_xlfn.XLOOKUP(E617,[1]EMPREENDIMENTO!C:C,[1]EMPREENDIMENTO!A:A),"-")</f>
        <v>CAMPO GRANDE</v>
      </c>
      <c r="D617" s="28" t="s">
        <v>29</v>
      </c>
      <c r="E617" s="28" t="s">
        <v>1172</v>
      </c>
      <c r="F617" s="28" t="s">
        <v>31</v>
      </c>
      <c r="G617" s="28" t="s">
        <v>1173</v>
      </c>
      <c r="H617" s="28">
        <v>41559</v>
      </c>
      <c r="I617" s="29">
        <f>IFERROR(_xlfn.XLOOKUP(E617,[1]EMPREENDIMENTO!C:C,[1]EMPREENDIMENTO!E:E),"0")</f>
        <v>240</v>
      </c>
      <c r="J617" s="30">
        <v>46628</v>
      </c>
      <c r="K617" s="28" t="s">
        <v>33</v>
      </c>
      <c r="L617" s="31">
        <v>45897</v>
      </c>
      <c r="M617" s="32">
        <v>53656200</v>
      </c>
      <c r="N617" s="32">
        <v>56976200</v>
      </c>
      <c r="O617" s="32">
        <v>55134300</v>
      </c>
      <c r="P617" s="28" t="s">
        <v>34</v>
      </c>
      <c r="Q617" s="28" t="s">
        <v>1174</v>
      </c>
      <c r="R617" s="30">
        <v>46119</v>
      </c>
      <c r="S617" s="30">
        <v>46092</v>
      </c>
      <c r="T617" s="33"/>
      <c r="U617" s="34" t="str">
        <f>IFERROR(_xlfn.XLOOKUP(E617,[1]EMPREENDIMENTO!C:C,[1]EMPREENDIMENTO!D:D),"")</f>
        <v>9b57fb79-a6dc-ea11-88c0-0050568aa20f</v>
      </c>
    </row>
    <row r="618" spans="1:21" hidden="1" x14ac:dyDescent="0.35">
      <c r="A618" s="28" t="str">
        <f>IFERROR(_xlfn.XLOOKUP(C618,[1]DIRETORIA!C:C,[1]DIRETORIA!A:A),"-")</f>
        <v>DIR. COM E CRED CO E AM</v>
      </c>
      <c r="B618" s="28" t="str">
        <f>IFERROR(_xlfn.XLOOKUP(C618,[1]DIRETORIA!C:C,[1]DIRETORIA!B:B),"-")</f>
        <v>GST. COM MS</v>
      </c>
      <c r="C618" s="28" t="str">
        <f>IFERROR(_xlfn.XLOOKUP(E618,[1]EMPREENDIMENTO!C:C,[1]EMPREENDIMENTO!A:A),"-")</f>
        <v>CAMPO GRANDE</v>
      </c>
      <c r="D618" s="28" t="s">
        <v>29</v>
      </c>
      <c r="E618" s="28" t="s">
        <v>1172</v>
      </c>
      <c r="F618" s="28" t="s">
        <v>36</v>
      </c>
      <c r="G618" s="28" t="s">
        <v>1175</v>
      </c>
      <c r="H618" s="28">
        <v>6063</v>
      </c>
      <c r="I618" s="29">
        <f>IFERROR(_xlfn.XLOOKUP(E618,[1]EMPREENDIMENTO!C:C,[1]EMPREENDIMENTO!E:E),"0")</f>
        <v>240</v>
      </c>
      <c r="J618" s="30">
        <v>46628</v>
      </c>
      <c r="K618" s="28" t="s">
        <v>33</v>
      </c>
      <c r="L618" s="31">
        <v>45898</v>
      </c>
      <c r="M618" s="32">
        <v>53656200</v>
      </c>
      <c r="N618" s="32">
        <v>56976200</v>
      </c>
      <c r="O618" s="32">
        <v>55134300</v>
      </c>
      <c r="P618" s="28" t="s">
        <v>34</v>
      </c>
      <c r="Q618" s="28" t="s">
        <v>1174</v>
      </c>
      <c r="R618" s="30">
        <v>46119</v>
      </c>
      <c r="S618" s="30">
        <v>46092</v>
      </c>
      <c r="T618" s="33"/>
      <c r="U618" s="34" t="str">
        <f>IFERROR(_xlfn.XLOOKUP(E618,[1]EMPREENDIMENTO!C:C,[1]EMPREENDIMENTO!D:D),"")</f>
        <v>9b57fb79-a6dc-ea11-88c0-0050568aa20f</v>
      </c>
    </row>
    <row r="619" spans="1:21" x14ac:dyDescent="0.35">
      <c r="A619" s="28" t="str">
        <f>IFERROR(_xlfn.XLOOKUP(C619,[1]DIRETORIA!C:C,[1]DIRETORIA!A:A),"-")</f>
        <v>DIR. COM E CRED SPI</v>
      </c>
      <c r="B619" s="28" t="str">
        <f>IFERROR(_xlfn.XLOOKUP(C619,[1]DIRETORIA!C:C,[1]DIRETORIA!B:B),"-")</f>
        <v>GST. COM OP 1</v>
      </c>
      <c r="C619" s="28" t="str">
        <f>IFERROR(_xlfn.XLOOKUP(E619,[1]EMPREENDIMENTO!C:C,[1]EMPREENDIMENTO!A:A),"-")</f>
        <v>SÃO JOSÉ DO RIO PRETO</v>
      </c>
      <c r="D619" s="28" t="s">
        <v>29</v>
      </c>
      <c r="E619" s="28" t="s">
        <v>1176</v>
      </c>
      <c r="F619" s="28" t="s">
        <v>31</v>
      </c>
      <c r="G619" s="28" t="s">
        <v>1177</v>
      </c>
      <c r="H619" s="28">
        <v>36094</v>
      </c>
      <c r="I619" s="29">
        <f>IFERROR(_xlfn.XLOOKUP(E619,[1]EMPREENDIMENTO!C:C,[1]EMPREENDIMENTO!E:E),"0")</f>
        <v>352</v>
      </c>
      <c r="J619" s="30"/>
      <c r="K619" s="28" t="s">
        <v>33</v>
      </c>
      <c r="L619" s="31">
        <v>46132</v>
      </c>
      <c r="M619" s="32">
        <v>84264400</v>
      </c>
      <c r="N619" s="32">
        <v>92448400</v>
      </c>
      <c r="O619" s="32">
        <v>89896400</v>
      </c>
      <c r="P619" s="28" t="s">
        <v>34</v>
      </c>
      <c r="Q619" s="28" t="s">
        <v>1178</v>
      </c>
      <c r="R619" s="30">
        <v>46146</v>
      </c>
      <c r="S619" s="30">
        <v>46134</v>
      </c>
      <c r="T619" s="33"/>
      <c r="U619" s="34" t="str">
        <f>IFERROR(_xlfn.XLOOKUP(E619,[1]EMPREENDIMENTO!C:C,[1]EMPREENDIMENTO!D:D),"")</f>
        <v>91c02f94-da10-ec11-a30e-0050568a2e98</v>
      </c>
    </row>
    <row r="620" spans="1:21" x14ac:dyDescent="0.35">
      <c r="A620" s="28" t="str">
        <f>IFERROR(_xlfn.XLOOKUP(C620,[1]DIRETORIA!C:C,[1]DIRETORIA!A:A),"-")</f>
        <v>DIR. COM E CRED SPI</v>
      </c>
      <c r="B620" s="28" t="str">
        <f>IFERROR(_xlfn.XLOOKUP(C620,[1]DIRETORIA!C:C,[1]DIRETORIA!B:B),"-")</f>
        <v>GST. COM OP 1</v>
      </c>
      <c r="C620" s="28" t="str">
        <f>IFERROR(_xlfn.XLOOKUP(E620,[1]EMPREENDIMENTO!C:C,[1]EMPREENDIMENTO!A:A),"-")</f>
        <v>SÃO JOSÉ DO RIO PRETO</v>
      </c>
      <c r="D620" s="28" t="s">
        <v>29</v>
      </c>
      <c r="E620" s="28" t="s">
        <v>1176</v>
      </c>
      <c r="F620" s="28" t="s">
        <v>36</v>
      </c>
      <c r="G620" s="28" t="s">
        <v>1179</v>
      </c>
      <c r="H620" s="28">
        <v>60298</v>
      </c>
      <c r="I620" s="29">
        <f>IFERROR(_xlfn.XLOOKUP(E620,[1]EMPREENDIMENTO!C:C,[1]EMPREENDIMENTO!E:E),"0")</f>
        <v>352</v>
      </c>
      <c r="J620" s="30"/>
      <c r="K620" s="28" t="s">
        <v>33</v>
      </c>
      <c r="L620" s="31">
        <v>46132</v>
      </c>
      <c r="M620" s="32">
        <v>84264400</v>
      </c>
      <c r="N620" s="32">
        <v>92448400</v>
      </c>
      <c r="O620" s="32">
        <v>89896400</v>
      </c>
      <c r="P620" s="28" t="s">
        <v>34</v>
      </c>
      <c r="Q620" s="28" t="s">
        <v>1178</v>
      </c>
      <c r="R620" s="30">
        <v>46146</v>
      </c>
      <c r="S620" s="30">
        <v>46134</v>
      </c>
      <c r="T620" s="33"/>
      <c r="U620" s="34" t="str">
        <f>IFERROR(_xlfn.XLOOKUP(E620,[1]EMPREENDIMENTO!C:C,[1]EMPREENDIMENTO!D:D),"")</f>
        <v>91c02f94-da10-ec11-a30e-0050568a2e98</v>
      </c>
    </row>
    <row r="621" spans="1:21" x14ac:dyDescent="0.35">
      <c r="A621" s="28" t="str">
        <f>IFERROR(_xlfn.XLOOKUP(C621,[1]DIRETORIA!C:C,[1]DIRETORIA!A:A),"-")</f>
        <v>DIR. COM E CRED SPI</v>
      </c>
      <c r="B621" s="28" t="str">
        <f>IFERROR(_xlfn.XLOOKUP(C621,[1]DIRETORIA!C:C,[1]DIRETORIA!B:B),"-")</f>
        <v>GST. COM OP 1</v>
      </c>
      <c r="C621" s="28" t="str">
        <f>IFERROR(_xlfn.XLOOKUP(E621,[1]EMPREENDIMENTO!C:C,[1]EMPREENDIMENTO!A:A),"-")</f>
        <v>SÃO JOSÉ DO RIO PRETO</v>
      </c>
      <c r="D621" s="28" t="s">
        <v>85</v>
      </c>
      <c r="E621" s="28" t="s">
        <v>1176</v>
      </c>
      <c r="F621" s="28" t="s">
        <v>39</v>
      </c>
      <c r="G621" s="28" t="s">
        <v>268</v>
      </c>
      <c r="H621" s="28" t="s">
        <v>268</v>
      </c>
      <c r="I621" s="29">
        <f>IFERROR(_xlfn.XLOOKUP(E621,[1]EMPREENDIMENTO!C:C,[1]EMPREENDIMENTO!E:E),"0")</f>
        <v>352</v>
      </c>
      <c r="J621" s="30"/>
      <c r="K621" s="28" t="s">
        <v>33</v>
      </c>
      <c r="L621" s="31">
        <v>46132</v>
      </c>
      <c r="M621" s="32">
        <v>84264400</v>
      </c>
      <c r="N621" s="32">
        <v>92448400</v>
      </c>
      <c r="O621" s="32">
        <v>89896400</v>
      </c>
      <c r="P621" s="28" t="s">
        <v>34</v>
      </c>
      <c r="Q621" s="28" t="s">
        <v>1178</v>
      </c>
      <c r="R621" s="30">
        <v>46146</v>
      </c>
      <c r="S621" s="30">
        <v>46134</v>
      </c>
      <c r="T621" s="33"/>
      <c r="U621" s="34" t="str">
        <f>IFERROR(_xlfn.XLOOKUP(E621,[1]EMPREENDIMENTO!C:C,[1]EMPREENDIMENTO!D:D),"")</f>
        <v>91c02f94-da10-ec11-a30e-0050568a2e98</v>
      </c>
    </row>
    <row r="622" spans="1:21" hidden="1" x14ac:dyDescent="0.35">
      <c r="A622" s="28" t="str">
        <f>IFERROR(_xlfn.XLOOKUP(C622,[1]DIRETORIA!C:C,[1]DIRETORIA!A:A),"-")</f>
        <v>DIR. COM E CRED RJ</v>
      </c>
      <c r="B622" s="28" t="str">
        <f>IFERROR(_xlfn.XLOOKUP(C622,[1]DIRETORIA!C:C,[1]DIRETORIA!B:B),"-")</f>
        <v>GST. COM RJ1</v>
      </c>
      <c r="C622" s="28" t="str">
        <f>IFERROR(_xlfn.XLOOKUP(E622,[1]EMPREENDIMENTO!C:C,[1]EMPREENDIMENTO!A:A),"-")</f>
        <v>RIO DE JANEIRO</v>
      </c>
      <c r="D622" s="28" t="s">
        <v>29</v>
      </c>
      <c r="E622" s="28" t="s">
        <v>1180</v>
      </c>
      <c r="F622" s="28" t="s">
        <v>31</v>
      </c>
      <c r="G622" s="28" t="s">
        <v>1181</v>
      </c>
      <c r="H622" s="28">
        <v>35517</v>
      </c>
      <c r="I622" s="29">
        <f>IFERROR(_xlfn.XLOOKUP(E622,[1]EMPREENDIMENTO!C:C,[1]EMPREENDIMENTO!E:E),"0")</f>
        <v>160</v>
      </c>
      <c r="J622" s="30">
        <v>46579</v>
      </c>
      <c r="K622" s="28" t="s">
        <v>33</v>
      </c>
      <c r="L622" s="31">
        <v>46014</v>
      </c>
      <c r="M622" s="32">
        <v>35122000</v>
      </c>
      <c r="N622" s="32">
        <v>37875715</v>
      </c>
      <c r="O622" s="32">
        <v>36071316</v>
      </c>
      <c r="P622" s="28" t="s">
        <v>34</v>
      </c>
      <c r="Q622" s="28" t="s">
        <v>1182</v>
      </c>
      <c r="R622" s="30">
        <v>46024</v>
      </c>
      <c r="S622" s="30">
        <v>46017</v>
      </c>
      <c r="T622" s="33"/>
      <c r="U622" s="34" t="str">
        <f>IFERROR(_xlfn.XLOOKUP(E622,[1]EMPREENDIMENTO!C:C,[1]EMPREENDIMENTO!D:D),"")</f>
        <v>8288f0e0-b9e0-e511-9cc2-009c02b0cb58</v>
      </c>
    </row>
    <row r="623" spans="1:21" hidden="1" x14ac:dyDescent="0.35">
      <c r="A623" s="28" t="str">
        <f>IFERROR(_xlfn.XLOOKUP(C623,[1]DIRETORIA!C:C,[1]DIRETORIA!A:A),"-")</f>
        <v>DIR. COM E CRED RJ</v>
      </c>
      <c r="B623" s="28" t="str">
        <f>IFERROR(_xlfn.XLOOKUP(C623,[1]DIRETORIA!C:C,[1]DIRETORIA!B:B),"-")</f>
        <v>GST. COM RJ1</v>
      </c>
      <c r="C623" s="28" t="str">
        <f>IFERROR(_xlfn.XLOOKUP(E623,[1]EMPREENDIMENTO!C:C,[1]EMPREENDIMENTO!A:A),"-")</f>
        <v>RIO DE JANEIRO</v>
      </c>
      <c r="D623" s="28" t="s">
        <v>29</v>
      </c>
      <c r="E623" s="28" t="s">
        <v>1180</v>
      </c>
      <c r="F623" s="28" t="s">
        <v>36</v>
      </c>
      <c r="G623" s="28" t="s">
        <v>1183</v>
      </c>
      <c r="H623" s="28">
        <v>35518</v>
      </c>
      <c r="I623" s="29">
        <f>IFERROR(_xlfn.XLOOKUP(E623,[1]EMPREENDIMENTO!C:C,[1]EMPREENDIMENTO!E:E),"0")</f>
        <v>160</v>
      </c>
      <c r="J623" s="30">
        <v>46579</v>
      </c>
      <c r="K623" s="28" t="s">
        <v>33</v>
      </c>
      <c r="L623" s="31">
        <v>46014</v>
      </c>
      <c r="M623" s="32">
        <v>35122000</v>
      </c>
      <c r="N623" s="32">
        <v>37875715</v>
      </c>
      <c r="O623" s="32">
        <v>36071316</v>
      </c>
      <c r="P623" s="28" t="s">
        <v>34</v>
      </c>
      <c r="Q623" s="28" t="s">
        <v>1182</v>
      </c>
      <c r="R623" s="30">
        <v>46024</v>
      </c>
      <c r="S623" s="30">
        <v>46017</v>
      </c>
      <c r="T623" s="33"/>
      <c r="U623" s="34" t="str">
        <f>IFERROR(_xlfn.XLOOKUP(E623,[1]EMPREENDIMENTO!C:C,[1]EMPREENDIMENTO!D:D),"")</f>
        <v>8288f0e0-b9e0-e511-9cc2-009c02b0cb58</v>
      </c>
    </row>
    <row r="624" spans="1:21" hidden="1" x14ac:dyDescent="0.35">
      <c r="A624" s="28" t="str">
        <f>IFERROR(_xlfn.XLOOKUP(C624,[1]DIRETORIA!C:C,[1]DIRETORIA!A:A),"-")</f>
        <v>DIR. COM E CRED NE</v>
      </c>
      <c r="B624" s="28" t="str">
        <f>IFERROR(_xlfn.XLOOKUP(C624,[1]DIRETORIA!C:C,[1]DIRETORIA!B:B),"-")</f>
        <v>GST. COM NE1 (BA 1)</v>
      </c>
      <c r="C624" s="28" t="str">
        <f>IFERROR(_xlfn.XLOOKUP(E624,[1]EMPREENDIMENTO!C:C,[1]EMPREENDIMENTO!A:A),"-")</f>
        <v>VITÓRIA DA CONQUISTA</v>
      </c>
      <c r="D624" s="28" t="s">
        <v>29</v>
      </c>
      <c r="E624" s="28" t="s">
        <v>1184</v>
      </c>
      <c r="F624" s="28" t="s">
        <v>31</v>
      </c>
      <c r="G624" s="28" t="s">
        <v>1185</v>
      </c>
      <c r="H624" s="28">
        <v>25242</v>
      </c>
      <c r="I624" s="29">
        <f>IFERROR(_xlfn.XLOOKUP(E624,[1]EMPREENDIMENTO!C:C,[1]EMPREENDIMENTO!E:E),"0")</f>
        <v>400</v>
      </c>
      <c r="J624" s="30">
        <v>46537</v>
      </c>
      <c r="K624" s="28" t="s">
        <v>33</v>
      </c>
      <c r="L624" s="31">
        <v>45995</v>
      </c>
      <c r="M624" s="32">
        <v>90957949</v>
      </c>
      <c r="N624" s="32">
        <v>92730600</v>
      </c>
      <c r="O624" s="32">
        <v>92730600</v>
      </c>
      <c r="P624" s="28" t="s">
        <v>34</v>
      </c>
      <c r="Q624" s="28" t="s">
        <v>1186</v>
      </c>
      <c r="R624" s="30">
        <v>46225</v>
      </c>
      <c r="S624" s="30">
        <v>46206</v>
      </c>
      <c r="T624" s="33"/>
      <c r="U624" s="34" t="str">
        <f>IFERROR(_xlfn.XLOOKUP(E624,[1]EMPREENDIMENTO!C:C,[1]EMPREENDIMENTO!D:D),"")</f>
        <v>ab39f382-fde9-e911-bfe9-005056856875</v>
      </c>
    </row>
    <row r="625" spans="1:21" hidden="1" x14ac:dyDescent="0.35">
      <c r="A625" s="28" t="str">
        <f>IFERROR(_xlfn.XLOOKUP(C625,[1]DIRETORIA!C:C,[1]DIRETORIA!A:A),"-")</f>
        <v>DIR. COM E CRED NE</v>
      </c>
      <c r="B625" s="28" t="str">
        <f>IFERROR(_xlfn.XLOOKUP(C625,[1]DIRETORIA!C:C,[1]DIRETORIA!B:B),"-")</f>
        <v>GST. COM NE1 (BA 1)</v>
      </c>
      <c r="C625" s="28" t="str">
        <f>IFERROR(_xlfn.XLOOKUP(E625,[1]EMPREENDIMENTO!C:C,[1]EMPREENDIMENTO!A:A),"-")</f>
        <v>VITÓRIA DA CONQUISTA</v>
      </c>
      <c r="D625" s="28" t="s">
        <v>29</v>
      </c>
      <c r="E625" s="28" t="s">
        <v>1184</v>
      </c>
      <c r="F625" s="28" t="s">
        <v>36</v>
      </c>
      <c r="G625" s="28" t="s">
        <v>1187</v>
      </c>
      <c r="H625" s="28">
        <v>34584</v>
      </c>
      <c r="I625" s="29">
        <f>IFERROR(_xlfn.XLOOKUP(E625,[1]EMPREENDIMENTO!C:C,[1]EMPREENDIMENTO!E:E),"0")</f>
        <v>400</v>
      </c>
      <c r="J625" s="30">
        <v>46537</v>
      </c>
      <c r="K625" s="28" t="s">
        <v>33</v>
      </c>
      <c r="L625" s="31">
        <v>45995</v>
      </c>
      <c r="M625" s="32">
        <v>90957949</v>
      </c>
      <c r="N625" s="32">
        <v>92730600</v>
      </c>
      <c r="O625" s="32">
        <v>92730600</v>
      </c>
      <c r="P625" s="28" t="s">
        <v>34</v>
      </c>
      <c r="Q625" s="28" t="s">
        <v>1186</v>
      </c>
      <c r="R625" s="30">
        <v>46225</v>
      </c>
      <c r="S625" s="30">
        <v>46206</v>
      </c>
      <c r="T625" s="33"/>
      <c r="U625" s="34" t="str">
        <f>IFERROR(_xlfn.XLOOKUP(E625,[1]EMPREENDIMENTO!C:C,[1]EMPREENDIMENTO!D:D),"")</f>
        <v>ab39f382-fde9-e911-bfe9-005056856875</v>
      </c>
    </row>
    <row r="626" spans="1:21" hidden="1" x14ac:dyDescent="0.35">
      <c r="A626" s="28" t="s">
        <v>1188</v>
      </c>
      <c r="B626" s="28" t="s">
        <v>1189</v>
      </c>
      <c r="C626" s="28" t="s">
        <v>1190</v>
      </c>
      <c r="D626" s="28" t="s">
        <v>29</v>
      </c>
      <c r="E626" s="28" t="s">
        <v>1184</v>
      </c>
      <c r="F626" s="28" t="s">
        <v>39</v>
      </c>
      <c r="G626" s="28" t="s">
        <v>1191</v>
      </c>
      <c r="H626" s="28">
        <v>54442</v>
      </c>
      <c r="I626" s="29">
        <f>IFERROR(_xlfn.XLOOKUP(E626,[1]EMPREENDIMENTO!C:C,[1]EMPREENDIMENTO!E:E),"0")</f>
        <v>400</v>
      </c>
      <c r="J626" s="30">
        <v>46537</v>
      </c>
      <c r="K626" s="28" t="s">
        <v>33</v>
      </c>
      <c r="L626" s="31">
        <v>45995</v>
      </c>
      <c r="M626" s="32">
        <v>90957949</v>
      </c>
      <c r="N626" s="32">
        <v>92730600</v>
      </c>
      <c r="O626" s="32">
        <v>92730600</v>
      </c>
      <c r="P626" s="28" t="s">
        <v>34</v>
      </c>
      <c r="Q626" s="28" t="s">
        <v>1186</v>
      </c>
      <c r="R626" s="30">
        <v>46225</v>
      </c>
      <c r="S626" s="30">
        <v>46206</v>
      </c>
      <c r="T626" s="33"/>
      <c r="U626" s="34" t="str">
        <f>IFERROR(_xlfn.XLOOKUP(E626,[1]EMPREENDIMENTO!C:C,[1]EMPREENDIMENTO!D:D),"")</f>
        <v>ab39f382-fde9-e911-bfe9-005056856875</v>
      </c>
    </row>
    <row r="627" spans="1:21" hidden="1" x14ac:dyDescent="0.35">
      <c r="A627" s="28" t="str">
        <f>IFERROR(_xlfn.XLOOKUP(C627,[1]DIRETORIA!C:C,[1]DIRETORIA!A:A),"-")</f>
        <v>DIR. COM E CRED NE</v>
      </c>
      <c r="B627" s="28" t="str">
        <f>IFERROR(_xlfn.XLOOKUP(C627,[1]DIRETORIA!C:C,[1]DIRETORIA!B:B),"-")</f>
        <v>GST. COM NE4 (CE)</v>
      </c>
      <c r="C627" s="28" t="str">
        <f>IFERROR(_xlfn.XLOOKUP(E627,[1]EMPREENDIMENTO!C:C,[1]EMPREENDIMENTO!A:A),"-")</f>
        <v>FORTALEZA</v>
      </c>
      <c r="D627" s="28" t="s">
        <v>29</v>
      </c>
      <c r="E627" s="28" t="s">
        <v>1192</v>
      </c>
      <c r="F627" s="28" t="s">
        <v>31</v>
      </c>
      <c r="G627" s="28" t="s">
        <v>1193</v>
      </c>
      <c r="H627" s="28">
        <v>29464</v>
      </c>
      <c r="I627" s="29">
        <f>IFERROR(_xlfn.XLOOKUP(E627,[1]EMPREENDIMENTO!C:C,[1]EMPREENDIMENTO!E:E),"0")</f>
        <v>492</v>
      </c>
      <c r="J627" s="30"/>
      <c r="K627" s="28" t="s">
        <v>33</v>
      </c>
      <c r="L627" s="31">
        <v>46213</v>
      </c>
      <c r="M627" s="32">
        <v>156066969</v>
      </c>
      <c r="N627" s="32">
        <v>173472491</v>
      </c>
      <c r="O627" s="32">
        <v>156066969</v>
      </c>
      <c r="P627" s="28" t="s">
        <v>34</v>
      </c>
      <c r="Q627" s="28" t="s">
        <v>1194</v>
      </c>
      <c r="R627" s="30">
        <v>46213</v>
      </c>
      <c r="S627" s="30"/>
      <c r="T627" s="33"/>
      <c r="U627" s="34" t="str">
        <f>IFERROR(_xlfn.XLOOKUP(E627,[1]EMPREENDIMENTO!C:C,[1]EMPREENDIMENTO!D:D),"")</f>
        <v>ec657458-5afc-e711-b989-80c16e075108</v>
      </c>
    </row>
    <row r="628" spans="1:21" hidden="1" x14ac:dyDescent="0.35">
      <c r="A628" s="28" t="str">
        <f>IFERROR(_xlfn.XLOOKUP(C628,[1]DIRETORIA!C:C,[1]DIRETORIA!A:A),"-")</f>
        <v>DIR. COM E CRED NE</v>
      </c>
      <c r="B628" s="28" t="str">
        <f>IFERROR(_xlfn.XLOOKUP(C628,[1]DIRETORIA!C:C,[1]DIRETORIA!B:B),"-")</f>
        <v>GST. COM NE4 (CE)</v>
      </c>
      <c r="C628" s="28" t="str">
        <f>IFERROR(_xlfn.XLOOKUP(E628,[1]EMPREENDIMENTO!C:C,[1]EMPREENDIMENTO!A:A),"-")</f>
        <v>FORTALEZA</v>
      </c>
      <c r="D628" s="28" t="s">
        <v>85</v>
      </c>
      <c r="E628" s="28" t="s">
        <v>1192</v>
      </c>
      <c r="F628" s="28" t="s">
        <v>36</v>
      </c>
      <c r="G628" s="28" t="s">
        <v>268</v>
      </c>
      <c r="H628" s="28" t="s">
        <v>268</v>
      </c>
      <c r="I628" s="29">
        <f>IFERROR(_xlfn.XLOOKUP(E628,[1]EMPREENDIMENTO!C:C,[1]EMPREENDIMENTO!E:E),"0")</f>
        <v>492</v>
      </c>
      <c r="J628" s="30"/>
      <c r="K628" s="28" t="s">
        <v>33</v>
      </c>
      <c r="L628" s="31">
        <v>46213</v>
      </c>
      <c r="M628" s="32">
        <v>156066969</v>
      </c>
      <c r="N628" s="32">
        <v>173472491</v>
      </c>
      <c r="O628" s="32">
        <v>156066969</v>
      </c>
      <c r="P628" s="28" t="s">
        <v>34</v>
      </c>
      <c r="Q628" s="28" t="s">
        <v>1194</v>
      </c>
      <c r="R628" s="30">
        <v>46213</v>
      </c>
      <c r="S628" s="30"/>
      <c r="T628" s="33"/>
      <c r="U628" s="34" t="str">
        <f>IFERROR(_xlfn.XLOOKUP(E628,[1]EMPREENDIMENTO!C:C,[1]EMPREENDIMENTO!D:D),"")</f>
        <v>ec657458-5afc-e711-b989-80c16e075108</v>
      </c>
    </row>
    <row r="629" spans="1:21" hidden="1" x14ac:dyDescent="0.35">
      <c r="A629" s="28" t="str">
        <f>IFERROR(_xlfn.XLOOKUP(C629,[1]DIRETORIA!C:C,[1]DIRETORIA!A:A),"-")</f>
        <v>DIR. COM E CRED NE</v>
      </c>
      <c r="B629" s="28" t="str">
        <f>IFERROR(_xlfn.XLOOKUP(C629,[1]DIRETORIA!C:C,[1]DIRETORIA!B:B),"-")</f>
        <v>GST. COM NE4 (CE)</v>
      </c>
      <c r="C629" s="28" t="str">
        <f>IFERROR(_xlfn.XLOOKUP(E629,[1]EMPREENDIMENTO!C:C,[1]EMPREENDIMENTO!A:A),"-")</f>
        <v>FORTALEZA</v>
      </c>
      <c r="D629" s="28" t="s">
        <v>85</v>
      </c>
      <c r="E629" s="28" t="s">
        <v>1192</v>
      </c>
      <c r="F629" s="28" t="s">
        <v>39</v>
      </c>
      <c r="G629" s="28" t="s">
        <v>268</v>
      </c>
      <c r="H629" s="28" t="s">
        <v>268</v>
      </c>
      <c r="I629" s="29">
        <f>IFERROR(_xlfn.XLOOKUP(E629,[1]EMPREENDIMENTO!C:C,[1]EMPREENDIMENTO!E:E),"0")</f>
        <v>492</v>
      </c>
      <c r="J629" s="30"/>
      <c r="K629" s="28" t="s">
        <v>33</v>
      </c>
      <c r="L629" s="31">
        <v>46213</v>
      </c>
      <c r="M629" s="32">
        <v>156066969</v>
      </c>
      <c r="N629" s="32">
        <v>173472491</v>
      </c>
      <c r="O629" s="32">
        <v>156066969</v>
      </c>
      <c r="P629" s="28" t="s">
        <v>34</v>
      </c>
      <c r="Q629" s="28" t="s">
        <v>1194</v>
      </c>
      <c r="R629" s="30">
        <v>46213</v>
      </c>
      <c r="S629" s="30"/>
      <c r="T629" s="33"/>
      <c r="U629" s="34" t="str">
        <f>IFERROR(_xlfn.XLOOKUP(E629,[1]EMPREENDIMENTO!C:C,[1]EMPREENDIMENTO!D:D),"")</f>
        <v>ec657458-5afc-e711-b989-80c16e075108</v>
      </c>
    </row>
    <row r="630" spans="1:21" hidden="1" x14ac:dyDescent="0.35">
      <c r="A630" s="28" t="str">
        <f>IFERROR(_xlfn.XLOOKUP(C630,[1]DIRETORIA!C:C,[1]DIRETORIA!A:A),"-")</f>
        <v>DIR. COM E CRED SUL</v>
      </c>
      <c r="B630" s="28" t="str">
        <f>IFERROR(_xlfn.XLOOKUP(C630,[1]DIRETORIA!C:C,[1]DIRETORIA!B:B),"-")</f>
        <v>GST. COM LONDRINA</v>
      </c>
      <c r="C630" s="28" t="str">
        <f>IFERROR(_xlfn.XLOOKUP(E630,[1]EMPREENDIMENTO!C:C,[1]EMPREENDIMENTO!A:A),"-")</f>
        <v>LONDRINA</v>
      </c>
      <c r="D630" s="28" t="s">
        <v>29</v>
      </c>
      <c r="E630" s="28" t="s">
        <v>1195</v>
      </c>
      <c r="F630" s="28" t="s">
        <v>31</v>
      </c>
      <c r="G630" s="28" t="s">
        <v>1196</v>
      </c>
      <c r="H630" s="28">
        <v>41719</v>
      </c>
      <c r="I630" s="29">
        <f>IFERROR(_xlfn.XLOOKUP(E630,[1]EMPREENDIMENTO!C:C,[1]EMPREENDIMENTO!E:E),"0")</f>
        <v>264</v>
      </c>
      <c r="J630" s="30">
        <v>46726</v>
      </c>
      <c r="K630" s="28" t="s">
        <v>33</v>
      </c>
      <c r="L630" s="31">
        <v>45499</v>
      </c>
      <c r="M630" s="32">
        <v>63702000</v>
      </c>
      <c r="N630" s="32">
        <v>70436000</v>
      </c>
      <c r="O630" s="32">
        <v>70390400</v>
      </c>
      <c r="P630" s="28" t="s">
        <v>34</v>
      </c>
      <c r="Q630" s="28" t="s">
        <v>1197</v>
      </c>
      <c r="R630" s="30">
        <v>45520</v>
      </c>
      <c r="S630" s="30">
        <v>45502</v>
      </c>
      <c r="T630" s="33"/>
      <c r="U630" s="34" t="str">
        <f>IFERROR(_xlfn.XLOOKUP(E630,[1]EMPREENDIMENTO!C:C,[1]EMPREENDIMENTO!D:D),"")</f>
        <v>4d2c535b-56de-ea11-88c0-0050568aa20f</v>
      </c>
    </row>
    <row r="631" spans="1:21" hidden="1" x14ac:dyDescent="0.35">
      <c r="A631" s="28" t="str">
        <f>IFERROR(_xlfn.XLOOKUP(C631,[1]DIRETORIA!C:C,[1]DIRETORIA!A:A),"-")</f>
        <v>DIR. COM E CRED SUL</v>
      </c>
      <c r="B631" s="28" t="str">
        <f>IFERROR(_xlfn.XLOOKUP(C631,[1]DIRETORIA!C:C,[1]DIRETORIA!B:B),"-")</f>
        <v>GST. COM LONDRINA</v>
      </c>
      <c r="C631" s="28" t="str">
        <f>IFERROR(_xlfn.XLOOKUP(E631,[1]EMPREENDIMENTO!C:C,[1]EMPREENDIMENTO!A:A),"-")</f>
        <v>LONDRINA</v>
      </c>
      <c r="D631" s="28" t="s">
        <v>29</v>
      </c>
      <c r="E631" s="28" t="s">
        <v>1195</v>
      </c>
      <c r="F631" s="28" t="s">
        <v>36</v>
      </c>
      <c r="G631" s="28" t="s">
        <v>1198</v>
      </c>
      <c r="H631" s="28">
        <v>44742</v>
      </c>
      <c r="I631" s="29">
        <f>IFERROR(_xlfn.XLOOKUP(E631,[1]EMPREENDIMENTO!C:C,[1]EMPREENDIMENTO!E:E),"0")</f>
        <v>264</v>
      </c>
      <c r="J631" s="30">
        <v>46726</v>
      </c>
      <c r="K631" s="28" t="s">
        <v>33</v>
      </c>
      <c r="L631" s="31">
        <v>45499</v>
      </c>
      <c r="M631" s="32">
        <v>63702000</v>
      </c>
      <c r="N631" s="32">
        <v>70436000</v>
      </c>
      <c r="O631" s="32">
        <v>70390400</v>
      </c>
      <c r="P631" s="28" t="s">
        <v>34</v>
      </c>
      <c r="Q631" s="28" t="s">
        <v>1197</v>
      </c>
      <c r="R631" s="30">
        <v>45520</v>
      </c>
      <c r="S631" s="30">
        <v>45301</v>
      </c>
      <c r="T631" s="33"/>
      <c r="U631" s="34" t="str">
        <f>IFERROR(_xlfn.XLOOKUP(E631,[1]EMPREENDIMENTO!C:C,[1]EMPREENDIMENTO!D:D),"")</f>
        <v>4d2c535b-56de-ea11-88c0-0050568aa20f</v>
      </c>
    </row>
    <row r="632" spans="1:21" hidden="1" x14ac:dyDescent="0.35">
      <c r="A632" s="28" t="str">
        <f>IFERROR(_xlfn.XLOOKUP(C632,[1]DIRETORIA!C:C,[1]DIRETORIA!A:A),"-")</f>
        <v>DIR. COM E CRED SUL</v>
      </c>
      <c r="B632" s="28" t="str">
        <f>IFERROR(_xlfn.XLOOKUP(C632,[1]DIRETORIA!C:C,[1]DIRETORIA!B:B),"-")</f>
        <v>GST. COM LONDRINA</v>
      </c>
      <c r="C632" s="28" t="str">
        <f>IFERROR(_xlfn.XLOOKUP(E632,[1]EMPREENDIMENTO!C:C,[1]EMPREENDIMENTO!A:A),"-")</f>
        <v>LONDRINA</v>
      </c>
      <c r="D632" s="28" t="s">
        <v>29</v>
      </c>
      <c r="E632" s="28" t="s">
        <v>1195</v>
      </c>
      <c r="F632" s="28" t="s">
        <v>39</v>
      </c>
      <c r="G632" s="28" t="s">
        <v>1199</v>
      </c>
      <c r="H632" s="28">
        <v>51195</v>
      </c>
      <c r="I632" s="29">
        <f>IFERROR(_xlfn.XLOOKUP(E632,[1]EMPREENDIMENTO!C:C,[1]EMPREENDIMENTO!E:E),"0")</f>
        <v>264</v>
      </c>
      <c r="J632" s="30">
        <v>46726</v>
      </c>
      <c r="K632" s="28" t="s">
        <v>33</v>
      </c>
      <c r="L632" s="31">
        <v>45499</v>
      </c>
      <c r="M632" s="32">
        <v>63702000</v>
      </c>
      <c r="N632" s="32">
        <v>70436000</v>
      </c>
      <c r="O632" s="32">
        <v>70390400</v>
      </c>
      <c r="P632" s="28" t="s">
        <v>34</v>
      </c>
      <c r="Q632" s="28" t="s">
        <v>1197</v>
      </c>
      <c r="R632" s="30">
        <v>45520</v>
      </c>
      <c r="S632" s="30">
        <v>45301</v>
      </c>
      <c r="T632" s="33"/>
      <c r="U632" s="34" t="str">
        <f>IFERROR(_xlfn.XLOOKUP(E632,[1]EMPREENDIMENTO!C:C,[1]EMPREENDIMENTO!D:D),"")</f>
        <v>4d2c535b-56de-ea11-88c0-0050568aa20f</v>
      </c>
    </row>
    <row r="633" spans="1:21" x14ac:dyDescent="0.35">
      <c r="A633" s="28" t="str">
        <f>IFERROR(_xlfn.XLOOKUP(C633,[1]DIRETORIA!C:C,[1]DIRETORIA!A:A),"-")</f>
        <v>DIR. COM E CRED SPI CP</v>
      </c>
      <c r="B633" s="28" t="str">
        <f>IFERROR(_xlfn.XLOOKUP(C633,[1]DIRETORIA!C:C,[1]DIRETORIA!B:B),"-")</f>
        <v>GST. COM CP2</v>
      </c>
      <c r="C633" s="28" t="str">
        <f>IFERROR(_xlfn.XLOOKUP(E633,[1]EMPREENDIMENTO!C:C,[1]EMPREENDIMENTO!A:A),"-")</f>
        <v>SOROCABA</v>
      </c>
      <c r="D633" s="28" t="s">
        <v>85</v>
      </c>
      <c r="E633" s="28" t="s">
        <v>1200</v>
      </c>
      <c r="F633" s="28" t="s">
        <v>42</v>
      </c>
      <c r="G633" s="28" t="s">
        <v>1201</v>
      </c>
      <c r="H633" s="28">
        <v>41855</v>
      </c>
      <c r="I633" s="29">
        <f>IFERROR(_xlfn.XLOOKUP(E633,[1]EMPREENDIMENTO!C:C,[1]EMPREENDIMENTO!E:E),"0")</f>
        <v>416</v>
      </c>
      <c r="J633" s="30"/>
      <c r="K633" s="28" t="s">
        <v>33</v>
      </c>
      <c r="L633" s="31">
        <v>45665</v>
      </c>
      <c r="M633" s="32">
        <v>104574710</v>
      </c>
      <c r="N633" s="32">
        <v>113596960</v>
      </c>
      <c r="O633" s="32">
        <v>111470470</v>
      </c>
      <c r="P633" s="28" t="s">
        <v>34</v>
      </c>
      <c r="Q633" s="28">
        <v>590044</v>
      </c>
      <c r="R633" s="30">
        <v>45678</v>
      </c>
      <c r="S633" s="30">
        <v>45666</v>
      </c>
      <c r="T633" s="33"/>
      <c r="U633" s="34" t="str">
        <f>IFERROR(_xlfn.XLOOKUP(E633,[1]EMPREENDIMENTO!C:C,[1]EMPREENDIMENTO!D:D),"")</f>
        <v>B17B58EB-41EB-EC11-BA45-005056890018</v>
      </c>
    </row>
    <row r="634" spans="1:21" hidden="1" x14ac:dyDescent="0.35">
      <c r="A634" s="28" t="str">
        <f>IFERROR(_xlfn.XLOOKUP(C634,[1]DIRETORIA!C:C,[1]DIRETORIA!A:A),"-")</f>
        <v>DIR. COM E CRED MG E ES</v>
      </c>
      <c r="B634" s="28" t="str">
        <f>IFERROR(_xlfn.XLOOKUP(C634,[1]DIRETORIA!C:C,[1]DIRETORIA!B:B),"-")</f>
        <v>GST. COM BH E INT</v>
      </c>
      <c r="C634" s="28" t="str">
        <f>IFERROR(_xlfn.XLOOKUP(E634,[1]EMPREENDIMENTO!C:C,[1]EMPREENDIMENTO!A:A),"-")</f>
        <v>SETE LAGOAS</v>
      </c>
      <c r="D634" s="28" t="s">
        <v>29</v>
      </c>
      <c r="E634" s="28" t="s">
        <v>1202</v>
      </c>
      <c r="F634" s="28" t="s">
        <v>31</v>
      </c>
      <c r="G634" s="28" t="s">
        <v>1203</v>
      </c>
      <c r="H634" s="28">
        <v>29226</v>
      </c>
      <c r="I634" s="29">
        <f>IFERROR(_xlfn.XLOOKUP(E634,[1]EMPREENDIMENTO!C:C,[1]EMPREENDIMENTO!E:E),"0")</f>
        <v>244</v>
      </c>
      <c r="J634" s="30">
        <v>46598</v>
      </c>
      <c r="K634" s="28" t="s">
        <v>33</v>
      </c>
      <c r="L634" s="31">
        <v>46174</v>
      </c>
      <c r="M634" s="32">
        <v>57543725</v>
      </c>
      <c r="N634" s="32">
        <v>60526228</v>
      </c>
      <c r="O634" s="32">
        <v>60278310</v>
      </c>
      <c r="P634" s="28" t="s">
        <v>34</v>
      </c>
      <c r="Q634" s="28" t="s">
        <v>1204</v>
      </c>
      <c r="R634" s="30">
        <v>46171</v>
      </c>
      <c r="S634" s="30">
        <v>46174</v>
      </c>
      <c r="T634" s="33"/>
      <c r="U634" s="34" t="str">
        <f>IFERROR(_xlfn.XLOOKUP(E634,[1]EMPREENDIMENTO!C:C,[1]EMPREENDIMENTO!D:D),"")</f>
        <v>90d25946-b602-e811-b989-80c16e075108</v>
      </c>
    </row>
    <row r="635" spans="1:21" hidden="1" x14ac:dyDescent="0.35">
      <c r="A635" s="28" t="str">
        <f>IFERROR(_xlfn.XLOOKUP(C635,[1]DIRETORIA!C:C,[1]DIRETORIA!A:A),"-")</f>
        <v>DIR. COM E CRED MG E ES</v>
      </c>
      <c r="B635" s="28" t="str">
        <f>IFERROR(_xlfn.XLOOKUP(C635,[1]DIRETORIA!C:C,[1]DIRETORIA!B:B),"-")</f>
        <v>GST. COM BH E INT</v>
      </c>
      <c r="C635" s="28" t="str">
        <f>IFERROR(_xlfn.XLOOKUP(E635,[1]EMPREENDIMENTO!C:C,[1]EMPREENDIMENTO!A:A),"-")</f>
        <v>SETE LAGOAS</v>
      </c>
      <c r="D635" s="28" t="s">
        <v>29</v>
      </c>
      <c r="E635" s="28" t="s">
        <v>1202</v>
      </c>
      <c r="F635" s="28" t="s">
        <v>36</v>
      </c>
      <c r="G635" s="28" t="s">
        <v>1205</v>
      </c>
      <c r="H635" s="28">
        <v>44660</v>
      </c>
      <c r="I635" s="29">
        <f>IFERROR(_xlfn.XLOOKUP(E635,[1]EMPREENDIMENTO!C:C,[1]EMPREENDIMENTO!E:E),"0")</f>
        <v>244</v>
      </c>
      <c r="J635" s="30">
        <v>46598</v>
      </c>
      <c r="K635" s="28" t="s">
        <v>33</v>
      </c>
      <c r="L635" s="31">
        <v>46174</v>
      </c>
      <c r="M635" s="32">
        <v>57543725</v>
      </c>
      <c r="N635" s="32">
        <v>60526228</v>
      </c>
      <c r="O635" s="32">
        <v>60278310</v>
      </c>
      <c r="P635" s="28" t="s">
        <v>34</v>
      </c>
      <c r="Q635" s="28" t="s">
        <v>1204</v>
      </c>
      <c r="R635" s="30">
        <v>46171</v>
      </c>
      <c r="S635" s="30">
        <v>46174</v>
      </c>
      <c r="T635" s="33"/>
      <c r="U635" s="34" t="str">
        <f>IFERROR(_xlfn.XLOOKUP(E635,[1]EMPREENDIMENTO!C:C,[1]EMPREENDIMENTO!D:D),"")</f>
        <v>90d25946-b602-e811-b989-80c16e075108</v>
      </c>
    </row>
    <row r="636" spans="1:21" hidden="1" x14ac:dyDescent="0.35">
      <c r="A636" s="28" t="str">
        <f>IFERROR(_xlfn.XLOOKUP(C636,[1]DIRETORIA!C:C,[1]DIRETORIA!A:A),"-")</f>
        <v>DIR. COM E CRED MG E ES</v>
      </c>
      <c r="B636" s="28" t="str">
        <f>IFERROR(_xlfn.XLOOKUP(C636,[1]DIRETORIA!C:C,[1]DIRETORIA!B:B),"-")</f>
        <v>GST. COM BH E INT</v>
      </c>
      <c r="C636" s="28" t="str">
        <f>IFERROR(_xlfn.XLOOKUP(E636,[1]EMPREENDIMENTO!C:C,[1]EMPREENDIMENTO!A:A),"-")</f>
        <v>SETE LAGOAS</v>
      </c>
      <c r="D636" s="28" t="s">
        <v>85</v>
      </c>
      <c r="E636" s="28" t="s">
        <v>1202</v>
      </c>
      <c r="F636" s="28" t="s">
        <v>39</v>
      </c>
      <c r="G636" s="28" t="s">
        <v>268</v>
      </c>
      <c r="H636" s="28">
        <v>44659</v>
      </c>
      <c r="I636" s="29">
        <f>IFERROR(_xlfn.XLOOKUP(E636,[1]EMPREENDIMENTO!C:C,[1]EMPREENDIMENTO!E:E),"0")</f>
        <v>244</v>
      </c>
      <c r="J636" s="30">
        <v>46598</v>
      </c>
      <c r="K636" s="28" t="s">
        <v>33</v>
      </c>
      <c r="L636" s="31">
        <v>46174</v>
      </c>
      <c r="M636" s="32">
        <v>57543725</v>
      </c>
      <c r="N636" s="32">
        <v>60526228</v>
      </c>
      <c r="O636" s="32">
        <v>60278310</v>
      </c>
      <c r="P636" s="28" t="s">
        <v>34</v>
      </c>
      <c r="Q636" s="28" t="s">
        <v>1204</v>
      </c>
      <c r="R636" s="30">
        <v>46171</v>
      </c>
      <c r="S636" s="30">
        <v>46174</v>
      </c>
      <c r="T636" s="33"/>
      <c r="U636" s="34" t="str">
        <f>IFERROR(_xlfn.XLOOKUP(E636,[1]EMPREENDIMENTO!C:C,[1]EMPREENDIMENTO!D:D),"")</f>
        <v>90d25946-b602-e811-b989-80c16e075108</v>
      </c>
    </row>
    <row r="637" spans="1:21" hidden="1" x14ac:dyDescent="0.35">
      <c r="A637" s="28" t="str">
        <f>IFERROR(_xlfn.XLOOKUP(C637,[1]DIRETORIA!C:C,[1]DIRETORIA!A:A),"-")</f>
        <v>DIR. COM E CRED SP E VL</v>
      </c>
      <c r="B637" s="28" t="str">
        <f>IFERROR(_xlfn.XLOOKUP(C637,[1]DIRETORIA!C:C,[1]DIRETORIA!B:B),"-")</f>
        <v>GST. COM SP2</v>
      </c>
      <c r="C637" s="28" t="str">
        <f>IFERROR(_xlfn.XLOOKUP(E637,[1]EMPREENDIMENTO!C:C,[1]EMPREENDIMENTO!A:A),"-")</f>
        <v>SÃO PAULO</v>
      </c>
      <c r="D637" s="28" t="s">
        <v>29</v>
      </c>
      <c r="E637" s="28" t="s">
        <v>1206</v>
      </c>
      <c r="F637" s="28" t="s">
        <v>31</v>
      </c>
      <c r="G637" s="28" t="s">
        <v>1207</v>
      </c>
      <c r="H637" s="28">
        <v>39204</v>
      </c>
      <c r="I637" s="29">
        <f>IFERROR(_xlfn.XLOOKUP(E637,[1]EMPREENDIMENTO!C:C,[1]EMPREENDIMENTO!E:E),"0")</f>
        <v>312</v>
      </c>
      <c r="J637" s="30">
        <v>46766</v>
      </c>
      <c r="K637" s="28" t="s">
        <v>33</v>
      </c>
      <c r="L637" s="31">
        <v>46022</v>
      </c>
      <c r="M637" s="32">
        <v>91025500</v>
      </c>
      <c r="N637" s="32">
        <v>97235653</v>
      </c>
      <c r="O637" s="32">
        <v>92151728</v>
      </c>
      <c r="P637" s="28" t="s">
        <v>34</v>
      </c>
      <c r="Q637" s="28" t="s">
        <v>1208</v>
      </c>
      <c r="R637" s="30">
        <v>46160</v>
      </c>
      <c r="S637" s="30"/>
      <c r="T637" s="33" t="s">
        <v>1209</v>
      </c>
      <c r="U637" s="34" t="str">
        <f>IFERROR(_xlfn.XLOOKUP(E637,[1]EMPREENDIMENTO!C:C,[1]EMPREENDIMENTO!D:D),"")</f>
        <v>82f6155c-d177-ec11-b501-005056856b6c</v>
      </c>
    </row>
    <row r="638" spans="1:21" hidden="1" x14ac:dyDescent="0.35">
      <c r="A638" s="28" t="str">
        <f>IFERROR(_xlfn.XLOOKUP(C638,[1]DIRETORIA!C:C,[1]DIRETORIA!A:A),"-")</f>
        <v>DIR. COM E CRED SP E VL</v>
      </c>
      <c r="B638" s="28" t="str">
        <f>IFERROR(_xlfn.XLOOKUP(C638,[1]DIRETORIA!C:C,[1]DIRETORIA!B:B),"-")</f>
        <v>GST. COM SP2</v>
      </c>
      <c r="C638" s="28" t="str">
        <f>IFERROR(_xlfn.XLOOKUP(E638,[1]EMPREENDIMENTO!C:C,[1]EMPREENDIMENTO!A:A),"-")</f>
        <v>SÃO PAULO</v>
      </c>
      <c r="D638" s="28" t="s">
        <v>29</v>
      </c>
      <c r="E638" s="28" t="s">
        <v>1206</v>
      </c>
      <c r="F638" s="28" t="s">
        <v>36</v>
      </c>
      <c r="G638" s="28" t="s">
        <v>1210</v>
      </c>
      <c r="H638" s="28">
        <v>51338</v>
      </c>
      <c r="I638" s="29">
        <f>IFERROR(_xlfn.XLOOKUP(E638,[1]EMPREENDIMENTO!C:C,[1]EMPREENDIMENTO!E:E),"0")</f>
        <v>312</v>
      </c>
      <c r="J638" s="30">
        <v>46766</v>
      </c>
      <c r="K638" s="28" t="s">
        <v>33</v>
      </c>
      <c r="L638" s="31">
        <v>46022</v>
      </c>
      <c r="M638" s="32">
        <v>91025500</v>
      </c>
      <c r="N638" s="32">
        <v>97235653</v>
      </c>
      <c r="O638" s="32">
        <v>92151728</v>
      </c>
      <c r="P638" s="28" t="s">
        <v>34</v>
      </c>
      <c r="Q638" s="28" t="s">
        <v>1208</v>
      </c>
      <c r="R638" s="30">
        <v>46160</v>
      </c>
      <c r="S638" s="30"/>
      <c r="T638" s="33" t="s">
        <v>1209</v>
      </c>
      <c r="U638" s="34" t="str">
        <f>IFERROR(_xlfn.XLOOKUP(E638,[1]EMPREENDIMENTO!C:C,[1]EMPREENDIMENTO!D:D),"")</f>
        <v>82f6155c-d177-ec11-b501-005056856b6c</v>
      </c>
    </row>
    <row r="639" spans="1:21" hidden="1" x14ac:dyDescent="0.35">
      <c r="A639" s="28" t="str">
        <f>IFERROR(_xlfn.XLOOKUP(C639,[1]DIRETORIA!C:C,[1]DIRETORIA!A:A),"-")</f>
        <v>DIR. COM E CRED SP E VL</v>
      </c>
      <c r="B639" s="28" t="str">
        <f>IFERROR(_xlfn.XLOOKUP(C639,[1]DIRETORIA!C:C,[1]DIRETORIA!B:B),"-")</f>
        <v>GST. COM SP2</v>
      </c>
      <c r="C639" s="28" t="str">
        <f>IFERROR(_xlfn.XLOOKUP(E639,[1]EMPREENDIMENTO!C:C,[1]EMPREENDIMENTO!A:A),"-")</f>
        <v>SÃO PAULO</v>
      </c>
      <c r="D639" s="28" t="s">
        <v>29</v>
      </c>
      <c r="E639" s="28" t="s">
        <v>1211</v>
      </c>
      <c r="F639" s="28" t="s">
        <v>31</v>
      </c>
      <c r="G639" s="28" t="s">
        <v>1212</v>
      </c>
      <c r="H639" s="28">
        <v>42237</v>
      </c>
      <c r="I639" s="29">
        <f>IFERROR(_xlfn.XLOOKUP(E639,[1]EMPREENDIMENTO!C:C,[1]EMPREENDIMENTO!E:E),"0")</f>
        <v>540</v>
      </c>
      <c r="J639" s="30">
        <v>46566</v>
      </c>
      <c r="K639" s="28" t="s">
        <v>164</v>
      </c>
      <c r="L639" s="31">
        <v>46154</v>
      </c>
      <c r="M639" s="32">
        <v>165345000</v>
      </c>
      <c r="N639" s="32">
        <v>176800762</v>
      </c>
      <c r="O639" s="32">
        <v>172879186</v>
      </c>
      <c r="P639" s="28" t="s">
        <v>34</v>
      </c>
      <c r="Q639" s="28" t="s">
        <v>1213</v>
      </c>
      <c r="R639" s="30">
        <v>46148</v>
      </c>
      <c r="S639" s="30">
        <v>46155</v>
      </c>
      <c r="T639" s="33"/>
      <c r="U639" s="34" t="str">
        <f>IFERROR(_xlfn.XLOOKUP(E639,[1]EMPREENDIMENTO!C:C,[1]EMPREENDIMENTO!D:D),"")</f>
        <v>66138ecd-a061-eb11-aa45-005056856875</v>
      </c>
    </row>
    <row r="640" spans="1:21" hidden="1" x14ac:dyDescent="0.35">
      <c r="A640" s="28" t="str">
        <f>IFERROR(_xlfn.XLOOKUP(C640,[1]DIRETORIA!C:C,[1]DIRETORIA!A:A),"-")</f>
        <v>DIR. COM E CRED SP E VL</v>
      </c>
      <c r="B640" s="28" t="str">
        <f>IFERROR(_xlfn.XLOOKUP(C640,[1]DIRETORIA!C:C,[1]DIRETORIA!B:B),"-")</f>
        <v>GST. COM SP2</v>
      </c>
      <c r="C640" s="28" t="str">
        <f>IFERROR(_xlfn.XLOOKUP(E640,[1]EMPREENDIMENTO!C:C,[1]EMPREENDIMENTO!A:A),"-")</f>
        <v>SÃO PAULO</v>
      </c>
      <c r="D640" s="28" t="s">
        <v>29</v>
      </c>
      <c r="E640" s="28" t="s">
        <v>1211</v>
      </c>
      <c r="F640" s="28" t="s">
        <v>36</v>
      </c>
      <c r="G640" s="28" t="s">
        <v>1214</v>
      </c>
      <c r="H640" s="28">
        <v>45363</v>
      </c>
      <c r="I640" s="29">
        <f>IFERROR(_xlfn.XLOOKUP(E640,[1]EMPREENDIMENTO!C:C,[1]EMPREENDIMENTO!E:E),"0")</f>
        <v>540</v>
      </c>
      <c r="J640" s="30">
        <v>46566</v>
      </c>
      <c r="K640" s="28" t="s">
        <v>164</v>
      </c>
      <c r="L640" s="31">
        <v>46154</v>
      </c>
      <c r="M640" s="32">
        <v>165345000</v>
      </c>
      <c r="N640" s="32">
        <v>176800762</v>
      </c>
      <c r="O640" s="32">
        <v>172879186</v>
      </c>
      <c r="P640" s="28" t="s">
        <v>34</v>
      </c>
      <c r="Q640" s="28" t="s">
        <v>1213</v>
      </c>
      <c r="R640" s="30">
        <v>46148</v>
      </c>
      <c r="S640" s="30">
        <v>46186</v>
      </c>
      <c r="T640" s="33"/>
      <c r="U640" s="34" t="str">
        <f>IFERROR(_xlfn.XLOOKUP(E640,[1]EMPREENDIMENTO!C:C,[1]EMPREENDIMENTO!D:D),"")</f>
        <v>66138ecd-a061-eb11-aa45-005056856875</v>
      </c>
    </row>
    <row r="641" spans="1:21" hidden="1" x14ac:dyDescent="0.35">
      <c r="A641" s="28" t="str">
        <f>IFERROR(_xlfn.XLOOKUP(C641,[1]DIRETORIA!C:C,[1]DIRETORIA!A:A),"-")</f>
        <v>DIR. COM E CRED CO E AM</v>
      </c>
      <c r="B641" s="28" t="str">
        <f>IFERROR(_xlfn.XLOOKUP(C641,[1]DIRETORIA!C:C,[1]DIRETORIA!B:B),"-")</f>
        <v>GST. COM MT</v>
      </c>
      <c r="C641" s="28" t="str">
        <f>IFERROR(_xlfn.XLOOKUP(E641,[1]EMPREENDIMENTO!C:C,[1]EMPREENDIMENTO!A:A),"-")</f>
        <v>CUIABÁ</v>
      </c>
      <c r="D641" s="28" t="s">
        <v>29</v>
      </c>
      <c r="E641" s="28" t="s">
        <v>1215</v>
      </c>
      <c r="F641" s="28" t="s">
        <v>31</v>
      </c>
      <c r="G641" s="28" t="s">
        <v>1216</v>
      </c>
      <c r="H641" s="28">
        <v>42235</v>
      </c>
      <c r="I641" s="29">
        <f>IFERROR(_xlfn.XLOOKUP(E641,[1]EMPREENDIMENTO!C:C,[1]EMPREENDIMENTO!E:E),"0")</f>
        <v>496</v>
      </c>
      <c r="J641" s="30">
        <v>46660</v>
      </c>
      <c r="K641" s="28" t="s">
        <v>33</v>
      </c>
      <c r="L641" s="31">
        <v>45895</v>
      </c>
      <c r="M641" s="32">
        <v>113329243</v>
      </c>
      <c r="N641" s="32">
        <v>116305243</v>
      </c>
      <c r="O641" s="32">
        <v>116014739</v>
      </c>
      <c r="P641" s="28" t="s">
        <v>34</v>
      </c>
      <c r="Q641" s="28" t="s">
        <v>1217</v>
      </c>
      <c r="R641" s="30">
        <v>45897</v>
      </c>
      <c r="S641" s="30">
        <v>45896</v>
      </c>
      <c r="T641" s="33"/>
      <c r="U641" s="34" t="str">
        <f>IFERROR(_xlfn.XLOOKUP(E641,[1]EMPREENDIMENTO!C:C,[1]EMPREENDIMENTO!D:D),"")</f>
        <v>52c856e6-875e-ec11-b501-005056856b6c</v>
      </c>
    </row>
    <row r="642" spans="1:21" hidden="1" x14ac:dyDescent="0.35">
      <c r="A642" s="28" t="str">
        <f>IFERROR(_xlfn.XLOOKUP(C642,[1]DIRETORIA!C:C,[1]DIRETORIA!A:A),"-")</f>
        <v>DIR. COM E CRED CO E AM</v>
      </c>
      <c r="B642" s="28" t="str">
        <f>IFERROR(_xlfn.XLOOKUP(C642,[1]DIRETORIA!C:C,[1]DIRETORIA!B:B),"-")</f>
        <v>GST. COM MT</v>
      </c>
      <c r="C642" s="28" t="str">
        <f>IFERROR(_xlfn.XLOOKUP(E642,[1]EMPREENDIMENTO!C:C,[1]EMPREENDIMENTO!A:A),"-")</f>
        <v>CUIABÁ</v>
      </c>
      <c r="D642" s="28" t="s">
        <v>29</v>
      </c>
      <c r="E642" s="28" t="s">
        <v>1215</v>
      </c>
      <c r="F642" s="28" t="s">
        <v>36</v>
      </c>
      <c r="G642" s="28" t="s">
        <v>1218</v>
      </c>
      <c r="H642" s="28">
        <v>46064</v>
      </c>
      <c r="I642" s="29">
        <f>IFERROR(_xlfn.XLOOKUP(E642,[1]EMPREENDIMENTO!C:C,[1]EMPREENDIMENTO!E:E),"0")</f>
        <v>496</v>
      </c>
      <c r="J642" s="30">
        <v>46660</v>
      </c>
      <c r="K642" s="28" t="s">
        <v>33</v>
      </c>
      <c r="L642" s="31">
        <v>45895</v>
      </c>
      <c r="M642" s="32">
        <v>113329243</v>
      </c>
      <c r="N642" s="32">
        <v>116305243</v>
      </c>
      <c r="O642" s="32">
        <v>116014739</v>
      </c>
      <c r="P642" s="28" t="s">
        <v>34</v>
      </c>
      <c r="Q642" s="28" t="s">
        <v>1217</v>
      </c>
      <c r="R642" s="30">
        <v>45897</v>
      </c>
      <c r="S642" s="30">
        <v>45896</v>
      </c>
      <c r="T642" s="33"/>
      <c r="U642" s="34" t="str">
        <f>IFERROR(_xlfn.XLOOKUP(E642,[1]EMPREENDIMENTO!C:C,[1]EMPREENDIMENTO!D:D),"")</f>
        <v>52c856e6-875e-ec11-b501-005056856b6c</v>
      </c>
    </row>
    <row r="643" spans="1:21" hidden="1" x14ac:dyDescent="0.35">
      <c r="A643" s="28" t="str">
        <f>IFERROR(_xlfn.XLOOKUP(C643,[1]DIRETORIA!C:C,[1]DIRETORIA!A:A),"-")</f>
        <v>DIR. COM E CRED CO E AM</v>
      </c>
      <c r="B643" s="28" t="str">
        <f>IFERROR(_xlfn.XLOOKUP(C643,[1]DIRETORIA!C:C,[1]DIRETORIA!B:B),"-")</f>
        <v>GST. COM MT</v>
      </c>
      <c r="C643" s="28" t="str">
        <f>IFERROR(_xlfn.XLOOKUP(E643,[1]EMPREENDIMENTO!C:C,[1]EMPREENDIMENTO!A:A),"-")</f>
        <v>CUIABÁ</v>
      </c>
      <c r="D643" s="28" t="s">
        <v>29</v>
      </c>
      <c r="E643" s="28" t="s">
        <v>1215</v>
      </c>
      <c r="F643" s="28" t="s">
        <v>39</v>
      </c>
      <c r="G643" s="28" t="s">
        <v>1219</v>
      </c>
      <c r="H643" s="28">
        <v>50396</v>
      </c>
      <c r="I643" s="29">
        <f>IFERROR(_xlfn.XLOOKUP(E643,[1]EMPREENDIMENTO!C:C,[1]EMPREENDIMENTO!E:E),"0")</f>
        <v>496</v>
      </c>
      <c r="J643" s="30">
        <v>46660</v>
      </c>
      <c r="K643" s="28" t="s">
        <v>33</v>
      </c>
      <c r="L643" s="31">
        <v>45895</v>
      </c>
      <c r="M643" s="32">
        <v>113329243</v>
      </c>
      <c r="N643" s="32">
        <v>116305243</v>
      </c>
      <c r="O643" s="32">
        <v>116014739</v>
      </c>
      <c r="P643" s="28" t="s">
        <v>34</v>
      </c>
      <c r="Q643" s="28" t="s">
        <v>1217</v>
      </c>
      <c r="R643" s="30">
        <v>45897</v>
      </c>
      <c r="S643" s="30">
        <v>45896</v>
      </c>
      <c r="T643" s="33"/>
      <c r="U643" s="34" t="str">
        <f>IFERROR(_xlfn.XLOOKUP(E643,[1]EMPREENDIMENTO!C:C,[1]EMPREENDIMENTO!D:D),"")</f>
        <v>52c856e6-875e-ec11-b501-005056856b6c</v>
      </c>
    </row>
    <row r="644" spans="1:21" x14ac:dyDescent="0.35">
      <c r="A644" s="28" t="str">
        <f>IFERROR(_xlfn.XLOOKUP(C644,[1]DIRETORIA!C:C,[1]DIRETORIA!A:A),"-")</f>
        <v>DIR. COM E CRED SPI</v>
      </c>
      <c r="B644" s="28" t="str">
        <f>IFERROR(_xlfn.XLOOKUP(C644,[1]DIRETORIA!C:C,[1]DIRETORIA!B:B),"-")</f>
        <v>GST. COM OP 2</v>
      </c>
      <c r="C644" s="28" t="str">
        <f>IFERROR(_xlfn.XLOOKUP(E644,[1]EMPREENDIMENTO!C:C,[1]EMPREENDIMENTO!A:A),"-")</f>
        <v>MARÍLIA</v>
      </c>
      <c r="D644" s="28" t="s">
        <v>85</v>
      </c>
      <c r="E644" s="28" t="s">
        <v>1220</v>
      </c>
      <c r="F644" s="28" t="s">
        <v>42</v>
      </c>
      <c r="G644" s="28" t="s">
        <v>1221</v>
      </c>
      <c r="H644" s="28">
        <v>42556</v>
      </c>
      <c r="I644" s="29">
        <f>IFERROR(_xlfn.XLOOKUP(E644,[1]EMPREENDIMENTO!C:C,[1]EMPREENDIMENTO!E:E),"0")</f>
        <v>0</v>
      </c>
      <c r="J644" s="30"/>
      <c r="K644" s="28" t="s">
        <v>33</v>
      </c>
      <c r="L644" s="31">
        <v>45308</v>
      </c>
      <c r="M644" s="32">
        <v>113393000</v>
      </c>
      <c r="N644" s="32">
        <v>113393000</v>
      </c>
      <c r="O644" s="32">
        <v>111379400</v>
      </c>
      <c r="P644" s="28" t="s">
        <v>34</v>
      </c>
      <c r="Q644" s="28"/>
      <c r="R644" s="30"/>
      <c r="S644" s="30">
        <v>45308</v>
      </c>
      <c r="T644" s="33"/>
      <c r="U644" s="34" t="str">
        <f>IFERROR(_xlfn.XLOOKUP(E644,[1]EMPREENDIMENTO!C:C,[1]EMPREENDIMENTO!D:D),"")</f>
        <v>C90652E6-A6CF-EC11-B1AD-005056856875</v>
      </c>
    </row>
    <row r="645" spans="1:21" hidden="1" x14ac:dyDescent="0.35">
      <c r="A645" s="28" t="str">
        <f>IFERROR(_xlfn.XLOOKUP(C645,[1]DIRETORIA!C:C,[1]DIRETORIA!A:A),"-")</f>
        <v>DIR. COM E CRED SP E VL</v>
      </c>
      <c r="B645" s="28" t="str">
        <f>IFERROR(_xlfn.XLOOKUP(C645,[1]DIRETORIA!C:C,[1]DIRETORIA!B:B),"-")</f>
        <v>GST. COM SP2</v>
      </c>
      <c r="C645" s="28" t="str">
        <f>IFERROR(_xlfn.XLOOKUP(E645,[1]EMPREENDIMENTO!C:C,[1]EMPREENDIMENTO!A:A),"-")</f>
        <v>SÃO PAULO</v>
      </c>
      <c r="D645" s="28" t="s">
        <v>29</v>
      </c>
      <c r="E645" s="28" t="s">
        <v>1222</v>
      </c>
      <c r="F645" s="28" t="s">
        <v>31</v>
      </c>
      <c r="G645" s="28" t="s">
        <v>1223</v>
      </c>
      <c r="H645" s="28">
        <v>37936</v>
      </c>
      <c r="I645" s="29">
        <f>IFERROR(_xlfn.XLOOKUP(E645,[1]EMPREENDIMENTO!C:C,[1]EMPREENDIMENTO!E:E),"0")</f>
        <v>528</v>
      </c>
      <c r="J645" s="30">
        <v>46660</v>
      </c>
      <c r="K645" s="28" t="s">
        <v>33</v>
      </c>
      <c r="L645" s="31">
        <v>46140</v>
      </c>
      <c r="M645" s="32">
        <v>146929200</v>
      </c>
      <c r="N645" s="32">
        <v>162603190</v>
      </c>
      <c r="O645" s="32">
        <v>162260820</v>
      </c>
      <c r="P645" s="28" t="s">
        <v>34</v>
      </c>
      <c r="Q645" s="28" t="s">
        <v>1224</v>
      </c>
      <c r="R645" s="30">
        <v>46148</v>
      </c>
      <c r="S645" s="30">
        <v>46140</v>
      </c>
      <c r="T645" s="33"/>
      <c r="U645" s="34" t="str">
        <f>IFERROR(_xlfn.XLOOKUP(E645,[1]EMPREENDIMENTO!C:C,[1]EMPREENDIMENTO!D:D),"")</f>
        <v>a17e124e-d2f7-ec11-ba45-005056890018</v>
      </c>
    </row>
    <row r="646" spans="1:21" hidden="1" x14ac:dyDescent="0.35">
      <c r="A646" s="28" t="str">
        <f>IFERROR(_xlfn.XLOOKUP(C646,[1]DIRETORIA!C:C,[1]DIRETORIA!A:A),"-")</f>
        <v>DIR. COM E CRED SP E VL</v>
      </c>
      <c r="B646" s="28" t="str">
        <f>IFERROR(_xlfn.XLOOKUP(C646,[1]DIRETORIA!C:C,[1]DIRETORIA!B:B),"-")</f>
        <v>GST. COM SP2</v>
      </c>
      <c r="C646" s="28" t="str">
        <f>IFERROR(_xlfn.XLOOKUP(E646,[1]EMPREENDIMENTO!C:C,[1]EMPREENDIMENTO!A:A),"-")</f>
        <v>SÃO PAULO</v>
      </c>
      <c r="D646" s="28" t="s">
        <v>29</v>
      </c>
      <c r="E646" s="28" t="s">
        <v>1222</v>
      </c>
      <c r="F646" s="28" t="s">
        <v>36</v>
      </c>
      <c r="G646" s="28" t="s">
        <v>1225</v>
      </c>
      <c r="H646" s="28">
        <v>45126</v>
      </c>
      <c r="I646" s="29">
        <f>IFERROR(_xlfn.XLOOKUP(E646,[1]EMPREENDIMENTO!C:C,[1]EMPREENDIMENTO!E:E),"0")</f>
        <v>528</v>
      </c>
      <c r="J646" s="30">
        <v>46660</v>
      </c>
      <c r="K646" s="28" t="s">
        <v>33</v>
      </c>
      <c r="L646" s="31">
        <v>46140</v>
      </c>
      <c r="M646" s="32">
        <v>146929200</v>
      </c>
      <c r="N646" s="32">
        <v>162603190</v>
      </c>
      <c r="O646" s="32">
        <v>162260820</v>
      </c>
      <c r="P646" s="28" t="s">
        <v>34</v>
      </c>
      <c r="Q646" s="28" t="s">
        <v>1224</v>
      </c>
      <c r="R646" s="30">
        <v>46148</v>
      </c>
      <c r="S646" s="30">
        <v>46140</v>
      </c>
      <c r="T646" s="33"/>
      <c r="U646" s="34" t="str">
        <f>IFERROR(_xlfn.XLOOKUP(E646,[1]EMPREENDIMENTO!C:C,[1]EMPREENDIMENTO!D:D),"")</f>
        <v>a17e124e-d2f7-ec11-ba45-005056890018</v>
      </c>
    </row>
    <row r="647" spans="1:21" hidden="1" x14ac:dyDescent="0.35">
      <c r="A647" s="28" t="str">
        <f>IFERROR(_xlfn.XLOOKUP(C647,[1]DIRETORIA!C:C,[1]DIRETORIA!A:A),"-")</f>
        <v>DIR. COM E CRED NE</v>
      </c>
      <c r="B647" s="28" t="str">
        <f>IFERROR(_xlfn.XLOOKUP(C647,[1]DIRETORIA!C:C,[1]DIRETORIA!B:B),"-")</f>
        <v>GST. COM NE2 (PE)</v>
      </c>
      <c r="C647" s="28" t="str">
        <f>IFERROR(_xlfn.XLOOKUP(E647,[1]EMPREENDIMENTO!C:C,[1]EMPREENDIMENTO!A:A),"-")</f>
        <v>JABOATÃO DOS GUARARAPES</v>
      </c>
      <c r="D647" s="28" t="s">
        <v>29</v>
      </c>
      <c r="E647" s="28" t="s">
        <v>1226</v>
      </c>
      <c r="F647" s="28" t="s">
        <v>31</v>
      </c>
      <c r="G647" s="28" t="s">
        <v>1227</v>
      </c>
      <c r="H647" s="28">
        <v>40908</v>
      </c>
      <c r="I647" s="29">
        <f>IFERROR(_xlfn.XLOOKUP(E647,[1]EMPREENDIMENTO!C:C,[1]EMPREENDIMENTO!E:E),"0")</f>
        <v>580</v>
      </c>
      <c r="J647" s="30">
        <v>46748</v>
      </c>
      <c r="K647" s="28" t="s">
        <v>33</v>
      </c>
      <c r="L647" s="31">
        <v>46168</v>
      </c>
      <c r="M647" s="32">
        <v>136383220</v>
      </c>
      <c r="N647" s="32">
        <v>144457714</v>
      </c>
      <c r="O647" s="32">
        <v>142237130</v>
      </c>
      <c r="P647" s="28" t="s">
        <v>34</v>
      </c>
      <c r="Q647" s="28" t="s">
        <v>1228</v>
      </c>
      <c r="R647" s="30">
        <v>46169</v>
      </c>
      <c r="S647" s="30">
        <v>46169</v>
      </c>
      <c r="T647" s="33"/>
      <c r="U647" s="34" t="str">
        <f>IFERROR(_xlfn.XLOOKUP(E647,[1]EMPREENDIMENTO!C:C,[1]EMPREENDIMENTO!D:D),"")</f>
        <v>d7490980-87e3-e811-b503-009c02b0cb58</v>
      </c>
    </row>
    <row r="648" spans="1:21" hidden="1" x14ac:dyDescent="0.35">
      <c r="A648" s="28" t="str">
        <f>IFERROR(_xlfn.XLOOKUP(C648,[1]DIRETORIA!C:C,[1]DIRETORIA!A:A),"-")</f>
        <v>DIR. COM E CRED NE</v>
      </c>
      <c r="B648" s="28" t="str">
        <f>IFERROR(_xlfn.XLOOKUP(C648,[1]DIRETORIA!C:C,[1]DIRETORIA!B:B),"-")</f>
        <v>GST. COM NE2 (PE)</v>
      </c>
      <c r="C648" s="28" t="str">
        <f>IFERROR(_xlfn.XLOOKUP(E648,[1]EMPREENDIMENTO!C:C,[1]EMPREENDIMENTO!A:A),"-")</f>
        <v>JABOATÃO DOS GUARARAPES</v>
      </c>
      <c r="D648" s="28" t="s">
        <v>29</v>
      </c>
      <c r="E648" s="28" t="s">
        <v>1226</v>
      </c>
      <c r="F648" s="28" t="s">
        <v>36</v>
      </c>
      <c r="G648" s="28" t="s">
        <v>1229</v>
      </c>
      <c r="H648" s="28">
        <v>50923</v>
      </c>
      <c r="I648" s="29">
        <f>IFERROR(_xlfn.XLOOKUP(E648,[1]EMPREENDIMENTO!C:C,[1]EMPREENDIMENTO!E:E),"0")</f>
        <v>580</v>
      </c>
      <c r="J648" s="30">
        <v>46748</v>
      </c>
      <c r="K648" s="28" t="s">
        <v>33</v>
      </c>
      <c r="L648" s="31">
        <v>46168</v>
      </c>
      <c r="M648" s="32">
        <v>136383220</v>
      </c>
      <c r="N648" s="32">
        <v>144457714</v>
      </c>
      <c r="O648" s="32">
        <v>142237130</v>
      </c>
      <c r="P648" s="28" t="s">
        <v>34</v>
      </c>
      <c r="Q648" s="28" t="s">
        <v>1228</v>
      </c>
      <c r="R648" s="30">
        <v>46169</v>
      </c>
      <c r="S648" s="30">
        <v>46169</v>
      </c>
      <c r="T648" s="33"/>
      <c r="U648" s="34" t="str">
        <f>IFERROR(_xlfn.XLOOKUP(E648,[1]EMPREENDIMENTO!C:C,[1]EMPREENDIMENTO!D:D),"")</f>
        <v>d7490980-87e3-e811-b503-009c02b0cb58</v>
      </c>
    </row>
    <row r="649" spans="1:21" hidden="1" x14ac:dyDescent="0.35">
      <c r="A649" s="28" t="str">
        <f>IFERROR(_xlfn.XLOOKUP(C649,[1]DIRETORIA!C:C,[1]DIRETORIA!A:A),"-")</f>
        <v>DIR. COM E CRED NE</v>
      </c>
      <c r="B649" s="28" t="str">
        <f>IFERROR(_xlfn.XLOOKUP(C649,[1]DIRETORIA!C:C,[1]DIRETORIA!B:B),"-")</f>
        <v>GST. COM NE2 (PE)</v>
      </c>
      <c r="C649" s="28" t="str">
        <f>IFERROR(_xlfn.XLOOKUP(E649,[1]EMPREENDIMENTO!C:C,[1]EMPREENDIMENTO!A:A),"-")</f>
        <v>JABOATÃO DOS GUARARAPES</v>
      </c>
      <c r="D649" s="28" t="s">
        <v>29</v>
      </c>
      <c r="E649" s="28" t="s">
        <v>1226</v>
      </c>
      <c r="F649" s="28" t="s">
        <v>39</v>
      </c>
      <c r="G649" s="28" t="s">
        <v>1230</v>
      </c>
      <c r="H649" s="28">
        <v>51778</v>
      </c>
      <c r="I649" s="29">
        <f>IFERROR(_xlfn.XLOOKUP(E649,[1]EMPREENDIMENTO!C:C,[1]EMPREENDIMENTO!E:E),"0")</f>
        <v>580</v>
      </c>
      <c r="J649" s="30">
        <v>46748</v>
      </c>
      <c r="K649" s="28" t="s">
        <v>33</v>
      </c>
      <c r="L649" s="31">
        <v>46168</v>
      </c>
      <c r="M649" s="32">
        <v>136383220</v>
      </c>
      <c r="N649" s="32">
        <v>144457714</v>
      </c>
      <c r="O649" s="32">
        <v>142237130</v>
      </c>
      <c r="P649" s="28" t="s">
        <v>34</v>
      </c>
      <c r="Q649" s="28" t="s">
        <v>1228</v>
      </c>
      <c r="R649" s="30">
        <v>46169</v>
      </c>
      <c r="S649" s="30">
        <v>46169</v>
      </c>
      <c r="T649" s="33"/>
      <c r="U649" s="34" t="str">
        <f>IFERROR(_xlfn.XLOOKUP(E649,[1]EMPREENDIMENTO!C:C,[1]EMPREENDIMENTO!D:D),"")</f>
        <v>d7490980-87e3-e811-b503-009c02b0cb58</v>
      </c>
    </row>
    <row r="650" spans="1:21" hidden="1" x14ac:dyDescent="0.35">
      <c r="A650" s="28" t="str">
        <f>IFERROR(_xlfn.XLOOKUP(C650,[1]DIRETORIA!C:C,[1]DIRETORIA!A:A),"-")</f>
        <v>DIR. COM E CRED NE</v>
      </c>
      <c r="B650" s="28" t="str">
        <f>IFERROR(_xlfn.XLOOKUP(C650,[1]DIRETORIA!C:C,[1]DIRETORIA!B:B),"-")</f>
        <v>GST. COM NE2 (PE)</v>
      </c>
      <c r="C650" s="28" t="str">
        <f>IFERROR(_xlfn.XLOOKUP(E650,[1]EMPREENDIMENTO!C:C,[1]EMPREENDIMENTO!A:A),"-")</f>
        <v>JABOATÃO DOS GUARARAPES</v>
      </c>
      <c r="D650" s="28" t="s">
        <v>29</v>
      </c>
      <c r="E650" s="28" t="s">
        <v>1226</v>
      </c>
      <c r="F650" s="28" t="s">
        <v>50</v>
      </c>
      <c r="G650" s="28" t="s">
        <v>1231</v>
      </c>
      <c r="H650" s="28">
        <v>53968</v>
      </c>
      <c r="I650" s="29">
        <f>IFERROR(_xlfn.XLOOKUP(E650,[1]EMPREENDIMENTO!C:C,[1]EMPREENDIMENTO!E:E),"0")</f>
        <v>580</v>
      </c>
      <c r="J650" s="30">
        <v>46748</v>
      </c>
      <c r="K650" s="28" t="s">
        <v>33</v>
      </c>
      <c r="L650" s="31">
        <v>46168</v>
      </c>
      <c r="M650" s="32">
        <v>136383220</v>
      </c>
      <c r="N650" s="32">
        <v>144457714</v>
      </c>
      <c r="O650" s="32">
        <v>142237130</v>
      </c>
      <c r="P650" s="28" t="s">
        <v>34</v>
      </c>
      <c r="Q650" s="28" t="s">
        <v>1228</v>
      </c>
      <c r="R650" s="30">
        <v>46169</v>
      </c>
      <c r="S650" s="30">
        <v>46169</v>
      </c>
      <c r="T650" s="33"/>
      <c r="U650" s="34" t="str">
        <f>IFERROR(_xlfn.XLOOKUP(E650,[1]EMPREENDIMENTO!C:C,[1]EMPREENDIMENTO!D:D),"")</f>
        <v>d7490980-87e3-e811-b503-009c02b0cb58</v>
      </c>
    </row>
    <row r="651" spans="1:21" hidden="1" x14ac:dyDescent="0.35">
      <c r="A651" s="28" t="str">
        <f>IFERROR(_xlfn.XLOOKUP(C651,[1]DIRETORIA!C:C,[1]DIRETORIA!A:A),"-")</f>
        <v>DIR. COM E CRED NE</v>
      </c>
      <c r="B651" s="28" t="str">
        <f>IFERROR(_xlfn.XLOOKUP(C651,[1]DIRETORIA!C:C,[1]DIRETORIA!B:B),"-")</f>
        <v>GST. COM NE 7 (PI+MA)</v>
      </c>
      <c r="C651" s="28" t="str">
        <f>IFERROR(_xlfn.XLOOKUP(E651,[1]EMPREENDIMENTO!C:C,[1]EMPREENDIMENTO!A:A),"-")</f>
        <v>SÃO LUÍS</v>
      </c>
      <c r="D651" s="28" t="s">
        <v>29</v>
      </c>
      <c r="E651" s="28" t="s">
        <v>1232</v>
      </c>
      <c r="F651" s="28" t="s">
        <v>42</v>
      </c>
      <c r="G651" s="28" t="s">
        <v>1233</v>
      </c>
      <c r="H651" s="28">
        <v>34876</v>
      </c>
      <c r="I651" s="29">
        <f>IFERROR(_xlfn.XLOOKUP(E651,[1]EMPREENDIMENTO!C:C,[1]EMPREENDIMENTO!E:E),"0")</f>
        <v>360</v>
      </c>
      <c r="J651" s="30">
        <v>46538</v>
      </c>
      <c r="K651" s="28" t="s">
        <v>33</v>
      </c>
      <c r="L651" s="31">
        <v>45519</v>
      </c>
      <c r="M651" s="32">
        <v>90277000</v>
      </c>
      <c r="N651" s="32">
        <v>97266609</v>
      </c>
      <c r="O651" s="32">
        <v>96223918</v>
      </c>
      <c r="P651" s="28" t="s">
        <v>34</v>
      </c>
      <c r="Q651" s="28" t="s">
        <v>1234</v>
      </c>
      <c r="R651" s="30">
        <v>45520</v>
      </c>
      <c r="S651" s="30">
        <v>45520</v>
      </c>
      <c r="T651" s="33"/>
      <c r="U651" s="34" t="str">
        <f>IFERROR(_xlfn.XLOOKUP(E651,[1]EMPREENDIMENTO!C:C,[1]EMPREENDIMENTO!D:D),"")</f>
        <v>b951fbcd-685a-eb11-ac7f-005056856875</v>
      </c>
    </row>
    <row r="652" spans="1:21" hidden="1" x14ac:dyDescent="0.35">
      <c r="A652" s="28" t="str">
        <f>IFERROR(_xlfn.XLOOKUP(C652,[1]DIRETORIA!C:C,[1]DIRETORIA!A:A),"-")</f>
        <v>DIR. COM E CRED SP E VL</v>
      </c>
      <c r="B652" s="28" t="str">
        <f>IFERROR(_xlfn.XLOOKUP(C652,[1]DIRETORIA!C:C,[1]DIRETORIA!B:B),"-")</f>
        <v>GST. COM VL1</v>
      </c>
      <c r="C652" s="28" t="str">
        <f>IFERROR(_xlfn.XLOOKUP(E652,[1]EMPREENDIMENTO!C:C,[1]EMPREENDIMENTO!A:A),"-")</f>
        <v>SÃO JOSÉ DOS CAMPOS</v>
      </c>
      <c r="D652" s="28" t="s">
        <v>29</v>
      </c>
      <c r="E652" s="28" t="s">
        <v>1235</v>
      </c>
      <c r="F652" s="28" t="s">
        <v>42</v>
      </c>
      <c r="G652" s="28" t="s">
        <v>1236</v>
      </c>
      <c r="H652" s="28">
        <v>42583</v>
      </c>
      <c r="I652" s="29">
        <f>IFERROR(_xlfn.XLOOKUP(E652,[1]EMPREENDIMENTO!C:C,[1]EMPREENDIMENTO!E:E),"0")</f>
        <v>288</v>
      </c>
      <c r="J652" s="30">
        <v>46660</v>
      </c>
      <c r="K652" s="28" t="s">
        <v>33</v>
      </c>
      <c r="L652" s="31">
        <v>45748</v>
      </c>
      <c r="M652" s="32">
        <v>90833100</v>
      </c>
      <c r="N652" s="32"/>
      <c r="O652" s="32"/>
      <c r="P652" s="28" t="s">
        <v>34</v>
      </c>
      <c r="Q652" s="28" t="s">
        <v>1237</v>
      </c>
      <c r="R652" s="30">
        <v>45913</v>
      </c>
      <c r="S652" s="30">
        <v>45546</v>
      </c>
      <c r="T652" s="33"/>
      <c r="U652" s="34" t="str">
        <f>IFERROR(_xlfn.XLOOKUP(E652,[1]EMPREENDIMENTO!C:C,[1]EMPREENDIMENTO!D:D),"")</f>
        <v>ffcc5884-3b1f-e911-b503-009c02b0cb58</v>
      </c>
    </row>
    <row r="653" spans="1:21" hidden="1" x14ac:dyDescent="0.35">
      <c r="A653" s="28" t="str">
        <f>IFERROR(_xlfn.XLOOKUP(C653,[1]DIRETORIA!C:C,[1]DIRETORIA!A:A),"-")</f>
        <v>DIR. COM E CRED RJ</v>
      </c>
      <c r="B653" s="28" t="str">
        <f>IFERROR(_xlfn.XLOOKUP(C653,[1]DIRETORIA!C:C,[1]DIRETORIA!B:B),"-")</f>
        <v>GST. COM RJ2</v>
      </c>
      <c r="C653" s="28" t="str">
        <f>IFERROR(_xlfn.XLOOKUP(E653,[1]EMPREENDIMENTO!C:C,[1]EMPREENDIMENTO!A:A),"-")</f>
        <v>DUQUE DE CAXIAS</v>
      </c>
      <c r="D653" s="28" t="s">
        <v>29</v>
      </c>
      <c r="E653" s="28" t="s">
        <v>1238</v>
      </c>
      <c r="F653" s="28" t="s">
        <v>31</v>
      </c>
      <c r="G653" s="28" t="s">
        <v>1239</v>
      </c>
      <c r="H653" s="28">
        <v>41688</v>
      </c>
      <c r="I653" s="29">
        <f>IFERROR(_xlfn.XLOOKUP(E653,[1]EMPREENDIMENTO!C:C,[1]EMPREENDIMENTO!E:E),"0")</f>
        <v>612</v>
      </c>
      <c r="J653" s="30">
        <v>46664</v>
      </c>
      <c r="K653" s="28" t="s">
        <v>33</v>
      </c>
      <c r="L653" s="31">
        <v>46224</v>
      </c>
      <c r="M653" s="32">
        <v>169393103</v>
      </c>
      <c r="N653" s="32">
        <v>187665217</v>
      </c>
      <c r="O653" s="32">
        <v>177776400</v>
      </c>
      <c r="P653" s="28" t="s">
        <v>34</v>
      </c>
      <c r="Q653" s="28" t="s">
        <v>1240</v>
      </c>
      <c r="R653" s="30">
        <v>46223</v>
      </c>
      <c r="S653" s="30">
        <v>46225</v>
      </c>
      <c r="T653" s="33"/>
      <c r="U653" s="34" t="str">
        <f>IFERROR(_xlfn.XLOOKUP(E653,[1]EMPREENDIMENTO!C:C,[1]EMPREENDIMENTO!D:D),"")</f>
        <v>910b82b0-09b9-ed11-98d9-009c02b0cb58</v>
      </c>
    </row>
    <row r="654" spans="1:21" hidden="1" x14ac:dyDescent="0.35">
      <c r="A654" s="28" t="str">
        <f>IFERROR(_xlfn.XLOOKUP(C654,[1]DIRETORIA!C:C,[1]DIRETORIA!A:A),"-")</f>
        <v>DIR. COM E CRED RJ</v>
      </c>
      <c r="B654" s="28" t="str">
        <f>IFERROR(_xlfn.XLOOKUP(C654,[1]DIRETORIA!C:C,[1]DIRETORIA!B:B),"-")</f>
        <v>GST. COM RJ2</v>
      </c>
      <c r="C654" s="28" t="str">
        <f>IFERROR(_xlfn.XLOOKUP(E654,[1]EMPREENDIMENTO!C:C,[1]EMPREENDIMENTO!A:A),"-")</f>
        <v>DUQUE DE CAXIAS</v>
      </c>
      <c r="D654" s="28" t="s">
        <v>29</v>
      </c>
      <c r="E654" s="28" t="s">
        <v>1238</v>
      </c>
      <c r="F654" s="28" t="s">
        <v>36</v>
      </c>
      <c r="G654" s="28" t="s">
        <v>1241</v>
      </c>
      <c r="H654" s="28">
        <v>51787</v>
      </c>
      <c r="I654" s="29">
        <f>IFERROR(_xlfn.XLOOKUP(E654,[1]EMPREENDIMENTO!C:C,[1]EMPREENDIMENTO!E:E),"0")</f>
        <v>612</v>
      </c>
      <c r="J654" s="30">
        <v>46664</v>
      </c>
      <c r="K654" s="28" t="s">
        <v>33</v>
      </c>
      <c r="L654" s="31">
        <v>46224</v>
      </c>
      <c r="M654" s="32">
        <v>169393103</v>
      </c>
      <c r="N654" s="32">
        <v>187665217</v>
      </c>
      <c r="O654" s="32">
        <v>177776400</v>
      </c>
      <c r="P654" s="28" t="s">
        <v>34</v>
      </c>
      <c r="Q654" s="28" t="s">
        <v>1240</v>
      </c>
      <c r="R654" s="30">
        <v>46223</v>
      </c>
      <c r="S654" s="30">
        <v>46225</v>
      </c>
      <c r="T654" s="33"/>
      <c r="U654" s="34" t="str">
        <f>IFERROR(_xlfn.XLOOKUP(E654,[1]EMPREENDIMENTO!C:C,[1]EMPREENDIMENTO!D:D),"")</f>
        <v>910b82b0-09b9-ed11-98d9-009c02b0cb58</v>
      </c>
    </row>
    <row r="655" spans="1:21" hidden="1" x14ac:dyDescent="0.35">
      <c r="A655" s="28" t="str">
        <f>IFERROR(_xlfn.XLOOKUP(C655,[1]DIRETORIA!C:C,[1]DIRETORIA!A:A),"-")</f>
        <v>DIR. COM E CRED RJ</v>
      </c>
      <c r="B655" s="28" t="str">
        <f>IFERROR(_xlfn.XLOOKUP(C655,[1]DIRETORIA!C:C,[1]DIRETORIA!B:B),"-")</f>
        <v>GST. COM RJ2</v>
      </c>
      <c r="C655" s="28" t="str">
        <f>IFERROR(_xlfn.XLOOKUP(E655,[1]EMPREENDIMENTO!C:C,[1]EMPREENDIMENTO!A:A),"-")</f>
        <v>DUQUE DE CAXIAS</v>
      </c>
      <c r="D655" s="28" t="s">
        <v>85</v>
      </c>
      <c r="E655" s="28" t="s">
        <v>1238</v>
      </c>
      <c r="F655" s="28" t="s">
        <v>39</v>
      </c>
      <c r="G655" s="28" t="s">
        <v>268</v>
      </c>
      <c r="H655" s="28">
        <v>51788</v>
      </c>
      <c r="I655" s="29">
        <f>IFERROR(_xlfn.XLOOKUP(E655,[1]EMPREENDIMENTO!C:C,[1]EMPREENDIMENTO!E:E),"0")</f>
        <v>612</v>
      </c>
      <c r="J655" s="30">
        <v>46664</v>
      </c>
      <c r="K655" s="28" t="s">
        <v>33</v>
      </c>
      <c r="L655" s="31">
        <v>46224</v>
      </c>
      <c r="M655" s="32">
        <v>169393103</v>
      </c>
      <c r="N655" s="32">
        <v>187665217</v>
      </c>
      <c r="O655" s="32">
        <v>177776400</v>
      </c>
      <c r="P655" s="28" t="s">
        <v>34</v>
      </c>
      <c r="Q655" s="28" t="s">
        <v>1240</v>
      </c>
      <c r="R655" s="30">
        <v>46223</v>
      </c>
      <c r="S655" s="30">
        <v>46225</v>
      </c>
      <c r="T655" s="33"/>
      <c r="U655" s="34" t="str">
        <f>IFERROR(_xlfn.XLOOKUP(E655,[1]EMPREENDIMENTO!C:C,[1]EMPREENDIMENTO!D:D),"")</f>
        <v>910b82b0-09b9-ed11-98d9-009c02b0cb58</v>
      </c>
    </row>
    <row r="656" spans="1:21" hidden="1" x14ac:dyDescent="0.35">
      <c r="A656" s="28" t="str">
        <f>IFERROR(_xlfn.XLOOKUP(C656,[1]DIRETORIA!C:C,[1]DIRETORIA!A:A),"-")</f>
        <v>DIR. COM E CRED SUL</v>
      </c>
      <c r="B656" s="28" t="str">
        <f>IFERROR(_xlfn.XLOOKUP(C656,[1]DIRETORIA!C:C,[1]DIRETORIA!B:B),"-")</f>
        <v>GST. COM SC</v>
      </c>
      <c r="C656" s="28" t="str">
        <f>IFERROR(_xlfn.XLOOKUP(E656,[1]EMPREENDIMENTO!C:C,[1]EMPREENDIMENTO!A:A),"-")</f>
        <v>JOINVILLE</v>
      </c>
      <c r="D656" s="28" t="s">
        <v>29</v>
      </c>
      <c r="E656" s="28" t="s">
        <v>1242</v>
      </c>
      <c r="F656" s="28" t="s">
        <v>31</v>
      </c>
      <c r="G656" s="28" t="s">
        <v>1243</v>
      </c>
      <c r="H656" s="28">
        <v>61173</v>
      </c>
      <c r="I656" s="29">
        <f>IFERROR(_xlfn.XLOOKUP(E656,[1]EMPREENDIMENTO!C:C,[1]EMPREENDIMENTO!E:E),"0")</f>
        <v>300</v>
      </c>
      <c r="J656" s="30"/>
      <c r="K656" s="28" t="s">
        <v>33</v>
      </c>
      <c r="L656" s="31">
        <v>46174</v>
      </c>
      <c r="M656" s="32">
        <v>73779000</v>
      </c>
      <c r="N656" s="32">
        <v>79629000</v>
      </c>
      <c r="O656" s="32">
        <v>76083000</v>
      </c>
      <c r="P656" s="28" t="s">
        <v>81</v>
      </c>
      <c r="Q656" s="28">
        <v>834288</v>
      </c>
      <c r="R656" s="30">
        <v>46195</v>
      </c>
      <c r="S656" s="30">
        <v>46174</v>
      </c>
      <c r="T656" s="33"/>
      <c r="U656" s="34" t="str">
        <f>IFERROR(_xlfn.XLOOKUP(E656,[1]EMPREENDIMENTO!C:C,[1]EMPREENDIMENTO!D:D),"")</f>
        <v>9E862FCF-989B-E611-B1E9-009C02B0CB58</v>
      </c>
    </row>
    <row r="657" spans="1:21" hidden="1" x14ac:dyDescent="0.35">
      <c r="A657" s="28" t="str">
        <f>IFERROR(_xlfn.XLOOKUP(C657,[1]DIRETORIA!C:C,[1]DIRETORIA!A:A),"-")</f>
        <v>DIR. COM E CRED SUL</v>
      </c>
      <c r="B657" s="28" t="str">
        <f>IFERROR(_xlfn.XLOOKUP(C657,[1]DIRETORIA!C:C,[1]DIRETORIA!B:B),"-")</f>
        <v>GST. COM SC</v>
      </c>
      <c r="C657" s="28" t="str">
        <f>IFERROR(_xlfn.XLOOKUP(E657,[1]EMPREENDIMENTO!C:C,[1]EMPREENDIMENTO!A:A),"-")</f>
        <v>JOINVILLE</v>
      </c>
      <c r="D657" s="28" t="s">
        <v>85</v>
      </c>
      <c r="E657" s="28" t="s">
        <v>1242</v>
      </c>
      <c r="F657" s="28" t="s">
        <v>36</v>
      </c>
      <c r="G657" s="28" t="s">
        <v>1244</v>
      </c>
      <c r="H657" s="28">
        <v>67066</v>
      </c>
      <c r="I657" s="29">
        <f>IFERROR(_xlfn.XLOOKUP(E657,[1]EMPREENDIMENTO!C:C,[1]EMPREENDIMENTO!E:E),"0")</f>
        <v>300</v>
      </c>
      <c r="J657" s="30"/>
      <c r="K657" s="28" t="s">
        <v>33</v>
      </c>
      <c r="L657" s="31">
        <v>46174</v>
      </c>
      <c r="M657" s="32">
        <v>73779000</v>
      </c>
      <c r="N657" s="32">
        <v>79629000</v>
      </c>
      <c r="O657" s="32">
        <v>76083000</v>
      </c>
      <c r="P657" s="28" t="s">
        <v>81</v>
      </c>
      <c r="Q657" s="28">
        <v>834288</v>
      </c>
      <c r="R657" s="30">
        <v>46195</v>
      </c>
      <c r="S657" s="30">
        <v>46174</v>
      </c>
      <c r="T657" s="33"/>
      <c r="U657" s="34" t="str">
        <f>IFERROR(_xlfn.XLOOKUP(E657,[1]EMPREENDIMENTO!C:C,[1]EMPREENDIMENTO!D:D),"")</f>
        <v>9E862FCF-989B-E611-B1E9-009C02B0CB58</v>
      </c>
    </row>
    <row r="658" spans="1:21" hidden="1" x14ac:dyDescent="0.35">
      <c r="A658" s="28" t="str">
        <f>IFERROR(_xlfn.XLOOKUP(C658,[1]DIRETORIA!C:C,[1]DIRETORIA!A:A),"-")</f>
        <v>DIR. COM E CRED SUL</v>
      </c>
      <c r="B658" s="28" t="str">
        <f>IFERROR(_xlfn.XLOOKUP(C658,[1]DIRETORIA!C:C,[1]DIRETORIA!B:B),"-")</f>
        <v>GST. COM RS SUL</v>
      </c>
      <c r="C658" s="28" t="str">
        <f>IFERROR(_xlfn.XLOOKUP(E658,[1]EMPREENDIMENTO!C:C,[1]EMPREENDIMENTO!A:A),"-")</f>
        <v>PORTO ALEGRE</v>
      </c>
      <c r="D658" s="28" t="s">
        <v>29</v>
      </c>
      <c r="E658" s="28" t="s">
        <v>1245</v>
      </c>
      <c r="F658" s="28" t="s">
        <v>42</v>
      </c>
      <c r="G658" s="28" t="s">
        <v>1246</v>
      </c>
      <c r="H658" s="28">
        <v>51933</v>
      </c>
      <c r="I658" s="29">
        <f>IFERROR(_xlfn.XLOOKUP(E658,[1]EMPREENDIMENTO!C:C,[1]EMPREENDIMENTO!E:E),"0")</f>
        <v>140</v>
      </c>
      <c r="J658" s="30"/>
      <c r="K658" s="28" t="s">
        <v>164</v>
      </c>
      <c r="L658" s="31">
        <v>46121</v>
      </c>
      <c r="M658" s="32">
        <v>32367000</v>
      </c>
      <c r="N658" s="32">
        <v>33985350</v>
      </c>
      <c r="O658" s="32">
        <v>33690400</v>
      </c>
      <c r="P658" s="28" t="s">
        <v>34</v>
      </c>
      <c r="Q658" s="28" t="s">
        <v>1247</v>
      </c>
      <c r="R658" s="30">
        <v>46136</v>
      </c>
      <c r="S658" s="30">
        <v>46122</v>
      </c>
      <c r="T658" s="33"/>
      <c r="U658" s="34" t="str">
        <f>IFERROR(_xlfn.XLOOKUP(E658,[1]EMPREENDIMENTO!C:C,[1]EMPREENDIMENTO!D:D),"")</f>
        <v>2b6d05c2-48e7-e711-b989-80c16e075108</v>
      </c>
    </row>
    <row r="659" spans="1:21" hidden="1" x14ac:dyDescent="0.35">
      <c r="A659" s="28" t="str">
        <f>IFERROR(_xlfn.XLOOKUP(C659,[1]DIRETORIA!C:C,[1]DIRETORIA!A:A),"-")</f>
        <v>DIR. COM E CRED SP E VL</v>
      </c>
      <c r="B659" s="28" t="str">
        <f>IFERROR(_xlfn.XLOOKUP(C659,[1]DIRETORIA!C:C,[1]DIRETORIA!B:B),"-")</f>
        <v>GST. COM SP2</v>
      </c>
      <c r="C659" s="28" t="str">
        <f>IFERROR(_xlfn.XLOOKUP(E659,[1]EMPREENDIMENTO!C:C,[1]EMPREENDIMENTO!A:A),"-")</f>
        <v>SÃO PAULO</v>
      </c>
      <c r="D659" s="28" t="s">
        <v>85</v>
      </c>
      <c r="E659" s="28" t="s">
        <v>1248</v>
      </c>
      <c r="F659" s="28" t="s">
        <v>42</v>
      </c>
      <c r="G659" s="28" t="s">
        <v>1249</v>
      </c>
      <c r="H659" s="28">
        <v>42932</v>
      </c>
      <c r="I659" s="29">
        <f>IFERROR(_xlfn.XLOOKUP(E659,[1]EMPREENDIMENTO!C:C,[1]EMPREENDIMENTO!E:E),"0")</f>
        <v>160</v>
      </c>
      <c r="J659" s="30"/>
      <c r="K659" s="28" t="s">
        <v>33</v>
      </c>
      <c r="L659" s="31">
        <v>45826</v>
      </c>
      <c r="M659" s="32">
        <v>62256000</v>
      </c>
      <c r="N659" s="32">
        <v>65176000</v>
      </c>
      <c r="O659" s="32">
        <v>63758000</v>
      </c>
      <c r="P659" s="28" t="s">
        <v>34</v>
      </c>
      <c r="Q659" s="28"/>
      <c r="R659" s="30">
        <v>45680</v>
      </c>
      <c r="S659" s="30">
        <v>45826</v>
      </c>
      <c r="T659" s="33"/>
      <c r="U659" s="34" t="str">
        <f>IFERROR(_xlfn.XLOOKUP(E659,[1]EMPREENDIMENTO!C:C,[1]EMPREENDIMENTO!D:D),"")</f>
        <v>1ED5BCD1-6D62-EB11-AA45-005056856875</v>
      </c>
    </row>
    <row r="660" spans="1:21" x14ac:dyDescent="0.35">
      <c r="A660" s="28" t="str">
        <f>IFERROR(_xlfn.XLOOKUP(C660,[1]DIRETORIA!C:C,[1]DIRETORIA!A:A),"-")</f>
        <v>DIR. COM E CRED SPI</v>
      </c>
      <c r="B660" s="28" t="str">
        <f>IFERROR(_xlfn.XLOOKUP(C660,[1]DIRETORIA!C:C,[1]DIRETORIA!B:B),"-")</f>
        <v>GST. COM RP 1</v>
      </c>
      <c r="C660" s="28" t="str">
        <f>IFERROR(_xlfn.XLOOKUP(E660,[1]EMPREENDIMENTO!C:C,[1]EMPREENDIMENTO!A:A),"-")</f>
        <v>RIBEIRÃO PRETO</v>
      </c>
      <c r="D660" s="28" t="s">
        <v>29</v>
      </c>
      <c r="E660" s="28" t="s">
        <v>1250</v>
      </c>
      <c r="F660" s="28" t="s">
        <v>31</v>
      </c>
      <c r="G660" s="28" t="s">
        <v>1251</v>
      </c>
      <c r="H660" s="28">
        <v>40750</v>
      </c>
      <c r="I660" s="29">
        <f>IFERROR(_xlfn.XLOOKUP(E660,[1]EMPREENDIMENTO!C:C,[1]EMPREENDIMENTO!E:E),"0")</f>
        <v>336</v>
      </c>
      <c r="J660" s="30">
        <v>46566</v>
      </c>
      <c r="K660" s="28" t="s">
        <v>33</v>
      </c>
      <c r="L660" s="31">
        <v>46184</v>
      </c>
      <c r="M660" s="32">
        <v>89029700</v>
      </c>
      <c r="N660" s="32">
        <v>95159519</v>
      </c>
      <c r="O660" s="32">
        <v>95115519</v>
      </c>
      <c r="P660" s="28" t="s">
        <v>34</v>
      </c>
      <c r="Q660" s="28" t="s">
        <v>1252</v>
      </c>
      <c r="R660" s="30">
        <v>46188</v>
      </c>
      <c r="S660" s="30">
        <v>46184</v>
      </c>
      <c r="T660" s="33"/>
      <c r="U660" s="34" t="str">
        <f>IFERROR(_xlfn.XLOOKUP(E660,[1]EMPREENDIMENTO!C:C,[1]EMPREENDIMENTO!D:D),"")</f>
        <v>6627b86d-64b6-e611-b1e9-009c02b0cb58</v>
      </c>
    </row>
    <row r="661" spans="1:21" x14ac:dyDescent="0.35">
      <c r="A661" s="28" t="str">
        <f>IFERROR(_xlfn.XLOOKUP(C661,[1]DIRETORIA!C:C,[1]DIRETORIA!A:A),"-")</f>
        <v>DIR. COM E CRED SPI</v>
      </c>
      <c r="B661" s="28" t="str">
        <f>IFERROR(_xlfn.XLOOKUP(C661,[1]DIRETORIA!C:C,[1]DIRETORIA!B:B),"-")</f>
        <v>GST. COM RP 1</v>
      </c>
      <c r="C661" s="28" t="str">
        <f>IFERROR(_xlfn.XLOOKUP(E661,[1]EMPREENDIMENTO!C:C,[1]EMPREENDIMENTO!A:A),"-")</f>
        <v>RIBEIRÃO PRETO</v>
      </c>
      <c r="D661" s="28" t="s">
        <v>29</v>
      </c>
      <c r="E661" s="28" t="s">
        <v>1250</v>
      </c>
      <c r="F661" s="28" t="s">
        <v>36</v>
      </c>
      <c r="G661" s="28" t="s">
        <v>1253</v>
      </c>
      <c r="H661" s="28">
        <v>45783</v>
      </c>
      <c r="I661" s="29">
        <f>IFERROR(_xlfn.XLOOKUP(E661,[1]EMPREENDIMENTO!C:C,[1]EMPREENDIMENTO!E:E),"0")</f>
        <v>336</v>
      </c>
      <c r="J661" s="30">
        <v>46566</v>
      </c>
      <c r="K661" s="28" t="s">
        <v>33</v>
      </c>
      <c r="L661" s="31">
        <v>46184</v>
      </c>
      <c r="M661" s="32">
        <v>89029700</v>
      </c>
      <c r="N661" s="32">
        <v>95159519</v>
      </c>
      <c r="O661" s="32">
        <v>95115519</v>
      </c>
      <c r="P661" s="28" t="s">
        <v>34</v>
      </c>
      <c r="Q661" s="28" t="s">
        <v>1252</v>
      </c>
      <c r="R661" s="30">
        <v>46188</v>
      </c>
      <c r="S661" s="30">
        <v>46184</v>
      </c>
      <c r="T661" s="33"/>
      <c r="U661" s="34" t="str">
        <f>IFERROR(_xlfn.XLOOKUP(E661,[1]EMPREENDIMENTO!C:C,[1]EMPREENDIMENTO!D:D),"")</f>
        <v>6627b86d-64b6-e611-b1e9-009c02b0cb58</v>
      </c>
    </row>
    <row r="662" spans="1:21" x14ac:dyDescent="0.35">
      <c r="A662" s="28" t="str">
        <f>IFERROR(_xlfn.XLOOKUP(C662,[1]DIRETORIA!C:C,[1]DIRETORIA!A:A),"-")</f>
        <v>DIR. COM E CRED SPI</v>
      </c>
      <c r="B662" s="28" t="str">
        <f>IFERROR(_xlfn.XLOOKUP(C662,[1]DIRETORIA!C:C,[1]DIRETORIA!B:B),"-")</f>
        <v>GST. COM RP 1</v>
      </c>
      <c r="C662" s="28" t="str">
        <f>IFERROR(_xlfn.XLOOKUP(E662,[1]EMPREENDIMENTO!C:C,[1]EMPREENDIMENTO!A:A),"-")</f>
        <v>RIBEIRÃO PRETO</v>
      </c>
      <c r="D662" s="28" t="s">
        <v>85</v>
      </c>
      <c r="E662" s="28" t="s">
        <v>1250</v>
      </c>
      <c r="F662" s="28" t="s">
        <v>39</v>
      </c>
      <c r="G662" s="28" t="s">
        <v>1254</v>
      </c>
      <c r="H662" s="28">
        <v>67589</v>
      </c>
      <c r="I662" s="29">
        <f>IFERROR(_xlfn.XLOOKUP(E662,[1]EMPREENDIMENTO!C:C,[1]EMPREENDIMENTO!E:E),"0")</f>
        <v>336</v>
      </c>
      <c r="J662" s="30">
        <v>46566</v>
      </c>
      <c r="K662" s="28" t="s">
        <v>33</v>
      </c>
      <c r="L662" s="31">
        <v>46184</v>
      </c>
      <c r="M662" s="32">
        <v>89029700</v>
      </c>
      <c r="N662" s="32">
        <v>95159519</v>
      </c>
      <c r="O662" s="32">
        <v>95115519</v>
      </c>
      <c r="P662" s="28" t="s">
        <v>34</v>
      </c>
      <c r="Q662" s="28" t="s">
        <v>1252</v>
      </c>
      <c r="R662" s="30">
        <v>46188</v>
      </c>
      <c r="S662" s="30">
        <v>46184</v>
      </c>
      <c r="T662" s="33"/>
      <c r="U662" s="34" t="str">
        <f>IFERROR(_xlfn.XLOOKUP(E662,[1]EMPREENDIMENTO!C:C,[1]EMPREENDIMENTO!D:D),"")</f>
        <v>6627b86d-64b6-e611-b1e9-009c02b0cb58</v>
      </c>
    </row>
    <row r="663" spans="1:21" hidden="1" x14ac:dyDescent="0.35">
      <c r="A663" s="28" t="str">
        <f>IFERROR(_xlfn.XLOOKUP(C663,[1]DIRETORIA!C:C,[1]DIRETORIA!A:A),"-")</f>
        <v>DIR. COM E CRED CO E AM</v>
      </c>
      <c r="B663" s="28" t="str">
        <f>IFERROR(_xlfn.XLOOKUP(C663,[1]DIRETORIA!C:C,[1]DIRETORIA!B:B),"-")</f>
        <v>GST. COM MT</v>
      </c>
      <c r="C663" s="28" t="str">
        <f>IFERROR(_xlfn.XLOOKUP(E663,[1]EMPREENDIMENTO!C:C,[1]EMPREENDIMENTO!A:A),"-")</f>
        <v>CUIABÁ</v>
      </c>
      <c r="D663" s="28" t="s">
        <v>29</v>
      </c>
      <c r="E663" s="28" t="s">
        <v>1255</v>
      </c>
      <c r="F663" s="28" t="s">
        <v>31</v>
      </c>
      <c r="G663" s="28" t="s">
        <v>1256</v>
      </c>
      <c r="H663" s="28">
        <v>43774</v>
      </c>
      <c r="I663" s="29">
        <f>IFERROR(_xlfn.XLOOKUP(E663,[1]EMPREENDIMENTO!C:C,[1]EMPREENDIMENTO!E:E),"0")</f>
        <v>424</v>
      </c>
      <c r="J663" s="30">
        <v>46720</v>
      </c>
      <c r="K663" s="28" t="s">
        <v>33</v>
      </c>
      <c r="L663" s="31">
        <v>45895</v>
      </c>
      <c r="M663" s="32">
        <v>106934992</v>
      </c>
      <c r="N663" s="32">
        <v>110750992</v>
      </c>
      <c r="O663" s="32">
        <v>109971244</v>
      </c>
      <c r="P663" s="28" t="s">
        <v>34</v>
      </c>
      <c r="Q663" s="28" t="s">
        <v>1257</v>
      </c>
      <c r="R663" s="30">
        <v>45897</v>
      </c>
      <c r="S663" s="30">
        <v>45895</v>
      </c>
      <c r="T663" s="33"/>
      <c r="U663" s="34" t="str">
        <f>IFERROR(_xlfn.XLOOKUP(E663,[1]EMPREENDIMENTO!C:C,[1]EMPREENDIMENTO!D:D),"")</f>
        <v>28ddb81f-1c2e-ed11-b1ad-005056856875</v>
      </c>
    </row>
    <row r="664" spans="1:21" hidden="1" x14ac:dyDescent="0.35">
      <c r="A664" s="28" t="str">
        <f>IFERROR(_xlfn.XLOOKUP(C664,[1]DIRETORIA!C:C,[1]DIRETORIA!A:A),"-")</f>
        <v>DIR. COM E CRED CO E AM</v>
      </c>
      <c r="B664" s="28" t="str">
        <f>IFERROR(_xlfn.XLOOKUP(C664,[1]DIRETORIA!C:C,[1]DIRETORIA!B:B),"-")</f>
        <v>GST. COM MT</v>
      </c>
      <c r="C664" s="28" t="str">
        <f>IFERROR(_xlfn.XLOOKUP(E664,[1]EMPREENDIMENTO!C:C,[1]EMPREENDIMENTO!A:A),"-")</f>
        <v>CUIABÁ</v>
      </c>
      <c r="D664" s="28" t="s">
        <v>29</v>
      </c>
      <c r="E664" s="28" t="s">
        <v>1255</v>
      </c>
      <c r="F664" s="28" t="s">
        <v>36</v>
      </c>
      <c r="G664" s="28" t="s">
        <v>1258</v>
      </c>
      <c r="H664" s="28">
        <v>50421</v>
      </c>
      <c r="I664" s="29">
        <f>IFERROR(_xlfn.XLOOKUP(E664,[1]EMPREENDIMENTO!C:C,[1]EMPREENDIMENTO!E:E),"0")</f>
        <v>424</v>
      </c>
      <c r="J664" s="30">
        <v>46720</v>
      </c>
      <c r="K664" s="28" t="s">
        <v>33</v>
      </c>
      <c r="L664" s="31">
        <v>45895</v>
      </c>
      <c r="M664" s="32">
        <v>106934992</v>
      </c>
      <c r="N664" s="32">
        <v>110750992</v>
      </c>
      <c r="O664" s="32">
        <v>109971244</v>
      </c>
      <c r="P664" s="28" t="s">
        <v>34</v>
      </c>
      <c r="Q664" s="28" t="s">
        <v>1257</v>
      </c>
      <c r="R664" s="30">
        <v>45897</v>
      </c>
      <c r="S664" s="30">
        <v>45895</v>
      </c>
      <c r="T664" s="33"/>
      <c r="U664" s="34" t="str">
        <f>IFERROR(_xlfn.XLOOKUP(E664,[1]EMPREENDIMENTO!C:C,[1]EMPREENDIMENTO!D:D),"")</f>
        <v>28ddb81f-1c2e-ed11-b1ad-005056856875</v>
      </c>
    </row>
    <row r="665" spans="1:21" hidden="1" x14ac:dyDescent="0.35">
      <c r="A665" s="28" t="str">
        <f>IFERROR(_xlfn.XLOOKUP(C665,[1]DIRETORIA!C:C,[1]DIRETORIA!A:A),"-")</f>
        <v>DIR. COM E CRED CO E AM</v>
      </c>
      <c r="B665" s="28" t="str">
        <f>IFERROR(_xlfn.XLOOKUP(C665,[1]DIRETORIA!C:C,[1]DIRETORIA!B:B),"-")</f>
        <v>GST. COM MT</v>
      </c>
      <c r="C665" s="28" t="str">
        <f>IFERROR(_xlfn.XLOOKUP(E665,[1]EMPREENDIMENTO!C:C,[1]EMPREENDIMENTO!A:A),"-")</f>
        <v>CUIABÁ</v>
      </c>
      <c r="D665" s="28" t="s">
        <v>29</v>
      </c>
      <c r="E665" s="28" t="s">
        <v>1255</v>
      </c>
      <c r="F665" s="28" t="s">
        <v>39</v>
      </c>
      <c r="G665" s="28" t="s">
        <v>1259</v>
      </c>
      <c r="H665" s="28">
        <v>50441</v>
      </c>
      <c r="I665" s="29">
        <f>IFERROR(_xlfn.XLOOKUP(E665,[1]EMPREENDIMENTO!C:C,[1]EMPREENDIMENTO!E:E),"0")</f>
        <v>424</v>
      </c>
      <c r="J665" s="30">
        <v>46720</v>
      </c>
      <c r="K665" s="28" t="s">
        <v>33</v>
      </c>
      <c r="L665" s="31">
        <v>45895</v>
      </c>
      <c r="M665" s="32">
        <v>106934992</v>
      </c>
      <c r="N665" s="32">
        <v>110750992</v>
      </c>
      <c r="O665" s="32">
        <v>109971244</v>
      </c>
      <c r="P665" s="28" t="s">
        <v>34</v>
      </c>
      <c r="Q665" s="28" t="s">
        <v>1257</v>
      </c>
      <c r="R665" s="30">
        <v>45897</v>
      </c>
      <c r="S665" s="30">
        <v>45895</v>
      </c>
      <c r="T665" s="33"/>
      <c r="U665" s="34" t="str">
        <f>IFERROR(_xlfn.XLOOKUP(E665,[1]EMPREENDIMENTO!C:C,[1]EMPREENDIMENTO!D:D),"")</f>
        <v>28ddb81f-1c2e-ed11-b1ad-005056856875</v>
      </c>
    </row>
    <row r="666" spans="1:21" hidden="1" x14ac:dyDescent="0.35">
      <c r="A666" s="28" t="str">
        <f>IFERROR(_xlfn.XLOOKUP(C666,[1]DIRETORIA!C:C,[1]DIRETORIA!A:A),"-")</f>
        <v>DIR. COM E CRED RJ</v>
      </c>
      <c r="B666" s="28" t="str">
        <f>IFERROR(_xlfn.XLOOKUP(C666,[1]DIRETORIA!C:C,[1]DIRETORIA!B:B),"-")</f>
        <v>GST. COM RJ2</v>
      </c>
      <c r="C666" s="28" t="str">
        <f>IFERROR(_xlfn.XLOOKUP(E666,[1]EMPREENDIMENTO!C:C,[1]EMPREENDIMENTO!A:A),"-")</f>
        <v>NOVA IGUAÇU</v>
      </c>
      <c r="D666" s="28" t="s">
        <v>29</v>
      </c>
      <c r="E666" s="28" t="s">
        <v>1260</v>
      </c>
      <c r="F666" s="28" t="s">
        <v>31</v>
      </c>
      <c r="G666" s="28" t="s">
        <v>1261</v>
      </c>
      <c r="H666" s="28">
        <v>43238</v>
      </c>
      <c r="I666" s="29">
        <f>IFERROR(_xlfn.XLOOKUP(E666,[1]EMPREENDIMENTO!C:C,[1]EMPREENDIMENTO!E:E),"0")</f>
        <v>432</v>
      </c>
      <c r="J666" s="30">
        <v>46635</v>
      </c>
      <c r="K666" s="28" t="s">
        <v>164</v>
      </c>
      <c r="L666" s="31">
        <v>46223</v>
      </c>
      <c r="M666" s="32">
        <v>120754800</v>
      </c>
      <c r="N666" s="32">
        <v>130957154</v>
      </c>
      <c r="O666" s="32">
        <v>126216300</v>
      </c>
      <c r="P666" s="28" t="s">
        <v>34</v>
      </c>
      <c r="Q666" s="28" t="s">
        <v>1262</v>
      </c>
      <c r="R666" s="30">
        <v>46237</v>
      </c>
      <c r="S666" s="30">
        <v>46224</v>
      </c>
      <c r="T666" s="33"/>
      <c r="U666" s="34" t="str">
        <f>IFERROR(_xlfn.XLOOKUP(E666,[1]EMPREENDIMENTO!C:C,[1]EMPREENDIMENTO!D:D),"")</f>
        <v>50c537e3-da2b-ee11-9510-005056856875</v>
      </c>
    </row>
    <row r="667" spans="1:21" hidden="1" x14ac:dyDescent="0.35">
      <c r="A667" s="28" t="str">
        <f>IFERROR(_xlfn.XLOOKUP(C667,[1]DIRETORIA!C:C,[1]DIRETORIA!A:A),"-")</f>
        <v>DIR. COM E CRED RJ</v>
      </c>
      <c r="B667" s="28" t="str">
        <f>IFERROR(_xlfn.XLOOKUP(C667,[1]DIRETORIA!C:C,[1]DIRETORIA!B:B),"-")</f>
        <v>GST. COM RJ2</v>
      </c>
      <c r="C667" s="28" t="str">
        <f>IFERROR(_xlfn.XLOOKUP(E667,[1]EMPREENDIMENTO!C:C,[1]EMPREENDIMENTO!A:A),"-")</f>
        <v>NOVA IGUAÇU</v>
      </c>
      <c r="D667" s="28" t="s">
        <v>29</v>
      </c>
      <c r="E667" s="28" t="s">
        <v>1260</v>
      </c>
      <c r="F667" s="28" t="s">
        <v>36</v>
      </c>
      <c r="G667" s="28" t="s">
        <v>1263</v>
      </c>
      <c r="H667" s="28">
        <v>51757</v>
      </c>
      <c r="I667" s="29">
        <f>IFERROR(_xlfn.XLOOKUP(E667,[1]EMPREENDIMENTO!C:C,[1]EMPREENDIMENTO!E:E),"0")</f>
        <v>432</v>
      </c>
      <c r="J667" s="30">
        <v>46635</v>
      </c>
      <c r="K667" s="28" t="s">
        <v>164</v>
      </c>
      <c r="L667" s="31">
        <v>46223</v>
      </c>
      <c r="M667" s="32">
        <v>120754800</v>
      </c>
      <c r="N667" s="32">
        <v>130957154</v>
      </c>
      <c r="O667" s="32">
        <v>126216300</v>
      </c>
      <c r="P667" s="28" t="s">
        <v>34</v>
      </c>
      <c r="Q667" s="28" t="s">
        <v>1262</v>
      </c>
      <c r="R667" s="30">
        <v>46237</v>
      </c>
      <c r="S667" s="30">
        <v>46224</v>
      </c>
      <c r="T667" s="33"/>
      <c r="U667" s="34" t="str">
        <f>IFERROR(_xlfn.XLOOKUP(E667,[1]EMPREENDIMENTO!C:C,[1]EMPREENDIMENTO!D:D),"")</f>
        <v>50c537e3-da2b-ee11-9510-005056856875</v>
      </c>
    </row>
    <row r="668" spans="1:21" hidden="1" x14ac:dyDescent="0.35">
      <c r="A668" s="28" t="str">
        <f>IFERROR(_xlfn.XLOOKUP(C668,[1]DIRETORIA!C:C,[1]DIRETORIA!A:A),"-")</f>
        <v>DIR. COM E CRED NE</v>
      </c>
      <c r="B668" s="28" t="str">
        <f>IFERROR(_xlfn.XLOOKUP(C668,[1]DIRETORIA!C:C,[1]DIRETORIA!B:B),"-")</f>
        <v>GST. COM NE 3 (SE+AL)</v>
      </c>
      <c r="C668" s="28" t="str">
        <f>IFERROR(_xlfn.XLOOKUP(E668,[1]EMPREENDIMENTO!C:C,[1]EMPREENDIMENTO!A:A),"-")</f>
        <v>MACEIÓ</v>
      </c>
      <c r="D668" s="28" t="s">
        <v>29</v>
      </c>
      <c r="E668" s="28" t="s">
        <v>1264</v>
      </c>
      <c r="F668" s="28" t="s">
        <v>31</v>
      </c>
      <c r="G668" s="28" t="s">
        <v>1265</v>
      </c>
      <c r="H668" s="28">
        <v>43064</v>
      </c>
      <c r="I668" s="29">
        <f>IFERROR(_xlfn.XLOOKUP(E668,[1]EMPREENDIMENTO!C:C,[1]EMPREENDIMENTO!E:E),"0")</f>
        <v>288</v>
      </c>
      <c r="J668" s="30"/>
      <c r="K668" s="28" t="s">
        <v>33</v>
      </c>
      <c r="L668" s="31">
        <v>45915</v>
      </c>
      <c r="M668" s="32">
        <v>76937500</v>
      </c>
      <c r="N668" s="32"/>
      <c r="O668" s="32"/>
      <c r="P668" s="28" t="s">
        <v>2</v>
      </c>
      <c r="Q668" s="28" t="s">
        <v>1266</v>
      </c>
      <c r="R668" s="30">
        <v>46279</v>
      </c>
      <c r="S668" s="30"/>
      <c r="T668" s="33"/>
      <c r="U668" s="34" t="str">
        <f>IFERROR(_xlfn.XLOOKUP(E668,[1]EMPREENDIMENTO!C:C,[1]EMPREENDIMENTO!D:D),"")</f>
        <v>199e5aca-ab32-ed11-ba45-005056890018</v>
      </c>
    </row>
    <row r="669" spans="1:21" hidden="1" x14ac:dyDescent="0.35">
      <c r="A669" s="28" t="s">
        <v>1188</v>
      </c>
      <c r="B669" s="28" t="s">
        <v>1267</v>
      </c>
      <c r="C669" s="28" t="s">
        <v>1268</v>
      </c>
      <c r="D669" s="28" t="s">
        <v>29</v>
      </c>
      <c r="E669" s="28" t="s">
        <v>1264</v>
      </c>
      <c r="F669" s="28" t="s">
        <v>36</v>
      </c>
      <c r="G669" s="28" t="s">
        <v>1269</v>
      </c>
      <c r="H669" s="28">
        <v>58842</v>
      </c>
      <c r="I669" s="29">
        <v>288</v>
      </c>
      <c r="J669" s="30"/>
      <c r="K669" s="28" t="s">
        <v>33</v>
      </c>
      <c r="L669" s="31">
        <v>45915</v>
      </c>
      <c r="M669" s="32">
        <v>76937500</v>
      </c>
      <c r="N669" s="32"/>
      <c r="O669" s="32"/>
      <c r="P669" s="28" t="s">
        <v>2</v>
      </c>
      <c r="Q669" s="28" t="s">
        <v>1266</v>
      </c>
      <c r="R669" s="30">
        <v>46279</v>
      </c>
      <c r="S669" s="30"/>
      <c r="T669" s="33"/>
      <c r="U669" s="34" t="s">
        <v>1270</v>
      </c>
    </row>
    <row r="670" spans="1:21" hidden="1" x14ac:dyDescent="0.35">
      <c r="A670" s="28" t="str">
        <f>IFERROR(_xlfn.XLOOKUP(C670,[1]DIRETORIA!C:C,[1]DIRETORIA!A:A),"-")</f>
        <v>DIR. COM E CRED NE</v>
      </c>
      <c r="B670" s="28" t="str">
        <f>IFERROR(_xlfn.XLOOKUP(C670,[1]DIRETORIA!C:C,[1]DIRETORIA!B:B),"-")</f>
        <v>GST. COM NE 3 (SE+AL)</v>
      </c>
      <c r="C670" s="28" t="str">
        <f>IFERROR(_xlfn.XLOOKUP(E670,[1]EMPREENDIMENTO!C:C,[1]EMPREENDIMENTO!A:A),"-")</f>
        <v>MACEIÓ</v>
      </c>
      <c r="D670" s="28" t="s">
        <v>29</v>
      </c>
      <c r="E670" s="28" t="s">
        <v>1271</v>
      </c>
      <c r="F670" s="28" t="s">
        <v>42</v>
      </c>
      <c r="G670" s="28" t="s">
        <v>1272</v>
      </c>
      <c r="H670" s="28">
        <v>42827</v>
      </c>
      <c r="I670" s="29">
        <f>IFERROR(_xlfn.XLOOKUP(E670,[1]EMPREENDIMENTO!C:C,[1]EMPREENDIMENTO!E:E),"0")</f>
        <v>220</v>
      </c>
      <c r="J670" s="30">
        <v>46612</v>
      </c>
      <c r="K670" s="28" t="s">
        <v>164</v>
      </c>
      <c r="L670" s="31">
        <v>45965</v>
      </c>
      <c r="M670" s="32">
        <v>49974241</v>
      </c>
      <c r="N670" s="32">
        <v>52387595</v>
      </c>
      <c r="O670" s="32">
        <v>51620185</v>
      </c>
      <c r="P670" s="28" t="s">
        <v>34</v>
      </c>
      <c r="Q670" s="28" t="s">
        <v>1273</v>
      </c>
      <c r="R670" s="30">
        <v>45971</v>
      </c>
      <c r="S670" s="30">
        <v>45966</v>
      </c>
      <c r="T670" s="33"/>
      <c r="U670" s="34" t="str">
        <f>IFERROR(_xlfn.XLOOKUP(E670,[1]EMPREENDIMENTO!C:C,[1]EMPREENDIMENTO!D:D),"")</f>
        <v>d3358e65-9214-ec11-b501-005056856b6c</v>
      </c>
    </row>
    <row r="671" spans="1:21" hidden="1" x14ac:dyDescent="0.35">
      <c r="A671" s="28" t="str">
        <f>IFERROR(_xlfn.XLOOKUP(C671,[1]DIRETORIA!C:C,[1]DIRETORIA!A:A),"-")</f>
        <v>DIR. COM E CRED MG E ES</v>
      </c>
      <c r="B671" s="28" t="str">
        <f>IFERROR(_xlfn.XLOOKUP(C671,[1]DIRETORIA!C:C,[1]DIRETORIA!B:B),"-")</f>
        <v>GST. COM TM</v>
      </c>
      <c r="C671" s="28" t="str">
        <f>IFERROR(_xlfn.XLOOKUP(E671,[1]EMPREENDIMENTO!C:C,[1]EMPREENDIMENTO!A:A),"-")</f>
        <v>UBERABA</v>
      </c>
      <c r="D671" s="28" t="s">
        <v>29</v>
      </c>
      <c r="E671" s="28" t="s">
        <v>1274</v>
      </c>
      <c r="F671" s="28" t="s">
        <v>31</v>
      </c>
      <c r="G671" s="28" t="s">
        <v>1275</v>
      </c>
      <c r="H671" s="28">
        <v>33596</v>
      </c>
      <c r="I671" s="29">
        <f>IFERROR(_xlfn.XLOOKUP(E671,[1]EMPREENDIMENTO!C:C,[1]EMPREENDIMENTO!E:E),"0")</f>
        <v>288</v>
      </c>
      <c r="J671" s="30"/>
      <c r="K671" s="28" t="s">
        <v>786</v>
      </c>
      <c r="L671" s="31">
        <v>46226</v>
      </c>
      <c r="M671" s="32">
        <v>83658500</v>
      </c>
      <c r="N671" s="32">
        <v>105727487</v>
      </c>
      <c r="O671" s="32">
        <v>89337800</v>
      </c>
      <c r="P671" s="28" t="s">
        <v>34</v>
      </c>
      <c r="Q671" s="28" t="s">
        <v>1276</v>
      </c>
      <c r="R671" s="30">
        <v>46225</v>
      </c>
      <c r="S671" s="30">
        <v>46226</v>
      </c>
      <c r="T671" s="33"/>
      <c r="U671" s="34" t="str">
        <f>IFERROR(_xlfn.XLOOKUP(E671,[1]EMPREENDIMENTO!C:C,[1]EMPREENDIMENTO!D:D),"")</f>
        <v>236d4f41-2903-eb11-8cc6-0050568aa20f</v>
      </c>
    </row>
    <row r="672" spans="1:21" hidden="1" x14ac:dyDescent="0.35">
      <c r="A672" s="28" t="str">
        <f>IFERROR(_xlfn.XLOOKUP(C672,[1]DIRETORIA!C:C,[1]DIRETORIA!A:A),"-")</f>
        <v>DIR. COM E CRED MG E ES</v>
      </c>
      <c r="B672" s="28" t="str">
        <f>IFERROR(_xlfn.XLOOKUP(C672,[1]DIRETORIA!C:C,[1]DIRETORIA!B:B),"-")</f>
        <v>GST. COM TM</v>
      </c>
      <c r="C672" s="28" t="str">
        <f>IFERROR(_xlfn.XLOOKUP(E672,[1]EMPREENDIMENTO!C:C,[1]EMPREENDIMENTO!A:A),"-")</f>
        <v>UBERABA</v>
      </c>
      <c r="D672" s="28" t="s">
        <v>29</v>
      </c>
      <c r="E672" s="28" t="s">
        <v>1274</v>
      </c>
      <c r="F672" s="28" t="s">
        <v>36</v>
      </c>
      <c r="G672" s="28" t="s">
        <v>1277</v>
      </c>
      <c r="H672" s="28">
        <v>53970</v>
      </c>
      <c r="I672" s="29">
        <f>IFERROR(_xlfn.XLOOKUP(E672,[1]EMPREENDIMENTO!C:C,[1]EMPREENDIMENTO!E:E),"0")</f>
        <v>288</v>
      </c>
      <c r="J672" s="30"/>
      <c r="K672" s="28" t="s">
        <v>786</v>
      </c>
      <c r="L672" s="31">
        <v>46226</v>
      </c>
      <c r="M672" s="32">
        <v>83658500</v>
      </c>
      <c r="N672" s="32">
        <v>105727487</v>
      </c>
      <c r="O672" s="32">
        <v>89337800</v>
      </c>
      <c r="P672" s="28" t="s">
        <v>34</v>
      </c>
      <c r="Q672" s="28" t="s">
        <v>1276</v>
      </c>
      <c r="R672" s="30">
        <v>46225</v>
      </c>
      <c r="S672" s="30">
        <v>46226</v>
      </c>
      <c r="T672" s="33"/>
      <c r="U672" s="34" t="str">
        <f>IFERROR(_xlfn.XLOOKUP(E672,[1]EMPREENDIMENTO!C:C,[1]EMPREENDIMENTO!D:D),"")</f>
        <v>236d4f41-2903-eb11-8cc6-0050568aa20f</v>
      </c>
    </row>
    <row r="673" spans="1:21" hidden="1" x14ac:dyDescent="0.35">
      <c r="A673" s="28" t="str">
        <f>IFERROR(_xlfn.XLOOKUP(C673,[1]DIRETORIA!C:C,[1]DIRETORIA!A:A),"-")</f>
        <v>DIR. COM E CRED CO E AM</v>
      </c>
      <c r="B673" s="28" t="str">
        <f>IFERROR(_xlfn.XLOOKUP(C673,[1]DIRETORIA!C:C,[1]DIRETORIA!B:B),"-")</f>
        <v>GST. COM MS</v>
      </c>
      <c r="C673" s="28" t="str">
        <f>IFERROR(_xlfn.XLOOKUP(E673,[1]EMPREENDIMENTO!C:C,[1]EMPREENDIMENTO!A:A),"-")</f>
        <v>CAMPO GRANDE</v>
      </c>
      <c r="D673" s="28" t="s">
        <v>29</v>
      </c>
      <c r="E673" s="28" t="s">
        <v>1278</v>
      </c>
      <c r="F673" s="28" t="s">
        <v>31</v>
      </c>
      <c r="G673" s="28" t="s">
        <v>1279</v>
      </c>
      <c r="H673" s="28">
        <v>44088</v>
      </c>
      <c r="I673" s="29">
        <f>IFERROR(_xlfn.XLOOKUP(E673,[1]EMPREENDIMENTO!C:C,[1]EMPREENDIMENTO!E:E),"0")</f>
        <v>400</v>
      </c>
      <c r="J673" s="30"/>
      <c r="K673" s="28" t="s">
        <v>33</v>
      </c>
      <c r="L673" s="31">
        <v>46195</v>
      </c>
      <c r="M673" s="32">
        <v>120641918</v>
      </c>
      <c r="N673" s="32">
        <v>132475712</v>
      </c>
      <c r="O673" s="32">
        <v>125015056</v>
      </c>
      <c r="P673" s="28" t="s">
        <v>34</v>
      </c>
      <c r="Q673" s="28" t="s">
        <v>1280</v>
      </c>
      <c r="R673" s="30">
        <v>46202</v>
      </c>
      <c r="S673" s="30">
        <v>46195</v>
      </c>
      <c r="T673" s="33"/>
      <c r="U673" s="34" t="str">
        <f>IFERROR(_xlfn.XLOOKUP(E673,[1]EMPREENDIMENTO!C:C,[1]EMPREENDIMENTO!D:D),"")</f>
        <v>06cc2c7e-d932-ea11-9e6d-005056856875</v>
      </c>
    </row>
    <row r="674" spans="1:21" hidden="1" x14ac:dyDescent="0.35">
      <c r="A674" s="28" t="str">
        <f>IFERROR(_xlfn.XLOOKUP(C674,[1]DIRETORIA!C:C,[1]DIRETORIA!A:A),"-")</f>
        <v>DIR. COM E CRED CO E AM</v>
      </c>
      <c r="B674" s="28" t="str">
        <f>IFERROR(_xlfn.XLOOKUP(C674,[1]DIRETORIA!C:C,[1]DIRETORIA!B:B),"-")</f>
        <v>GST. COM MS</v>
      </c>
      <c r="C674" s="28" t="str">
        <f>IFERROR(_xlfn.XLOOKUP(E674,[1]EMPREENDIMENTO!C:C,[1]EMPREENDIMENTO!A:A),"-")</f>
        <v>CAMPO GRANDE</v>
      </c>
      <c r="D674" s="28" t="s">
        <v>29</v>
      </c>
      <c r="E674" s="28" t="s">
        <v>1278</v>
      </c>
      <c r="F674" s="28" t="s">
        <v>36</v>
      </c>
      <c r="G674" s="28" t="s">
        <v>1281</v>
      </c>
      <c r="H674" s="28">
        <v>53513</v>
      </c>
      <c r="I674" s="29">
        <f>IFERROR(_xlfn.XLOOKUP(E674,[1]EMPREENDIMENTO!C:C,[1]EMPREENDIMENTO!E:E),"0")</f>
        <v>400</v>
      </c>
      <c r="J674" s="30"/>
      <c r="K674" s="28" t="s">
        <v>33</v>
      </c>
      <c r="L674" s="31">
        <v>46195</v>
      </c>
      <c r="M674" s="32">
        <v>120641918</v>
      </c>
      <c r="N674" s="32">
        <v>132475712</v>
      </c>
      <c r="O674" s="32">
        <v>125015056</v>
      </c>
      <c r="P674" s="28" t="s">
        <v>34</v>
      </c>
      <c r="Q674" s="28" t="s">
        <v>1280</v>
      </c>
      <c r="R674" s="30">
        <v>46202</v>
      </c>
      <c r="S674" s="30">
        <v>46195</v>
      </c>
      <c r="T674" s="33"/>
      <c r="U674" s="34" t="str">
        <f>IFERROR(_xlfn.XLOOKUP(E674,[1]EMPREENDIMENTO!C:C,[1]EMPREENDIMENTO!D:D),"")</f>
        <v>06cc2c7e-d932-ea11-9e6d-005056856875</v>
      </c>
    </row>
    <row r="675" spans="1:21" hidden="1" x14ac:dyDescent="0.35">
      <c r="A675" s="28" t="str">
        <f>IFERROR(_xlfn.XLOOKUP(C675,[1]DIRETORIA!C:C,[1]DIRETORIA!A:A),"-")</f>
        <v>DIR. COM E CRED CO E AM</v>
      </c>
      <c r="B675" s="28" t="str">
        <f>IFERROR(_xlfn.XLOOKUP(C675,[1]DIRETORIA!C:C,[1]DIRETORIA!B:B),"-")</f>
        <v>GST. COM MS</v>
      </c>
      <c r="C675" s="28" t="str">
        <f>IFERROR(_xlfn.XLOOKUP(E675,[1]EMPREENDIMENTO!C:C,[1]EMPREENDIMENTO!A:A),"-")</f>
        <v>CAMPO GRANDE</v>
      </c>
      <c r="D675" s="28" t="s">
        <v>29</v>
      </c>
      <c r="E675" s="28" t="s">
        <v>1278</v>
      </c>
      <c r="F675" s="28" t="s">
        <v>39</v>
      </c>
      <c r="G675" s="28" t="s">
        <v>1282</v>
      </c>
      <c r="H675" s="28">
        <v>56601</v>
      </c>
      <c r="I675" s="29">
        <f>IFERROR(_xlfn.XLOOKUP(E675,[1]EMPREENDIMENTO!C:C,[1]EMPREENDIMENTO!E:E),"0")</f>
        <v>400</v>
      </c>
      <c r="J675" s="30"/>
      <c r="K675" s="28" t="s">
        <v>33</v>
      </c>
      <c r="L675" s="31">
        <v>46195</v>
      </c>
      <c r="M675" s="32">
        <v>120641918</v>
      </c>
      <c r="N675" s="32">
        <v>132475712</v>
      </c>
      <c r="O675" s="32">
        <v>125015056</v>
      </c>
      <c r="P675" s="28" t="s">
        <v>34</v>
      </c>
      <c r="Q675" s="28" t="s">
        <v>1280</v>
      </c>
      <c r="R675" s="30">
        <v>46202</v>
      </c>
      <c r="S675" s="30">
        <v>46195</v>
      </c>
      <c r="T675" s="33"/>
      <c r="U675" s="34" t="str">
        <f>IFERROR(_xlfn.XLOOKUP(E675,[1]EMPREENDIMENTO!C:C,[1]EMPREENDIMENTO!D:D),"")</f>
        <v>06cc2c7e-d932-ea11-9e6d-005056856875</v>
      </c>
    </row>
    <row r="676" spans="1:21" x14ac:dyDescent="0.35">
      <c r="A676" s="28" t="str">
        <f>IFERROR(_xlfn.XLOOKUP(C676,[1]DIRETORIA!C:C,[1]DIRETORIA!A:A),"-")</f>
        <v>DIR. COM E CRED SPI CP</v>
      </c>
      <c r="B676" s="28" t="str">
        <f>IFERROR(_xlfn.XLOOKUP(C676,[1]DIRETORIA!C:C,[1]DIRETORIA!B:B),"-")</f>
        <v>GST. COM CP1</v>
      </c>
      <c r="C676" s="28" t="str">
        <f>IFERROR(_xlfn.XLOOKUP(E676,[1]EMPREENDIMENTO!C:C,[1]EMPREENDIMENTO!A:A),"-")</f>
        <v>CAMPINAS</v>
      </c>
      <c r="D676" s="28" t="s">
        <v>29</v>
      </c>
      <c r="E676" s="28" t="s">
        <v>1283</v>
      </c>
      <c r="F676" s="28" t="s">
        <v>42</v>
      </c>
      <c r="G676" s="28" t="s">
        <v>1284</v>
      </c>
      <c r="H676" s="28">
        <v>44058</v>
      </c>
      <c r="I676" s="29">
        <f>IFERROR(_xlfn.XLOOKUP(E676,[1]EMPREENDIMENTO!C:C,[1]EMPREENDIMENTO!E:E),"0")</f>
        <v>176</v>
      </c>
      <c r="J676" s="30">
        <v>46660</v>
      </c>
      <c r="K676" s="28" t="s">
        <v>164</v>
      </c>
      <c r="L676" s="31">
        <v>45852</v>
      </c>
      <c r="M676" s="32">
        <v>52167050</v>
      </c>
      <c r="N676" s="32">
        <v>62009000</v>
      </c>
      <c r="O676" s="32">
        <v>54495600</v>
      </c>
      <c r="P676" s="28" t="s">
        <v>34</v>
      </c>
      <c r="Q676" s="28" t="s">
        <v>1285</v>
      </c>
      <c r="R676" s="30">
        <v>45870</v>
      </c>
      <c r="S676" s="30">
        <v>45853</v>
      </c>
      <c r="T676" s="33"/>
      <c r="U676" s="34" t="str">
        <f>IFERROR(_xlfn.XLOOKUP(E676,[1]EMPREENDIMENTO!C:C,[1]EMPREENDIMENTO!D:D),"")</f>
        <v>e34069c3-df03-ee11-8acd-80c16e075108</v>
      </c>
    </row>
    <row r="677" spans="1:21" x14ac:dyDescent="0.35">
      <c r="A677" s="28" t="str">
        <f>IFERROR(_xlfn.XLOOKUP(C677,[1]DIRETORIA!C:C,[1]DIRETORIA!A:A),"-")</f>
        <v>DIR. COM E CRED SPI CP</v>
      </c>
      <c r="B677" s="28" t="str">
        <f>IFERROR(_xlfn.XLOOKUP(C677,[1]DIRETORIA!C:C,[1]DIRETORIA!B:B),"-")</f>
        <v>GST. COM CP2</v>
      </c>
      <c r="C677" s="28" t="str">
        <f>IFERROR(_xlfn.XLOOKUP(E677,[1]EMPREENDIMENTO!C:C,[1]EMPREENDIMENTO!A:A),"-")</f>
        <v>SOROCABA</v>
      </c>
      <c r="D677" s="28" t="s">
        <v>85</v>
      </c>
      <c r="E677" s="28" t="s">
        <v>1286</v>
      </c>
      <c r="F677" s="28" t="s">
        <v>42</v>
      </c>
      <c r="G677" s="28" t="s">
        <v>1287</v>
      </c>
      <c r="H677" s="28">
        <v>31127</v>
      </c>
      <c r="I677" s="29">
        <f>IFERROR(_xlfn.XLOOKUP(E677,[1]EMPREENDIMENTO!C:C,[1]EMPREENDIMENTO!E:E),"0")</f>
        <v>320</v>
      </c>
      <c r="J677" s="30"/>
      <c r="K677" s="28" t="s">
        <v>33</v>
      </c>
      <c r="L677" s="31">
        <v>45363</v>
      </c>
      <c r="M677" s="32">
        <v>96792328</v>
      </c>
      <c r="N677" s="32">
        <v>96792328</v>
      </c>
      <c r="O677" s="32">
        <v>82754400</v>
      </c>
      <c r="P677" s="28" t="s">
        <v>34</v>
      </c>
      <c r="Q677" s="28"/>
      <c r="R677" s="30"/>
      <c r="S677" s="30">
        <v>45363</v>
      </c>
      <c r="T677" s="33"/>
      <c r="U677" s="34" t="str">
        <f>IFERROR(_xlfn.XLOOKUP(E677,[1]EMPREENDIMENTO!C:C,[1]EMPREENDIMENTO!D:D),"")</f>
        <v>44C53768-C4FA-E711-A541-009C02B0CB58</v>
      </c>
    </row>
    <row r="678" spans="1:21" hidden="1" x14ac:dyDescent="0.35">
      <c r="A678" s="28" t="str">
        <f>IFERROR(_xlfn.XLOOKUP(C678,[1]DIRETORIA!C:C,[1]DIRETORIA!A:A),"-")</f>
        <v>DIR. COM E CRED SP E VL</v>
      </c>
      <c r="B678" s="28" t="str">
        <f>IFERROR(_xlfn.XLOOKUP(C678,[1]DIRETORIA!C:C,[1]DIRETORIA!B:B),"-")</f>
        <v>GST. COM SP2</v>
      </c>
      <c r="C678" s="28" t="str">
        <f>IFERROR(_xlfn.XLOOKUP(E678,[1]EMPREENDIMENTO!C:C,[1]EMPREENDIMENTO!A:A),"-")</f>
        <v>SÃO PAULO</v>
      </c>
      <c r="D678" s="28" t="s">
        <v>29</v>
      </c>
      <c r="E678" s="28" t="s">
        <v>1288</v>
      </c>
      <c r="F678" s="28" t="s">
        <v>31</v>
      </c>
      <c r="G678" s="28" t="s">
        <v>1289</v>
      </c>
      <c r="H678" s="28">
        <v>36723</v>
      </c>
      <c r="I678" s="29">
        <f>IFERROR(_xlfn.XLOOKUP(E678,[1]EMPREENDIMENTO!C:C,[1]EMPREENDIMENTO!E:E),"0")</f>
        <v>1064</v>
      </c>
      <c r="J678" s="30">
        <v>46727</v>
      </c>
      <c r="K678" s="28" t="s">
        <v>33</v>
      </c>
      <c r="L678" s="31">
        <v>46157</v>
      </c>
      <c r="M678" s="32">
        <v>314187000</v>
      </c>
      <c r="N678" s="32">
        <v>335864577</v>
      </c>
      <c r="O678" s="32">
        <v>335360279</v>
      </c>
      <c r="P678" s="28" t="s">
        <v>34</v>
      </c>
      <c r="Q678" s="28" t="s">
        <v>1290</v>
      </c>
      <c r="R678" s="30">
        <v>46169</v>
      </c>
      <c r="S678" s="30">
        <v>46160</v>
      </c>
      <c r="T678" s="33"/>
      <c r="U678" s="34" t="str">
        <f>IFERROR(_xlfn.XLOOKUP(E678,[1]EMPREENDIMENTO!C:C,[1]EMPREENDIMENTO!D:D),"")</f>
        <v>294750e5-66c7-ee11-8386-009c02b0cb58</v>
      </c>
    </row>
    <row r="679" spans="1:21" hidden="1" x14ac:dyDescent="0.35">
      <c r="A679" s="28" t="str">
        <f>IFERROR(_xlfn.XLOOKUP(C679,[1]DIRETORIA!C:C,[1]DIRETORIA!A:A),"-")</f>
        <v>DIR. COM E CRED SP E VL</v>
      </c>
      <c r="B679" s="28" t="str">
        <f>IFERROR(_xlfn.XLOOKUP(C679,[1]DIRETORIA!C:C,[1]DIRETORIA!B:B),"-")</f>
        <v>GST. COM SP2</v>
      </c>
      <c r="C679" s="28" t="str">
        <f>IFERROR(_xlfn.XLOOKUP(E679,[1]EMPREENDIMENTO!C:C,[1]EMPREENDIMENTO!A:A),"-")</f>
        <v>SÃO PAULO</v>
      </c>
      <c r="D679" s="28" t="s">
        <v>29</v>
      </c>
      <c r="E679" s="28" t="s">
        <v>1288</v>
      </c>
      <c r="F679" s="28" t="s">
        <v>36</v>
      </c>
      <c r="G679" s="28" t="s">
        <v>1291</v>
      </c>
      <c r="H679" s="28">
        <v>45531</v>
      </c>
      <c r="I679" s="29">
        <f>IFERROR(_xlfn.XLOOKUP(E679,[1]EMPREENDIMENTO!C:C,[1]EMPREENDIMENTO!E:E),"0")</f>
        <v>1064</v>
      </c>
      <c r="J679" s="30">
        <v>46727</v>
      </c>
      <c r="K679" s="28" t="s">
        <v>33</v>
      </c>
      <c r="L679" s="31">
        <v>46157</v>
      </c>
      <c r="M679" s="32">
        <v>314187000</v>
      </c>
      <c r="N679" s="32">
        <v>335864577</v>
      </c>
      <c r="O679" s="32">
        <v>335360279</v>
      </c>
      <c r="P679" s="28" t="s">
        <v>34</v>
      </c>
      <c r="Q679" s="28" t="s">
        <v>1290</v>
      </c>
      <c r="R679" s="30">
        <v>46169</v>
      </c>
      <c r="S679" s="30">
        <v>46160</v>
      </c>
      <c r="T679" s="33"/>
      <c r="U679" s="34" t="str">
        <f>IFERROR(_xlfn.XLOOKUP(E679,[1]EMPREENDIMENTO!C:C,[1]EMPREENDIMENTO!D:D),"")</f>
        <v>294750e5-66c7-ee11-8386-009c02b0cb58</v>
      </c>
    </row>
    <row r="680" spans="1:21" hidden="1" x14ac:dyDescent="0.35">
      <c r="A680" s="28" t="str">
        <f>IFERROR(_xlfn.XLOOKUP(C680,[1]DIRETORIA!C:C,[1]DIRETORIA!A:A),"-")</f>
        <v>DIR. COM E CRED SP E VL</v>
      </c>
      <c r="B680" s="28" t="str">
        <f>IFERROR(_xlfn.XLOOKUP(C680,[1]DIRETORIA!C:C,[1]DIRETORIA!B:B),"-")</f>
        <v>GST. COM SP2</v>
      </c>
      <c r="C680" s="28" t="str">
        <f>IFERROR(_xlfn.XLOOKUP(E680,[1]EMPREENDIMENTO!C:C,[1]EMPREENDIMENTO!A:A),"-")</f>
        <v>SÃO PAULO</v>
      </c>
      <c r="D680" s="28" t="s">
        <v>29</v>
      </c>
      <c r="E680" s="28" t="s">
        <v>1288</v>
      </c>
      <c r="F680" s="28" t="s">
        <v>39</v>
      </c>
      <c r="G680" s="28" t="s">
        <v>1292</v>
      </c>
      <c r="H680" s="28">
        <v>45533</v>
      </c>
      <c r="I680" s="29">
        <f>IFERROR(_xlfn.XLOOKUP(E680,[1]EMPREENDIMENTO!C:C,[1]EMPREENDIMENTO!E:E),"0")</f>
        <v>1064</v>
      </c>
      <c r="J680" s="30">
        <v>46727</v>
      </c>
      <c r="K680" s="28" t="s">
        <v>33</v>
      </c>
      <c r="L680" s="31">
        <v>46157</v>
      </c>
      <c r="M680" s="32">
        <v>314187000</v>
      </c>
      <c r="N680" s="32">
        <v>335864577</v>
      </c>
      <c r="O680" s="32">
        <v>335360279</v>
      </c>
      <c r="P680" s="28" t="s">
        <v>34</v>
      </c>
      <c r="Q680" s="28" t="s">
        <v>1290</v>
      </c>
      <c r="R680" s="30">
        <v>46169</v>
      </c>
      <c r="S680" s="30">
        <v>46160</v>
      </c>
      <c r="T680" s="33"/>
      <c r="U680" s="34" t="str">
        <f>IFERROR(_xlfn.XLOOKUP(E680,[1]EMPREENDIMENTO!C:C,[1]EMPREENDIMENTO!D:D),"")</f>
        <v>294750e5-66c7-ee11-8386-009c02b0cb58</v>
      </c>
    </row>
    <row r="681" spans="1:21" hidden="1" x14ac:dyDescent="0.35">
      <c r="A681" s="28" t="str">
        <f>IFERROR(_xlfn.XLOOKUP(C681,[1]DIRETORIA!C:C,[1]DIRETORIA!A:A),"-")</f>
        <v>DIR. COM E CRED SP E VL</v>
      </c>
      <c r="B681" s="28" t="str">
        <f>IFERROR(_xlfn.XLOOKUP(C681,[1]DIRETORIA!C:C,[1]DIRETORIA!B:B),"-")</f>
        <v>GST. COM SP2</v>
      </c>
      <c r="C681" s="28" t="str">
        <f>IFERROR(_xlfn.XLOOKUP(E681,[1]EMPREENDIMENTO!C:C,[1]EMPREENDIMENTO!A:A),"-")</f>
        <v>SÃO PAULO</v>
      </c>
      <c r="D681" s="28" t="s">
        <v>29</v>
      </c>
      <c r="E681" s="28" t="s">
        <v>1288</v>
      </c>
      <c r="F681" s="28" t="s">
        <v>50</v>
      </c>
      <c r="G681" s="28" t="s">
        <v>1293</v>
      </c>
      <c r="H681" s="28">
        <v>45534</v>
      </c>
      <c r="I681" s="29">
        <f>IFERROR(_xlfn.XLOOKUP(E681,[1]EMPREENDIMENTO!C:C,[1]EMPREENDIMENTO!E:E),"0")</f>
        <v>1064</v>
      </c>
      <c r="J681" s="30">
        <v>46727</v>
      </c>
      <c r="K681" s="28" t="s">
        <v>33</v>
      </c>
      <c r="L681" s="31">
        <v>46157</v>
      </c>
      <c r="M681" s="32">
        <v>314187000</v>
      </c>
      <c r="N681" s="32">
        <v>335864577</v>
      </c>
      <c r="O681" s="32">
        <v>335360279</v>
      </c>
      <c r="P681" s="28" t="s">
        <v>34</v>
      </c>
      <c r="Q681" s="28" t="s">
        <v>1290</v>
      </c>
      <c r="R681" s="30">
        <v>46169</v>
      </c>
      <c r="S681" s="30">
        <v>46160</v>
      </c>
      <c r="T681" s="33"/>
      <c r="U681" s="34" t="str">
        <f>IFERROR(_xlfn.XLOOKUP(E681,[1]EMPREENDIMENTO!C:C,[1]EMPREENDIMENTO!D:D),"")</f>
        <v>294750e5-66c7-ee11-8386-009c02b0cb58</v>
      </c>
    </row>
    <row r="682" spans="1:21" hidden="1" x14ac:dyDescent="0.35">
      <c r="A682" s="28" t="str">
        <f>IFERROR(_xlfn.XLOOKUP(C682,[1]DIRETORIA!C:C,[1]DIRETORIA!A:A),"-")</f>
        <v>DIR. COM E CRED SP E VL</v>
      </c>
      <c r="B682" s="28" t="str">
        <f>IFERROR(_xlfn.XLOOKUP(C682,[1]DIRETORIA!C:C,[1]DIRETORIA!B:B),"-")</f>
        <v>GST. COM SP2</v>
      </c>
      <c r="C682" s="28" t="str">
        <f>IFERROR(_xlfn.XLOOKUP(E682,[1]EMPREENDIMENTO!C:C,[1]EMPREENDIMENTO!A:A),"-")</f>
        <v>SÃO PAULO</v>
      </c>
      <c r="D682" s="28" t="s">
        <v>29</v>
      </c>
      <c r="E682" s="28" t="s">
        <v>1288</v>
      </c>
      <c r="F682" s="28" t="s">
        <v>57</v>
      </c>
      <c r="G682" s="28" t="s">
        <v>1294</v>
      </c>
      <c r="H682" s="28">
        <v>45537</v>
      </c>
      <c r="I682" s="29">
        <f>IFERROR(_xlfn.XLOOKUP(E682,[1]EMPREENDIMENTO!C:C,[1]EMPREENDIMENTO!E:E),"0")</f>
        <v>1064</v>
      </c>
      <c r="J682" s="30">
        <v>46727</v>
      </c>
      <c r="K682" s="28" t="s">
        <v>33</v>
      </c>
      <c r="L682" s="31">
        <v>46157</v>
      </c>
      <c r="M682" s="32">
        <v>314187000</v>
      </c>
      <c r="N682" s="32">
        <v>335864577</v>
      </c>
      <c r="O682" s="32">
        <v>335360279</v>
      </c>
      <c r="P682" s="28" t="s">
        <v>34</v>
      </c>
      <c r="Q682" s="28" t="s">
        <v>1290</v>
      </c>
      <c r="R682" s="30">
        <v>46169</v>
      </c>
      <c r="S682" s="30">
        <v>46160</v>
      </c>
      <c r="T682" s="33"/>
      <c r="U682" s="34" t="str">
        <f>IFERROR(_xlfn.XLOOKUP(E682,[1]EMPREENDIMENTO!C:C,[1]EMPREENDIMENTO!D:D),"")</f>
        <v>294750e5-66c7-ee11-8386-009c02b0cb58</v>
      </c>
    </row>
    <row r="683" spans="1:21" hidden="1" x14ac:dyDescent="0.35">
      <c r="A683" s="28" t="str">
        <f>IFERROR(_xlfn.XLOOKUP(C683,[1]DIRETORIA!C:C,[1]DIRETORIA!A:A),"-")</f>
        <v>DIR. COM E CRED SP E VL</v>
      </c>
      <c r="B683" s="28" t="str">
        <f>IFERROR(_xlfn.XLOOKUP(C683,[1]DIRETORIA!C:C,[1]DIRETORIA!B:B),"-")</f>
        <v>GST. COM SP2</v>
      </c>
      <c r="C683" s="28" t="str">
        <f>IFERROR(_xlfn.XLOOKUP(E683,[1]EMPREENDIMENTO!C:C,[1]EMPREENDIMENTO!A:A),"-")</f>
        <v>SÃO PAULO</v>
      </c>
      <c r="D683" s="28" t="s">
        <v>29</v>
      </c>
      <c r="E683" s="28" t="s">
        <v>1295</v>
      </c>
      <c r="F683" s="28" t="s">
        <v>31</v>
      </c>
      <c r="G683" s="28" t="s">
        <v>1296</v>
      </c>
      <c r="H683" s="28">
        <v>43647</v>
      </c>
      <c r="I683" s="29">
        <f>IFERROR(_xlfn.XLOOKUP(E683,[1]EMPREENDIMENTO!C:C,[1]EMPREENDIMENTO!E:E),"0")</f>
        <v>709</v>
      </c>
      <c r="J683" s="30">
        <v>46636</v>
      </c>
      <c r="K683" s="28" t="s">
        <v>33</v>
      </c>
      <c r="L683" s="31">
        <v>45946</v>
      </c>
      <c r="M683" s="32">
        <v>185446600</v>
      </c>
      <c r="N683" s="32">
        <v>210839968</v>
      </c>
      <c r="O683" s="32">
        <v>201810288</v>
      </c>
      <c r="P683" s="28" t="s">
        <v>34</v>
      </c>
      <c r="Q683" s="28" t="s">
        <v>1297</v>
      </c>
      <c r="R683" s="30">
        <v>45954</v>
      </c>
      <c r="S683" s="30">
        <v>45946</v>
      </c>
      <c r="T683" s="33"/>
      <c r="U683" s="34" t="str">
        <f>IFERROR(_xlfn.XLOOKUP(E683,[1]EMPREENDIMENTO!C:C,[1]EMPREENDIMENTO!D:D),"")</f>
        <v>0a304ac0-15c9-ee11-8386-009c02b0cb58</v>
      </c>
    </row>
    <row r="684" spans="1:21" hidden="1" x14ac:dyDescent="0.35">
      <c r="A684" s="28" t="str">
        <f>IFERROR(_xlfn.XLOOKUP(C684,[1]DIRETORIA!C:C,[1]DIRETORIA!A:A),"-")</f>
        <v>DIR. COM E CRED SP E VL</v>
      </c>
      <c r="B684" s="28" t="str">
        <f>IFERROR(_xlfn.XLOOKUP(C684,[1]DIRETORIA!C:C,[1]DIRETORIA!B:B),"-")</f>
        <v>GST. COM SP2</v>
      </c>
      <c r="C684" s="28" t="str">
        <f>IFERROR(_xlfn.XLOOKUP(E684,[1]EMPREENDIMENTO!C:C,[1]EMPREENDIMENTO!A:A),"-")</f>
        <v>SÃO PAULO</v>
      </c>
      <c r="D684" s="28" t="s">
        <v>29</v>
      </c>
      <c r="E684" s="28" t="s">
        <v>1295</v>
      </c>
      <c r="F684" s="28" t="s">
        <v>36</v>
      </c>
      <c r="G684" s="28" t="s">
        <v>1298</v>
      </c>
      <c r="H684" s="28">
        <v>46068</v>
      </c>
      <c r="I684" s="29">
        <f>IFERROR(_xlfn.XLOOKUP(E684,[1]EMPREENDIMENTO!C:C,[1]EMPREENDIMENTO!E:E),"0")</f>
        <v>709</v>
      </c>
      <c r="J684" s="30">
        <v>46636</v>
      </c>
      <c r="K684" s="28" t="s">
        <v>33</v>
      </c>
      <c r="L684" s="31">
        <v>45946</v>
      </c>
      <c r="M684" s="32">
        <v>185446600</v>
      </c>
      <c r="N684" s="32">
        <v>210839968</v>
      </c>
      <c r="O684" s="32">
        <v>201810288</v>
      </c>
      <c r="P684" s="28" t="s">
        <v>34</v>
      </c>
      <c r="Q684" s="28" t="s">
        <v>1297</v>
      </c>
      <c r="R684" s="30">
        <v>45954</v>
      </c>
      <c r="S684" s="30">
        <v>45946</v>
      </c>
      <c r="T684" s="33"/>
      <c r="U684" s="34" t="str">
        <f>IFERROR(_xlfn.XLOOKUP(E684,[1]EMPREENDIMENTO!C:C,[1]EMPREENDIMENTO!D:D),"")</f>
        <v>0a304ac0-15c9-ee11-8386-009c02b0cb58</v>
      </c>
    </row>
    <row r="685" spans="1:21" hidden="1" x14ac:dyDescent="0.35">
      <c r="A685" s="28" t="str">
        <f>IFERROR(_xlfn.XLOOKUP(C685,[1]DIRETORIA!C:C,[1]DIRETORIA!A:A),"-")</f>
        <v>DIR. COM E CRED SP E VL</v>
      </c>
      <c r="B685" s="28" t="str">
        <f>IFERROR(_xlfn.XLOOKUP(C685,[1]DIRETORIA!C:C,[1]DIRETORIA!B:B),"-")</f>
        <v>GST. COM SP2</v>
      </c>
      <c r="C685" s="28" t="str">
        <f>IFERROR(_xlfn.XLOOKUP(E685,[1]EMPREENDIMENTO!C:C,[1]EMPREENDIMENTO!A:A),"-")</f>
        <v>SÃO PAULO</v>
      </c>
      <c r="D685" s="28" t="s">
        <v>29</v>
      </c>
      <c r="E685" s="28" t="s">
        <v>1295</v>
      </c>
      <c r="F685" s="28" t="s">
        <v>39</v>
      </c>
      <c r="G685" s="28" t="s">
        <v>1299</v>
      </c>
      <c r="H685" s="28">
        <v>45992</v>
      </c>
      <c r="I685" s="29">
        <f>IFERROR(_xlfn.XLOOKUP(E685,[1]EMPREENDIMENTO!C:C,[1]EMPREENDIMENTO!E:E),"0")</f>
        <v>709</v>
      </c>
      <c r="J685" s="30">
        <v>46636</v>
      </c>
      <c r="K685" s="28" t="s">
        <v>33</v>
      </c>
      <c r="L685" s="31">
        <v>45946</v>
      </c>
      <c r="M685" s="32">
        <v>185446600</v>
      </c>
      <c r="N685" s="32">
        <v>210839968</v>
      </c>
      <c r="O685" s="32">
        <v>201810288</v>
      </c>
      <c r="P685" s="28" t="s">
        <v>34</v>
      </c>
      <c r="Q685" s="28" t="s">
        <v>1297</v>
      </c>
      <c r="R685" s="30">
        <v>45954</v>
      </c>
      <c r="S685" s="30">
        <v>45946</v>
      </c>
      <c r="T685" s="33"/>
      <c r="U685" s="34" t="str">
        <f>IFERROR(_xlfn.XLOOKUP(E685,[1]EMPREENDIMENTO!C:C,[1]EMPREENDIMENTO!D:D),"")</f>
        <v>0a304ac0-15c9-ee11-8386-009c02b0cb58</v>
      </c>
    </row>
    <row r="686" spans="1:21" hidden="1" x14ac:dyDescent="0.35">
      <c r="A686" s="28" t="str">
        <f>IFERROR(_xlfn.XLOOKUP(C686,[1]DIRETORIA!C:C,[1]DIRETORIA!A:A),"-")</f>
        <v>DIR. COM E CRED NE</v>
      </c>
      <c r="B686" s="28" t="str">
        <f>IFERROR(_xlfn.XLOOKUP(C686,[1]DIRETORIA!C:C,[1]DIRETORIA!B:B),"-")</f>
        <v>GST. COM NE4 (CE)</v>
      </c>
      <c r="C686" s="28" t="str">
        <f>IFERROR(_xlfn.XLOOKUP(E686,[1]EMPREENDIMENTO!C:C,[1]EMPREENDIMENTO!A:A),"-")</f>
        <v>FORTALEZA</v>
      </c>
      <c r="D686" s="28" t="s">
        <v>85</v>
      </c>
      <c r="E686" s="28" t="s">
        <v>1300</v>
      </c>
      <c r="F686" s="28" t="s">
        <v>42</v>
      </c>
      <c r="G686" s="28" t="s">
        <v>1301</v>
      </c>
      <c r="H686" s="28">
        <v>41550</v>
      </c>
      <c r="I686" s="29">
        <f>IFERROR(_xlfn.XLOOKUP(E686,[1]EMPREENDIMENTO!C:C,[1]EMPREENDIMENTO!E:E),"0")</f>
        <v>0</v>
      </c>
      <c r="J686" s="30"/>
      <c r="K686" s="28" t="s">
        <v>33</v>
      </c>
      <c r="L686" s="31">
        <v>45950</v>
      </c>
      <c r="M686" s="32">
        <v>74454367</v>
      </c>
      <c r="N686" s="32">
        <v>105684579</v>
      </c>
      <c r="O686" s="32">
        <v>104102070</v>
      </c>
      <c r="P686" s="28" t="s">
        <v>34</v>
      </c>
      <c r="Q686" s="28"/>
      <c r="R686" s="30"/>
      <c r="S686" s="30">
        <v>45951</v>
      </c>
      <c r="T686" s="33"/>
      <c r="U686" s="34" t="str">
        <f>IFERROR(_xlfn.XLOOKUP(E686,[1]EMPREENDIMENTO!C:C,[1]EMPREENDIMENTO!D:D),"")</f>
        <v>506C8FDB-23F3-ED11-879A-80C16E075108</v>
      </c>
    </row>
    <row r="687" spans="1:21" hidden="1" x14ac:dyDescent="0.35">
      <c r="A687" s="28" t="str">
        <f>IFERROR(_xlfn.XLOOKUP(C687,[1]DIRETORIA!C:C,[1]DIRETORIA!A:A),"-")</f>
        <v>DIR. COM E CRED NE</v>
      </c>
      <c r="B687" s="28" t="str">
        <f>IFERROR(_xlfn.XLOOKUP(C687,[1]DIRETORIA!C:C,[1]DIRETORIA!B:B),"-")</f>
        <v>GST. COM NE4 (CE)</v>
      </c>
      <c r="C687" s="28" t="str">
        <f>IFERROR(_xlfn.XLOOKUP(E687,[1]EMPREENDIMENTO!C:C,[1]EMPREENDIMENTO!A:A),"-")</f>
        <v>FORTALEZA</v>
      </c>
      <c r="D687" s="28" t="s">
        <v>29</v>
      </c>
      <c r="E687" s="28" t="s">
        <v>1302</v>
      </c>
      <c r="F687" s="28" t="s">
        <v>42</v>
      </c>
      <c r="G687" s="28" t="s">
        <v>1303</v>
      </c>
      <c r="H687" s="28">
        <v>44085</v>
      </c>
      <c r="I687" s="29">
        <f>IFERROR(_xlfn.XLOOKUP(E687,[1]EMPREENDIMENTO!C:C,[1]EMPREENDIMENTO!E:E),"0")</f>
        <v>204</v>
      </c>
      <c r="J687" s="30">
        <v>46629</v>
      </c>
      <c r="K687" s="28" t="s">
        <v>33</v>
      </c>
      <c r="L687" s="31">
        <v>46057</v>
      </c>
      <c r="M687" s="32">
        <v>58004436</v>
      </c>
      <c r="N687" s="32">
        <v>61073564</v>
      </c>
      <c r="O687" s="32">
        <v>60328880</v>
      </c>
      <c r="P687" s="28" t="s">
        <v>34</v>
      </c>
      <c r="Q687" s="28" t="s">
        <v>1304</v>
      </c>
      <c r="R687" s="30">
        <v>46055</v>
      </c>
      <c r="S687" s="30">
        <v>46057</v>
      </c>
      <c r="T687" s="33"/>
      <c r="U687" s="34" t="str">
        <f>IFERROR(_xlfn.XLOOKUP(E687,[1]EMPREENDIMENTO!C:C,[1]EMPREENDIMENTO!D:D),"")</f>
        <v>3bc99e19-2d10-ee11-9510-005056856875</v>
      </c>
    </row>
    <row r="688" spans="1:21" hidden="1" x14ac:dyDescent="0.35">
      <c r="A688" s="28" t="str">
        <f>IFERROR(_xlfn.XLOOKUP(C688,[1]DIRETORIA!C:C,[1]DIRETORIA!A:A),"-")</f>
        <v>DIR. COM E CRED SP E VL</v>
      </c>
      <c r="B688" s="28" t="str">
        <f>IFERROR(_xlfn.XLOOKUP(C688,[1]DIRETORIA!C:C,[1]DIRETORIA!B:B),"-")</f>
        <v>GST. COM VL1</v>
      </c>
      <c r="C688" s="28" t="str">
        <f>IFERROR(_xlfn.XLOOKUP(E688,[1]EMPREENDIMENTO!C:C,[1]EMPREENDIMENTO!A:A),"-")</f>
        <v>TAUBATÉ</v>
      </c>
      <c r="D688" s="28" t="s">
        <v>29</v>
      </c>
      <c r="E688" s="28" t="s">
        <v>1305</v>
      </c>
      <c r="F688" s="28" t="s">
        <v>31</v>
      </c>
      <c r="G688" s="28" t="s">
        <v>1306</v>
      </c>
      <c r="H688" s="28">
        <v>43632</v>
      </c>
      <c r="I688" s="29">
        <f>IFERROR(_xlfn.XLOOKUP(E688,[1]EMPREENDIMENTO!C:C,[1]EMPREENDIMENTO!E:E),"0")</f>
        <v>312</v>
      </c>
      <c r="J688" s="30"/>
      <c r="K688" s="28" t="s">
        <v>33</v>
      </c>
      <c r="L688" s="31">
        <v>45882</v>
      </c>
      <c r="M688" s="32">
        <v>79903180</v>
      </c>
      <c r="N688" s="32">
        <v>88060000</v>
      </c>
      <c r="O688" s="32">
        <v>87521500</v>
      </c>
      <c r="P688" s="28" t="s">
        <v>34</v>
      </c>
      <c r="Q688" s="28" t="s">
        <v>1307</v>
      </c>
      <c r="R688" s="30">
        <v>45894</v>
      </c>
      <c r="S688" s="30">
        <v>45882</v>
      </c>
      <c r="T688" s="33"/>
      <c r="U688" s="34" t="str">
        <f>IFERROR(_xlfn.XLOOKUP(E688,[1]EMPREENDIMENTO!C:C,[1]EMPREENDIMENTO!D:D),"")</f>
        <v>82194385-acb5-ec11-b1ad-005056856875</v>
      </c>
    </row>
    <row r="689" spans="1:21" hidden="1" x14ac:dyDescent="0.35">
      <c r="A689" s="28" t="str">
        <f>IFERROR(_xlfn.XLOOKUP(C689,[1]DIRETORIA!C:C,[1]DIRETORIA!A:A),"-")</f>
        <v>DIR. COM E CRED SP E VL</v>
      </c>
      <c r="B689" s="28" t="str">
        <f>IFERROR(_xlfn.XLOOKUP(C689,[1]DIRETORIA!C:C,[1]DIRETORIA!B:B),"-")</f>
        <v>GST. COM VL1</v>
      </c>
      <c r="C689" s="28" t="str">
        <f>IFERROR(_xlfn.XLOOKUP(E689,[1]EMPREENDIMENTO!C:C,[1]EMPREENDIMENTO!A:A),"-")</f>
        <v>TAUBATÉ</v>
      </c>
      <c r="D689" s="28" t="s">
        <v>29</v>
      </c>
      <c r="E689" s="28" t="s">
        <v>1305</v>
      </c>
      <c r="F689" s="28" t="s">
        <v>36</v>
      </c>
      <c r="G689" s="28" t="s">
        <v>1308</v>
      </c>
      <c r="H689" s="28">
        <v>50306</v>
      </c>
      <c r="I689" s="29">
        <f>IFERROR(_xlfn.XLOOKUP(E689,[1]EMPREENDIMENTO!C:C,[1]EMPREENDIMENTO!E:E),"0")</f>
        <v>312</v>
      </c>
      <c r="J689" s="30"/>
      <c r="K689" s="28" t="s">
        <v>33</v>
      </c>
      <c r="L689" s="31">
        <v>45882</v>
      </c>
      <c r="M689" s="32">
        <v>79903180</v>
      </c>
      <c r="N689" s="32">
        <v>88060000</v>
      </c>
      <c r="O689" s="32">
        <v>87521500</v>
      </c>
      <c r="P689" s="28" t="s">
        <v>34</v>
      </c>
      <c r="Q689" s="28" t="s">
        <v>1307</v>
      </c>
      <c r="R689" s="30">
        <v>45894</v>
      </c>
      <c r="S689" s="30">
        <v>45882</v>
      </c>
      <c r="T689" s="33"/>
      <c r="U689" s="34" t="str">
        <f>IFERROR(_xlfn.XLOOKUP(E689,[1]EMPREENDIMENTO!C:C,[1]EMPREENDIMENTO!D:D),"")</f>
        <v>82194385-acb5-ec11-b1ad-005056856875</v>
      </c>
    </row>
    <row r="690" spans="1:21" hidden="1" x14ac:dyDescent="0.35">
      <c r="A690" s="28" t="str">
        <f>IFERROR(_xlfn.XLOOKUP(C690,[1]DIRETORIA!C:C,[1]DIRETORIA!A:A),"-")</f>
        <v>DIR. COM E CRED MG E ES</v>
      </c>
      <c r="B690" s="28" t="str">
        <f>IFERROR(_xlfn.XLOOKUP(C690,[1]DIRETORIA!C:C,[1]DIRETORIA!B:B),"-")</f>
        <v>GST. COM BH E INT</v>
      </c>
      <c r="C690" s="28" t="str">
        <f>IFERROR(_xlfn.XLOOKUP(E690,[1]EMPREENDIMENTO!C:C,[1]EMPREENDIMENTO!A:A),"-")</f>
        <v>BETIM</v>
      </c>
      <c r="D690" s="28" t="s">
        <v>29</v>
      </c>
      <c r="E690" s="28" t="s">
        <v>1309</v>
      </c>
      <c r="F690" s="28" t="s">
        <v>31</v>
      </c>
      <c r="G690" s="28" t="s">
        <v>1310</v>
      </c>
      <c r="H690" s="28">
        <v>10953</v>
      </c>
      <c r="I690" s="29">
        <f>IFERROR(_xlfn.XLOOKUP(E690,[1]EMPREENDIMENTO!C:C,[1]EMPREENDIMENTO!E:E),"0")</f>
        <v>480</v>
      </c>
      <c r="J690" s="30">
        <v>46744</v>
      </c>
      <c r="K690" s="28" t="s">
        <v>164</v>
      </c>
      <c r="L690" s="31">
        <v>45996</v>
      </c>
      <c r="M690" s="32">
        <v>129130487</v>
      </c>
      <c r="N690" s="32">
        <v>138216755</v>
      </c>
      <c r="O690" s="32">
        <v>133004402</v>
      </c>
      <c r="P690" s="28" t="s">
        <v>34</v>
      </c>
      <c r="Q690" s="28" t="s">
        <v>1311</v>
      </c>
      <c r="R690" s="30">
        <v>46001</v>
      </c>
      <c r="S690" s="30">
        <v>45996</v>
      </c>
      <c r="T690" s="33"/>
      <c r="U690" s="34" t="str">
        <f>IFERROR(_xlfn.XLOOKUP(E690,[1]EMPREENDIMENTO!C:C,[1]EMPREENDIMENTO!D:D),"")</f>
        <v>808153c0-d3cf-e311-8efb-009c02b0cb58</v>
      </c>
    </row>
    <row r="691" spans="1:21" hidden="1" x14ac:dyDescent="0.35">
      <c r="A691" s="28" t="str">
        <f>IFERROR(_xlfn.XLOOKUP(C691,[1]DIRETORIA!C:C,[1]DIRETORIA!A:A),"-")</f>
        <v>DIR. COM E CRED MG E ES</v>
      </c>
      <c r="B691" s="28" t="str">
        <f>IFERROR(_xlfn.XLOOKUP(C691,[1]DIRETORIA!C:C,[1]DIRETORIA!B:B),"-")</f>
        <v>GST. COM BH E INT</v>
      </c>
      <c r="C691" s="28" t="str">
        <f>IFERROR(_xlfn.XLOOKUP(E691,[1]EMPREENDIMENTO!C:C,[1]EMPREENDIMENTO!A:A),"-")</f>
        <v>BETIM</v>
      </c>
      <c r="D691" s="28" t="s">
        <v>29</v>
      </c>
      <c r="E691" s="28" t="s">
        <v>1309</v>
      </c>
      <c r="F691" s="28" t="s">
        <v>36</v>
      </c>
      <c r="G691" s="28" t="s">
        <v>1312</v>
      </c>
      <c r="H691" s="28">
        <v>10954</v>
      </c>
      <c r="I691" s="29">
        <f>IFERROR(_xlfn.XLOOKUP(E691,[1]EMPREENDIMENTO!C:C,[1]EMPREENDIMENTO!E:E),"0")</f>
        <v>480</v>
      </c>
      <c r="J691" s="30">
        <v>46744</v>
      </c>
      <c r="K691" s="28" t="s">
        <v>164</v>
      </c>
      <c r="L691" s="31">
        <v>45996</v>
      </c>
      <c r="M691" s="32">
        <v>129130487</v>
      </c>
      <c r="N691" s="32">
        <v>138216755</v>
      </c>
      <c r="O691" s="32">
        <v>133004402</v>
      </c>
      <c r="P691" s="28" t="s">
        <v>34</v>
      </c>
      <c r="Q691" s="28" t="s">
        <v>1311</v>
      </c>
      <c r="R691" s="30">
        <v>46001</v>
      </c>
      <c r="S691" s="30">
        <v>45996</v>
      </c>
      <c r="T691" s="33"/>
      <c r="U691" s="34" t="str">
        <f>IFERROR(_xlfn.XLOOKUP(E691,[1]EMPREENDIMENTO!C:C,[1]EMPREENDIMENTO!D:D),"")</f>
        <v>808153c0-d3cf-e311-8efb-009c02b0cb58</v>
      </c>
    </row>
    <row r="692" spans="1:21" hidden="1" x14ac:dyDescent="0.35">
      <c r="A692" s="28" t="str">
        <f>IFERROR(_xlfn.XLOOKUP(C692,[1]DIRETORIA!C:C,[1]DIRETORIA!A:A),"-")</f>
        <v>DIR. COM E CRED MG E ES</v>
      </c>
      <c r="B692" s="28" t="str">
        <f>IFERROR(_xlfn.XLOOKUP(C692,[1]DIRETORIA!C:C,[1]DIRETORIA!B:B),"-")</f>
        <v>GST. COM BH E INT</v>
      </c>
      <c r="C692" s="28" t="str">
        <f>IFERROR(_xlfn.XLOOKUP(E692,[1]EMPREENDIMENTO!C:C,[1]EMPREENDIMENTO!A:A),"-")</f>
        <v>BETIM</v>
      </c>
      <c r="D692" s="28" t="s">
        <v>29</v>
      </c>
      <c r="E692" s="28" t="s">
        <v>1309</v>
      </c>
      <c r="F692" s="28" t="s">
        <v>39</v>
      </c>
      <c r="G692" s="28" t="s">
        <v>1313</v>
      </c>
      <c r="H692" s="28">
        <v>10955</v>
      </c>
      <c r="I692" s="29">
        <f>IFERROR(_xlfn.XLOOKUP(E692,[1]EMPREENDIMENTO!C:C,[1]EMPREENDIMENTO!E:E),"0")</f>
        <v>480</v>
      </c>
      <c r="J692" s="30">
        <v>46744</v>
      </c>
      <c r="K692" s="28" t="s">
        <v>164</v>
      </c>
      <c r="L692" s="31">
        <v>45996</v>
      </c>
      <c r="M692" s="32">
        <v>129130487</v>
      </c>
      <c r="N692" s="32">
        <v>138216755</v>
      </c>
      <c r="O692" s="32">
        <v>133004402</v>
      </c>
      <c r="P692" s="28" t="s">
        <v>34</v>
      </c>
      <c r="Q692" s="28" t="s">
        <v>1311</v>
      </c>
      <c r="R692" s="30">
        <v>46001</v>
      </c>
      <c r="S692" s="30">
        <v>45996</v>
      </c>
      <c r="T692" s="33"/>
      <c r="U692" s="34" t="str">
        <f>IFERROR(_xlfn.XLOOKUP(E692,[1]EMPREENDIMENTO!C:C,[1]EMPREENDIMENTO!D:D),"")</f>
        <v>808153c0-d3cf-e311-8efb-009c02b0cb58</v>
      </c>
    </row>
    <row r="693" spans="1:21" hidden="1" x14ac:dyDescent="0.35">
      <c r="A693" s="28" t="str">
        <f>IFERROR(_xlfn.XLOOKUP(C693,[1]DIRETORIA!C:C,[1]DIRETORIA!A:A),"-")</f>
        <v>DIR. COM E CRED CO E AM</v>
      </c>
      <c r="B693" s="28" t="str">
        <f>IFERROR(_xlfn.XLOOKUP(C693,[1]DIRETORIA!C:C,[1]DIRETORIA!B:B),"-")</f>
        <v>GST. COM TO</v>
      </c>
      <c r="C693" s="28" t="str">
        <f>IFERROR(_xlfn.XLOOKUP(E693,[1]EMPREENDIMENTO!C:C,[1]EMPREENDIMENTO!A:A),"-")</f>
        <v>PALMAS</v>
      </c>
      <c r="D693" s="28" t="s">
        <v>29</v>
      </c>
      <c r="E693" s="28" t="s">
        <v>1314</v>
      </c>
      <c r="F693" s="28" t="s">
        <v>31</v>
      </c>
      <c r="G693" s="28" t="s">
        <v>1315</v>
      </c>
      <c r="H693" s="28">
        <v>44461</v>
      </c>
      <c r="I693" s="29">
        <f>IFERROR(_xlfn.XLOOKUP(E693,[1]EMPREENDIMENTO!C:C,[1]EMPREENDIMENTO!E:E),"0")</f>
        <v>480</v>
      </c>
      <c r="J693" s="30">
        <v>46670</v>
      </c>
      <c r="K693" s="28" t="s">
        <v>33</v>
      </c>
      <c r="L693" s="31">
        <v>46015</v>
      </c>
      <c r="M693" s="32">
        <v>129999130</v>
      </c>
      <c r="N693" s="32">
        <v>137199130</v>
      </c>
      <c r="O693" s="32">
        <v>135591350</v>
      </c>
      <c r="P693" s="28" t="s">
        <v>34</v>
      </c>
      <c r="Q693" s="28" t="s">
        <v>1316</v>
      </c>
      <c r="R693" s="30">
        <v>46017</v>
      </c>
      <c r="S693" s="30">
        <v>46017</v>
      </c>
      <c r="T693" s="33"/>
      <c r="U693" s="34" t="str">
        <f>IFERROR(_xlfn.XLOOKUP(E693,[1]EMPREENDIMENTO!C:C,[1]EMPREENDIMENTO!D:D),"")</f>
        <v>e4ba7264-1c62-ee11-8acd-80c16e075108</v>
      </c>
    </row>
    <row r="694" spans="1:21" hidden="1" x14ac:dyDescent="0.35">
      <c r="A694" s="28" t="str">
        <f>IFERROR(_xlfn.XLOOKUP(C694,[1]DIRETORIA!C:C,[1]DIRETORIA!A:A),"-")</f>
        <v>DIR. COM E CRED CO E AM</v>
      </c>
      <c r="B694" s="28" t="str">
        <f>IFERROR(_xlfn.XLOOKUP(C694,[1]DIRETORIA!C:C,[1]DIRETORIA!B:B),"-")</f>
        <v>GST. COM TO</v>
      </c>
      <c r="C694" s="28" t="str">
        <f>IFERROR(_xlfn.XLOOKUP(E694,[1]EMPREENDIMENTO!C:C,[1]EMPREENDIMENTO!A:A),"-")</f>
        <v>PALMAS</v>
      </c>
      <c r="D694" s="28" t="s">
        <v>29</v>
      </c>
      <c r="E694" s="28" t="s">
        <v>1314</v>
      </c>
      <c r="F694" s="28" t="s">
        <v>36</v>
      </c>
      <c r="G694" s="28" t="s">
        <v>1317</v>
      </c>
      <c r="H694" s="28">
        <v>50304</v>
      </c>
      <c r="I694" s="29">
        <f>IFERROR(_xlfn.XLOOKUP(E694,[1]EMPREENDIMENTO!C:C,[1]EMPREENDIMENTO!E:E),"0")</f>
        <v>480</v>
      </c>
      <c r="J694" s="30">
        <v>46670</v>
      </c>
      <c r="K694" s="28" t="s">
        <v>33</v>
      </c>
      <c r="L694" s="31">
        <v>46015</v>
      </c>
      <c r="M694" s="32">
        <v>129999130</v>
      </c>
      <c r="N694" s="32">
        <v>137199130</v>
      </c>
      <c r="O694" s="32">
        <v>135591350</v>
      </c>
      <c r="P694" s="28" t="s">
        <v>34</v>
      </c>
      <c r="Q694" s="28" t="s">
        <v>1316</v>
      </c>
      <c r="R694" s="30">
        <v>46017</v>
      </c>
      <c r="S694" s="30">
        <v>46017</v>
      </c>
      <c r="T694" s="33"/>
      <c r="U694" s="34" t="str">
        <f>IFERROR(_xlfn.XLOOKUP(E694,[1]EMPREENDIMENTO!C:C,[1]EMPREENDIMENTO!D:D),"")</f>
        <v>e4ba7264-1c62-ee11-8acd-80c16e075108</v>
      </c>
    </row>
    <row r="695" spans="1:21" hidden="1" x14ac:dyDescent="0.35">
      <c r="A695" s="28" t="str">
        <f>IFERROR(_xlfn.XLOOKUP(C695,[1]DIRETORIA!C:C,[1]DIRETORIA!A:A),"-")</f>
        <v>DIR. COM E CRED CO E AM</v>
      </c>
      <c r="B695" s="28" t="str">
        <f>IFERROR(_xlfn.XLOOKUP(C695,[1]DIRETORIA!C:C,[1]DIRETORIA!B:B),"-")</f>
        <v>GST. COM TO</v>
      </c>
      <c r="C695" s="28" t="str">
        <f>IFERROR(_xlfn.XLOOKUP(E695,[1]EMPREENDIMENTO!C:C,[1]EMPREENDIMENTO!A:A),"-")</f>
        <v>PALMAS</v>
      </c>
      <c r="D695" s="28" t="s">
        <v>29</v>
      </c>
      <c r="E695" s="28" t="s">
        <v>1314</v>
      </c>
      <c r="F695" s="28" t="s">
        <v>39</v>
      </c>
      <c r="G695" s="28" t="s">
        <v>1318</v>
      </c>
      <c r="H695" s="28">
        <v>50417</v>
      </c>
      <c r="I695" s="29">
        <f>IFERROR(_xlfn.XLOOKUP(E695,[1]EMPREENDIMENTO!C:C,[1]EMPREENDIMENTO!E:E),"0")</f>
        <v>480</v>
      </c>
      <c r="J695" s="30">
        <v>46670</v>
      </c>
      <c r="K695" s="28" t="s">
        <v>33</v>
      </c>
      <c r="L695" s="31">
        <v>46015</v>
      </c>
      <c r="M695" s="32">
        <v>129999130</v>
      </c>
      <c r="N695" s="32">
        <v>137199130</v>
      </c>
      <c r="O695" s="32">
        <v>135591350</v>
      </c>
      <c r="P695" s="28" t="s">
        <v>34</v>
      </c>
      <c r="Q695" s="28" t="s">
        <v>1316</v>
      </c>
      <c r="R695" s="30">
        <v>46017</v>
      </c>
      <c r="S695" s="30">
        <v>46017</v>
      </c>
      <c r="T695" s="33"/>
      <c r="U695" s="34" t="str">
        <f>IFERROR(_xlfn.XLOOKUP(E695,[1]EMPREENDIMENTO!C:C,[1]EMPREENDIMENTO!D:D),"")</f>
        <v>e4ba7264-1c62-ee11-8acd-80c16e075108</v>
      </c>
    </row>
    <row r="696" spans="1:21" hidden="1" x14ac:dyDescent="0.35">
      <c r="A696" s="28" t="str">
        <f>IFERROR(_xlfn.XLOOKUP(C696,[1]DIRETORIA!C:C,[1]DIRETORIA!A:A),"-")</f>
        <v>DIR. COM E CRED CO E AM</v>
      </c>
      <c r="B696" s="28" t="str">
        <f>IFERROR(_xlfn.XLOOKUP(C696,[1]DIRETORIA!C:C,[1]DIRETORIA!B:B),"-")</f>
        <v>GST. COM TO</v>
      </c>
      <c r="C696" s="28" t="str">
        <f>IFERROR(_xlfn.XLOOKUP(E696,[1]EMPREENDIMENTO!C:C,[1]EMPREENDIMENTO!A:A),"-")</f>
        <v>PALMAS</v>
      </c>
      <c r="D696" s="28" t="s">
        <v>29</v>
      </c>
      <c r="E696" s="28" t="s">
        <v>1314</v>
      </c>
      <c r="F696" s="28" t="s">
        <v>50</v>
      </c>
      <c r="G696" s="28" t="s">
        <v>1319</v>
      </c>
      <c r="H696" s="28">
        <v>53131</v>
      </c>
      <c r="I696" s="29">
        <f>IFERROR(_xlfn.XLOOKUP(E696,[1]EMPREENDIMENTO!C:C,[1]EMPREENDIMENTO!E:E),"0")</f>
        <v>480</v>
      </c>
      <c r="J696" s="30">
        <v>46670</v>
      </c>
      <c r="K696" s="28" t="s">
        <v>33</v>
      </c>
      <c r="L696" s="31">
        <v>46015</v>
      </c>
      <c r="M696" s="32">
        <v>129999130</v>
      </c>
      <c r="N696" s="32">
        <v>137199130</v>
      </c>
      <c r="O696" s="32">
        <v>135591350</v>
      </c>
      <c r="P696" s="28" t="s">
        <v>34</v>
      </c>
      <c r="Q696" s="28" t="s">
        <v>1316</v>
      </c>
      <c r="R696" s="30">
        <v>46017</v>
      </c>
      <c r="S696" s="30">
        <v>46017</v>
      </c>
      <c r="T696" s="33"/>
      <c r="U696" s="34" t="str">
        <f>IFERROR(_xlfn.XLOOKUP(E696,[1]EMPREENDIMENTO!C:C,[1]EMPREENDIMENTO!D:D),"")</f>
        <v>e4ba7264-1c62-ee11-8acd-80c16e075108</v>
      </c>
    </row>
    <row r="697" spans="1:21" hidden="1" x14ac:dyDescent="0.35">
      <c r="A697" s="28" t="str">
        <f>IFERROR(_xlfn.XLOOKUP(C697,[1]DIRETORIA!C:C,[1]DIRETORIA!A:A),"-")</f>
        <v>DIR. COM E CRED NE</v>
      </c>
      <c r="B697" s="28" t="str">
        <f>IFERROR(_xlfn.XLOOKUP(C697,[1]DIRETORIA!C:C,[1]DIRETORIA!B:B),"-")</f>
        <v>GST. COM NE 3 (SE+AL)</v>
      </c>
      <c r="C697" s="28" t="str">
        <f>IFERROR(_xlfn.XLOOKUP(E697,[1]EMPREENDIMENTO!C:C,[1]EMPREENDIMENTO!A:A),"-")</f>
        <v>ARACAJU</v>
      </c>
      <c r="D697" s="28" t="s">
        <v>29</v>
      </c>
      <c r="E697" s="28" t="s">
        <v>1320</v>
      </c>
      <c r="F697" s="28" t="s">
        <v>31</v>
      </c>
      <c r="G697" s="28" t="s">
        <v>1321</v>
      </c>
      <c r="H697" s="28">
        <v>58240</v>
      </c>
      <c r="I697" s="29">
        <f>IFERROR(_xlfn.XLOOKUP(E697,[1]EMPREENDIMENTO!C:C,[1]EMPREENDIMENTO!E:E),"0")</f>
        <v>480</v>
      </c>
      <c r="J697" s="30"/>
      <c r="K697" s="28" t="s">
        <v>33</v>
      </c>
      <c r="L697" s="31">
        <v>46198</v>
      </c>
      <c r="M697" s="32">
        <v>108344298</v>
      </c>
      <c r="N697" s="32">
        <v>120521153</v>
      </c>
      <c r="O697" s="32">
        <v>110713500</v>
      </c>
      <c r="P697" s="28" t="s">
        <v>34</v>
      </c>
      <c r="Q697" s="28" t="s">
        <v>1322</v>
      </c>
      <c r="R697" s="30">
        <v>46219</v>
      </c>
      <c r="S697" s="30">
        <v>46198</v>
      </c>
      <c r="T697" s="33"/>
      <c r="U697" s="34" t="str">
        <f>IFERROR(_xlfn.XLOOKUP(E697,[1]EMPREENDIMENTO!C:C,[1]EMPREENDIMENTO!D:D),"")</f>
        <v>ca4a59aa-8ced-e811-b773-80c16e075108</v>
      </c>
    </row>
    <row r="698" spans="1:21" hidden="1" x14ac:dyDescent="0.35">
      <c r="A698" s="28" t="str">
        <f>IFERROR(_xlfn.XLOOKUP(C698,[1]DIRETORIA!C:C,[1]DIRETORIA!A:A),"-")</f>
        <v>DIR. COM E CRED NE</v>
      </c>
      <c r="B698" s="28" t="str">
        <f>IFERROR(_xlfn.XLOOKUP(C698,[1]DIRETORIA!C:C,[1]DIRETORIA!B:B),"-")</f>
        <v>GST. COM NE 3 (SE+AL)</v>
      </c>
      <c r="C698" s="28" t="str">
        <f>IFERROR(_xlfn.XLOOKUP(E698,[1]EMPREENDIMENTO!C:C,[1]EMPREENDIMENTO!A:A),"-")</f>
        <v>ARACAJU</v>
      </c>
      <c r="D698" s="28" t="s">
        <v>29</v>
      </c>
      <c r="E698" s="28" t="s">
        <v>1320</v>
      </c>
      <c r="F698" s="28" t="s">
        <v>36</v>
      </c>
      <c r="G698" s="28" t="s">
        <v>1323</v>
      </c>
      <c r="H698" s="28">
        <v>67207</v>
      </c>
      <c r="I698" s="29">
        <f>IFERROR(_xlfn.XLOOKUP(E698,[1]EMPREENDIMENTO!C:C,[1]EMPREENDIMENTO!E:E),"0")</f>
        <v>480</v>
      </c>
      <c r="J698" s="30"/>
      <c r="K698" s="28" t="s">
        <v>33</v>
      </c>
      <c r="L698" s="31">
        <v>46198</v>
      </c>
      <c r="M698" s="32">
        <v>108344298</v>
      </c>
      <c r="N698" s="32">
        <v>120521153</v>
      </c>
      <c r="O698" s="32">
        <v>110713500</v>
      </c>
      <c r="P698" s="28" t="s">
        <v>34</v>
      </c>
      <c r="Q698" s="28" t="s">
        <v>1322</v>
      </c>
      <c r="R698" s="30">
        <v>46219</v>
      </c>
      <c r="S698" s="30">
        <v>46198</v>
      </c>
      <c r="T698" s="33"/>
      <c r="U698" s="34" t="str">
        <f>IFERROR(_xlfn.XLOOKUP(E698,[1]EMPREENDIMENTO!C:C,[1]EMPREENDIMENTO!D:D),"")</f>
        <v>ca4a59aa-8ced-e811-b773-80c16e075108</v>
      </c>
    </row>
    <row r="699" spans="1:21" hidden="1" x14ac:dyDescent="0.35">
      <c r="A699" s="28" t="str">
        <f>IFERROR(_xlfn.XLOOKUP(C699,[1]DIRETORIA!C:C,[1]DIRETORIA!A:A),"-")</f>
        <v>DIR. COM E CRED NE</v>
      </c>
      <c r="B699" s="28" t="str">
        <f>IFERROR(_xlfn.XLOOKUP(C699,[1]DIRETORIA!C:C,[1]DIRETORIA!B:B),"-")</f>
        <v>GST. COM NE 3 (SE+AL)</v>
      </c>
      <c r="C699" s="28" t="str">
        <f>IFERROR(_xlfn.XLOOKUP(E699,[1]EMPREENDIMENTO!C:C,[1]EMPREENDIMENTO!A:A),"-")</f>
        <v>ARACAJU</v>
      </c>
      <c r="D699" s="28" t="s">
        <v>85</v>
      </c>
      <c r="E699" s="28" t="s">
        <v>1320</v>
      </c>
      <c r="F699" s="28" t="s">
        <v>39</v>
      </c>
      <c r="G699" s="28" t="s">
        <v>268</v>
      </c>
      <c r="H699" s="28" t="s">
        <v>268</v>
      </c>
      <c r="I699" s="29">
        <f>IFERROR(_xlfn.XLOOKUP(E699,[1]EMPREENDIMENTO!C:C,[1]EMPREENDIMENTO!E:E),"0")</f>
        <v>480</v>
      </c>
      <c r="J699" s="30"/>
      <c r="K699" s="28" t="s">
        <v>33</v>
      </c>
      <c r="L699" s="31">
        <v>46198</v>
      </c>
      <c r="M699" s="32">
        <v>108344298</v>
      </c>
      <c r="N699" s="32">
        <v>120521153</v>
      </c>
      <c r="O699" s="32">
        <v>110713500</v>
      </c>
      <c r="P699" s="28" t="s">
        <v>34</v>
      </c>
      <c r="Q699" s="28" t="s">
        <v>1322</v>
      </c>
      <c r="R699" s="30">
        <v>46219</v>
      </c>
      <c r="S699" s="30">
        <v>46198</v>
      </c>
      <c r="T699" s="33"/>
      <c r="U699" s="34" t="str">
        <f>IFERROR(_xlfn.XLOOKUP(E699,[1]EMPREENDIMENTO!C:C,[1]EMPREENDIMENTO!D:D),"")</f>
        <v>ca4a59aa-8ced-e811-b773-80c16e075108</v>
      </c>
    </row>
    <row r="700" spans="1:21" hidden="1" x14ac:dyDescent="0.35">
      <c r="A700" s="28" t="str">
        <f>IFERROR(_xlfn.XLOOKUP(C700,[1]DIRETORIA!C:C,[1]DIRETORIA!A:A),"-")</f>
        <v>DIR. COM E CRED SP E VL</v>
      </c>
      <c r="B700" s="28" t="str">
        <f>IFERROR(_xlfn.XLOOKUP(C700,[1]DIRETORIA!C:C,[1]DIRETORIA!B:B),"-")</f>
        <v>GST. COM VL2</v>
      </c>
      <c r="C700" s="28" t="str">
        <f>IFERROR(_xlfn.XLOOKUP(E700,[1]EMPREENDIMENTO!C:C,[1]EMPREENDIMENTO!A:A),"-")</f>
        <v>ITAQUAQUECETUBA</v>
      </c>
      <c r="D700" s="28" t="s">
        <v>29</v>
      </c>
      <c r="E700" s="28" t="s">
        <v>1324</v>
      </c>
      <c r="F700" s="28" t="s">
        <v>31</v>
      </c>
      <c r="G700" s="28" t="s">
        <v>1325</v>
      </c>
      <c r="H700" s="28">
        <v>35945</v>
      </c>
      <c r="I700" s="29">
        <f>IFERROR(_xlfn.XLOOKUP(E700,[1]EMPREENDIMENTO!C:C,[1]EMPREENDIMENTO!E:E),"0")</f>
        <v>480</v>
      </c>
      <c r="J700" s="30">
        <v>46720</v>
      </c>
      <c r="K700" s="28" t="s">
        <v>33</v>
      </c>
      <c r="L700" s="31">
        <v>45807</v>
      </c>
      <c r="M700" s="32">
        <v>113595000</v>
      </c>
      <c r="N700" s="32">
        <v>127226400</v>
      </c>
      <c r="O700" s="32">
        <v>126090720</v>
      </c>
      <c r="P700" s="28" t="s">
        <v>34</v>
      </c>
      <c r="Q700" s="28" t="s">
        <v>1326</v>
      </c>
      <c r="R700" s="30">
        <v>46058</v>
      </c>
      <c r="S700" s="30">
        <v>46058</v>
      </c>
      <c r="T700" s="33"/>
      <c r="U700" s="34" t="str">
        <f>IFERROR(_xlfn.XLOOKUP(E700,[1]EMPREENDIMENTO!C:C,[1]EMPREENDIMENTO!D:D),"")</f>
        <v>bd4dcfad-da9b-ec11-a871-005056895191</v>
      </c>
    </row>
    <row r="701" spans="1:21" hidden="1" x14ac:dyDescent="0.35">
      <c r="A701" s="28" t="str">
        <f>IFERROR(_xlfn.XLOOKUP(C701,[1]DIRETORIA!C:C,[1]DIRETORIA!A:A),"-")</f>
        <v>DIR. COM E CRED SP E VL</v>
      </c>
      <c r="B701" s="28" t="str">
        <f>IFERROR(_xlfn.XLOOKUP(C701,[1]DIRETORIA!C:C,[1]DIRETORIA!B:B),"-")</f>
        <v>GST. COM VL2</v>
      </c>
      <c r="C701" s="28" t="str">
        <f>IFERROR(_xlfn.XLOOKUP(E701,[1]EMPREENDIMENTO!C:C,[1]EMPREENDIMENTO!A:A),"-")</f>
        <v>ITAQUAQUECETUBA</v>
      </c>
      <c r="D701" s="28" t="s">
        <v>29</v>
      </c>
      <c r="E701" s="28" t="s">
        <v>1324</v>
      </c>
      <c r="F701" s="28" t="s">
        <v>36</v>
      </c>
      <c r="G701" s="28" t="s">
        <v>1327</v>
      </c>
      <c r="H701" s="28">
        <v>50305</v>
      </c>
      <c r="I701" s="29">
        <f>IFERROR(_xlfn.XLOOKUP(E701,[1]EMPREENDIMENTO!C:C,[1]EMPREENDIMENTO!E:E),"0")</f>
        <v>480</v>
      </c>
      <c r="J701" s="30">
        <v>46720</v>
      </c>
      <c r="K701" s="28" t="s">
        <v>33</v>
      </c>
      <c r="L701" s="31">
        <v>45807</v>
      </c>
      <c r="M701" s="32">
        <v>113595000</v>
      </c>
      <c r="N701" s="32">
        <v>127226400</v>
      </c>
      <c r="O701" s="32">
        <v>126090720</v>
      </c>
      <c r="P701" s="28" t="s">
        <v>34</v>
      </c>
      <c r="Q701" s="28" t="s">
        <v>1326</v>
      </c>
      <c r="R701" s="30">
        <v>46058</v>
      </c>
      <c r="S701" s="30">
        <v>46058</v>
      </c>
      <c r="T701" s="33"/>
      <c r="U701" s="34" t="str">
        <f>IFERROR(_xlfn.XLOOKUP(E701,[1]EMPREENDIMENTO!C:C,[1]EMPREENDIMENTO!D:D),"")</f>
        <v>bd4dcfad-da9b-ec11-a871-005056895191</v>
      </c>
    </row>
    <row r="702" spans="1:21" hidden="1" x14ac:dyDescent="0.35">
      <c r="A702" s="28" t="str">
        <f>IFERROR(_xlfn.XLOOKUP(C702,[1]DIRETORIA!C:C,[1]DIRETORIA!A:A),"-")</f>
        <v>DIR. COM E CRED SP E VL</v>
      </c>
      <c r="B702" s="28" t="str">
        <f>IFERROR(_xlfn.XLOOKUP(C702,[1]DIRETORIA!C:C,[1]DIRETORIA!B:B),"-")</f>
        <v>GST. COM SP2</v>
      </c>
      <c r="C702" s="28" t="str">
        <f>IFERROR(_xlfn.XLOOKUP(E702,[1]EMPREENDIMENTO!C:C,[1]EMPREENDIMENTO!A:A),"-")</f>
        <v>SÃO PAULO</v>
      </c>
      <c r="D702" s="28" t="s">
        <v>29</v>
      </c>
      <c r="E702" s="28" t="s">
        <v>1328</v>
      </c>
      <c r="F702" s="28" t="s">
        <v>31</v>
      </c>
      <c r="G702" s="28" t="s">
        <v>1329</v>
      </c>
      <c r="H702" s="28">
        <v>44210</v>
      </c>
      <c r="I702" s="29">
        <f>IFERROR(_xlfn.XLOOKUP(E702,[1]EMPREENDIMENTO!C:C,[1]EMPREENDIMENTO!E:E),"0")</f>
        <v>384</v>
      </c>
      <c r="J702" s="30">
        <v>46685</v>
      </c>
      <c r="K702" s="28" t="s">
        <v>33</v>
      </c>
      <c r="L702" s="31">
        <v>45826</v>
      </c>
      <c r="M702" s="32">
        <v>94991242</v>
      </c>
      <c r="N702" s="32">
        <v>104490366</v>
      </c>
      <c r="O702" s="32">
        <v>104490366</v>
      </c>
      <c r="P702" s="28" t="s">
        <v>34</v>
      </c>
      <c r="Q702" s="28" t="s">
        <v>1330</v>
      </c>
      <c r="R702" s="30">
        <v>45807</v>
      </c>
      <c r="S702" s="30">
        <v>45828</v>
      </c>
      <c r="T702" s="33"/>
      <c r="U702" s="34" t="str">
        <f>IFERROR(_xlfn.XLOOKUP(E702,[1]EMPREENDIMENTO!C:C,[1]EMPREENDIMENTO!D:D),"")</f>
        <v>aa4d2a27-7d30-ed11-b1ad-005056856875</v>
      </c>
    </row>
    <row r="703" spans="1:21" hidden="1" x14ac:dyDescent="0.35">
      <c r="A703" s="28" t="str">
        <f>IFERROR(_xlfn.XLOOKUP(C703,[1]DIRETORIA!C:C,[1]DIRETORIA!A:A),"-")</f>
        <v>DIR. COM E CRED SP E VL</v>
      </c>
      <c r="B703" s="28" t="str">
        <f>IFERROR(_xlfn.XLOOKUP(C703,[1]DIRETORIA!C:C,[1]DIRETORIA!B:B),"-")</f>
        <v>GST. COM SP2</v>
      </c>
      <c r="C703" s="28" t="str">
        <f>IFERROR(_xlfn.XLOOKUP(E703,[1]EMPREENDIMENTO!C:C,[1]EMPREENDIMENTO!A:A),"-")</f>
        <v>SÃO PAULO</v>
      </c>
      <c r="D703" s="28" t="s">
        <v>29</v>
      </c>
      <c r="E703" s="28" t="s">
        <v>1328</v>
      </c>
      <c r="F703" s="28" t="s">
        <v>36</v>
      </c>
      <c r="G703" s="28" t="s">
        <v>1331</v>
      </c>
      <c r="H703" s="28">
        <v>51355</v>
      </c>
      <c r="I703" s="29">
        <f>IFERROR(_xlfn.XLOOKUP(E703,[1]EMPREENDIMENTO!C:C,[1]EMPREENDIMENTO!E:E),"0")</f>
        <v>384</v>
      </c>
      <c r="J703" s="30">
        <v>46685</v>
      </c>
      <c r="K703" s="28" t="s">
        <v>33</v>
      </c>
      <c r="L703" s="31">
        <v>45826</v>
      </c>
      <c r="M703" s="32">
        <v>94991242</v>
      </c>
      <c r="N703" s="32">
        <v>104490366</v>
      </c>
      <c r="O703" s="32">
        <v>104490366</v>
      </c>
      <c r="P703" s="28" t="s">
        <v>34</v>
      </c>
      <c r="Q703" s="28" t="s">
        <v>1330</v>
      </c>
      <c r="R703" s="30">
        <v>45807</v>
      </c>
      <c r="S703" s="30">
        <v>45828</v>
      </c>
      <c r="T703" s="33"/>
      <c r="U703" s="34" t="str">
        <f>IFERROR(_xlfn.XLOOKUP(E703,[1]EMPREENDIMENTO!C:C,[1]EMPREENDIMENTO!D:D),"")</f>
        <v>aa4d2a27-7d30-ed11-b1ad-005056856875</v>
      </c>
    </row>
    <row r="704" spans="1:21" hidden="1" x14ac:dyDescent="0.35">
      <c r="A704" s="28" t="str">
        <f>IFERROR(_xlfn.XLOOKUP(C704,[1]DIRETORIA!C:C,[1]DIRETORIA!A:A),"-")</f>
        <v>DIR. COM E CRED CO E AM</v>
      </c>
      <c r="B704" s="28" t="str">
        <f>IFERROR(_xlfn.XLOOKUP(C704,[1]DIRETORIA!C:C,[1]DIRETORIA!B:B),"-")</f>
        <v>GST. COM MT</v>
      </c>
      <c r="C704" s="28" t="str">
        <f>IFERROR(_xlfn.XLOOKUP(E704,[1]EMPREENDIMENTO!C:C,[1]EMPREENDIMENTO!A:A),"-")</f>
        <v>CUIABÁ</v>
      </c>
      <c r="D704" s="28" t="s">
        <v>29</v>
      </c>
      <c r="E704" s="28" t="s">
        <v>1332</v>
      </c>
      <c r="F704" s="28" t="s">
        <v>31</v>
      </c>
      <c r="G704" s="28" t="s">
        <v>1333</v>
      </c>
      <c r="H704" s="28">
        <v>44732</v>
      </c>
      <c r="I704" s="29">
        <f>IFERROR(_xlfn.XLOOKUP(E704,[1]EMPREENDIMENTO!C:C,[1]EMPREENDIMENTO!E:E),"0")</f>
        <v>320</v>
      </c>
      <c r="J704" s="30">
        <v>46720</v>
      </c>
      <c r="K704" s="28" t="s">
        <v>33</v>
      </c>
      <c r="L704" s="31">
        <v>46237</v>
      </c>
      <c r="M704" s="32">
        <v>96761502</v>
      </c>
      <c r="N704" s="32">
        <v>107837331</v>
      </c>
      <c r="O704" s="32">
        <v>105641234</v>
      </c>
      <c r="P704" s="28" t="s">
        <v>34</v>
      </c>
      <c r="Q704" s="28" t="s">
        <v>1334</v>
      </c>
      <c r="R704" s="30">
        <v>46240</v>
      </c>
      <c r="S704" s="30">
        <v>46238</v>
      </c>
      <c r="T704" s="33"/>
      <c r="U704" s="34" t="str">
        <f>IFERROR(_xlfn.XLOOKUP(E704,[1]EMPREENDIMENTO!C:C,[1]EMPREENDIMENTO!D:D),"")</f>
        <v>17bb08e5-9cfc-e811-b503-009c02b0cb58</v>
      </c>
    </row>
    <row r="705" spans="1:21" hidden="1" x14ac:dyDescent="0.35">
      <c r="A705" s="28" t="str">
        <f>IFERROR(_xlfn.XLOOKUP(C705,[1]DIRETORIA!C:C,[1]DIRETORIA!A:A),"-")</f>
        <v>DIR. COM E CRED CO E AM</v>
      </c>
      <c r="B705" s="28" t="str">
        <f>IFERROR(_xlfn.XLOOKUP(C705,[1]DIRETORIA!C:C,[1]DIRETORIA!B:B),"-")</f>
        <v>GST. COM MT</v>
      </c>
      <c r="C705" s="28" t="str">
        <f>IFERROR(_xlfn.XLOOKUP(E705,[1]EMPREENDIMENTO!C:C,[1]EMPREENDIMENTO!A:A),"-")</f>
        <v>CUIABÁ</v>
      </c>
      <c r="D705" s="28" t="s">
        <v>29</v>
      </c>
      <c r="E705" s="28" t="s">
        <v>1332</v>
      </c>
      <c r="F705" s="28" t="s">
        <v>36</v>
      </c>
      <c r="G705" s="28" t="s">
        <v>1335</v>
      </c>
      <c r="H705" s="28">
        <v>50433</v>
      </c>
      <c r="I705" s="29">
        <f>IFERROR(_xlfn.XLOOKUP(E705,[1]EMPREENDIMENTO!C:C,[1]EMPREENDIMENTO!E:E),"0")</f>
        <v>320</v>
      </c>
      <c r="J705" s="30">
        <v>46720</v>
      </c>
      <c r="K705" s="28" t="s">
        <v>33</v>
      </c>
      <c r="L705" s="31">
        <v>46237</v>
      </c>
      <c r="M705" s="32">
        <v>96761502</v>
      </c>
      <c r="N705" s="32">
        <v>107837331</v>
      </c>
      <c r="O705" s="32">
        <v>105641234</v>
      </c>
      <c r="P705" s="28" t="s">
        <v>34</v>
      </c>
      <c r="Q705" s="28" t="s">
        <v>1334</v>
      </c>
      <c r="R705" s="30">
        <v>46240</v>
      </c>
      <c r="S705" s="30">
        <v>46238</v>
      </c>
      <c r="T705" s="33"/>
      <c r="U705" s="34" t="str">
        <f>IFERROR(_xlfn.XLOOKUP(E705,[1]EMPREENDIMENTO!C:C,[1]EMPREENDIMENTO!D:D),"")</f>
        <v>17bb08e5-9cfc-e811-b503-009c02b0cb58</v>
      </c>
    </row>
    <row r="706" spans="1:21" hidden="1" x14ac:dyDescent="0.35">
      <c r="A706" s="28" t="str">
        <f>IFERROR(_xlfn.XLOOKUP(C706,[1]DIRETORIA!C:C,[1]DIRETORIA!A:A),"-")</f>
        <v>DIR. COM E CRED CO E AM</v>
      </c>
      <c r="B706" s="28" t="str">
        <f>IFERROR(_xlfn.XLOOKUP(C706,[1]DIRETORIA!C:C,[1]DIRETORIA!B:B),"-")</f>
        <v>GST. COM MT</v>
      </c>
      <c r="C706" s="28" t="str">
        <f>IFERROR(_xlfn.XLOOKUP(E706,[1]EMPREENDIMENTO!C:C,[1]EMPREENDIMENTO!A:A),"-")</f>
        <v>CUIABÁ</v>
      </c>
      <c r="D706" s="28" t="s">
        <v>29</v>
      </c>
      <c r="E706" s="28" t="s">
        <v>1332</v>
      </c>
      <c r="F706" s="28" t="s">
        <v>39</v>
      </c>
      <c r="G706" s="28" t="s">
        <v>1336</v>
      </c>
      <c r="H706" s="28">
        <v>52211</v>
      </c>
      <c r="I706" s="29">
        <f>IFERROR(_xlfn.XLOOKUP(E706,[1]EMPREENDIMENTO!C:C,[1]EMPREENDIMENTO!E:E),"0")</f>
        <v>320</v>
      </c>
      <c r="J706" s="30">
        <v>46720</v>
      </c>
      <c r="K706" s="28" t="s">
        <v>33</v>
      </c>
      <c r="L706" s="31">
        <v>46237</v>
      </c>
      <c r="M706" s="32">
        <v>96761502</v>
      </c>
      <c r="N706" s="32">
        <v>107837331</v>
      </c>
      <c r="O706" s="32">
        <v>105641234</v>
      </c>
      <c r="P706" s="28" t="s">
        <v>34</v>
      </c>
      <c r="Q706" s="28" t="s">
        <v>1334</v>
      </c>
      <c r="R706" s="30">
        <v>46240</v>
      </c>
      <c r="S706" s="30">
        <v>46238</v>
      </c>
      <c r="T706" s="33"/>
      <c r="U706" s="34" t="str">
        <f>IFERROR(_xlfn.XLOOKUP(E706,[1]EMPREENDIMENTO!C:C,[1]EMPREENDIMENTO!D:D),"")</f>
        <v>17bb08e5-9cfc-e811-b503-009c02b0cb58</v>
      </c>
    </row>
    <row r="707" spans="1:21" hidden="1" x14ac:dyDescent="0.35">
      <c r="A707" s="28" t="str">
        <f>IFERROR(_xlfn.XLOOKUP(C707,[1]DIRETORIA!C:C,[1]DIRETORIA!A:A),"-")</f>
        <v>DIR. COM E CRED NE</v>
      </c>
      <c r="B707" s="28" t="str">
        <f>IFERROR(_xlfn.XLOOKUP(C707,[1]DIRETORIA!C:C,[1]DIRETORIA!B:B),"-")</f>
        <v>GST. COM NE4 (CE)</v>
      </c>
      <c r="C707" s="28" t="str">
        <f>IFERROR(_xlfn.XLOOKUP(E707,[1]EMPREENDIMENTO!C:C,[1]EMPREENDIMENTO!A:A),"-")</f>
        <v>FORTALEZA</v>
      </c>
      <c r="D707" s="28" t="s">
        <v>85</v>
      </c>
      <c r="E707" s="28" t="s">
        <v>1337</v>
      </c>
      <c r="F707" s="28" t="s">
        <v>31</v>
      </c>
      <c r="G707" s="28" t="s">
        <v>1338</v>
      </c>
      <c r="H707" s="28">
        <v>26061</v>
      </c>
      <c r="I707" s="29">
        <f>IFERROR(_xlfn.XLOOKUP(E707,[1]EMPREENDIMENTO!C:C,[1]EMPREENDIMENTO!E:E),"0")</f>
        <v>264</v>
      </c>
      <c r="J707" s="30"/>
      <c r="K707" s="28" t="s">
        <v>148</v>
      </c>
      <c r="L707" s="31">
        <v>45946</v>
      </c>
      <c r="M707" s="32">
        <v>122005358</v>
      </c>
      <c r="N707" s="32">
        <v>130048379</v>
      </c>
      <c r="O707" s="32">
        <v>125205484</v>
      </c>
      <c r="P707" s="28" t="s">
        <v>34</v>
      </c>
      <c r="Q707" s="28">
        <v>745112</v>
      </c>
      <c r="R707" s="30">
        <v>45943</v>
      </c>
      <c r="S707" s="30">
        <v>45946</v>
      </c>
      <c r="T707" s="33"/>
      <c r="U707" s="34" t="str">
        <f>IFERROR(_xlfn.XLOOKUP(E707,[1]EMPREENDIMENTO!C:C,[1]EMPREENDIMENTO!D:D),"")</f>
        <v>a73e451a-4747-ea11-801d-005056856875</v>
      </c>
    </row>
    <row r="708" spans="1:21" hidden="1" x14ac:dyDescent="0.35">
      <c r="A708" s="28" t="str">
        <f>IFERROR(_xlfn.XLOOKUP(C708,[1]DIRETORIA!C:C,[1]DIRETORIA!A:A),"-")</f>
        <v>DIR. COM E CRED NE</v>
      </c>
      <c r="B708" s="28" t="str">
        <f>IFERROR(_xlfn.XLOOKUP(C708,[1]DIRETORIA!C:C,[1]DIRETORIA!B:B),"-")</f>
        <v>GST. COM NE4 (CE)</v>
      </c>
      <c r="C708" s="28" t="str">
        <f>IFERROR(_xlfn.XLOOKUP(E708,[1]EMPREENDIMENTO!C:C,[1]EMPREENDIMENTO!A:A),"-")</f>
        <v>FORTALEZA</v>
      </c>
      <c r="D708" s="28" t="s">
        <v>85</v>
      </c>
      <c r="E708" s="28" t="s">
        <v>1337</v>
      </c>
      <c r="F708" s="28" t="s">
        <v>36</v>
      </c>
      <c r="G708" s="28" t="s">
        <v>1339</v>
      </c>
      <c r="H708" s="28">
        <v>34009</v>
      </c>
      <c r="I708" s="29">
        <f>IFERROR(_xlfn.XLOOKUP(E708,[1]EMPREENDIMENTO!C:C,[1]EMPREENDIMENTO!E:E),"0")</f>
        <v>264</v>
      </c>
      <c r="J708" s="30"/>
      <c r="K708" s="28" t="s">
        <v>148</v>
      </c>
      <c r="L708" s="31">
        <v>45946</v>
      </c>
      <c r="M708" s="32">
        <v>122005358</v>
      </c>
      <c r="N708" s="32">
        <v>130048379</v>
      </c>
      <c r="O708" s="32">
        <v>125205484</v>
      </c>
      <c r="P708" s="28" t="s">
        <v>34</v>
      </c>
      <c r="Q708" s="28">
        <v>745112</v>
      </c>
      <c r="R708" s="30">
        <v>45943</v>
      </c>
      <c r="S708" s="30">
        <v>45946</v>
      </c>
      <c r="T708" s="33"/>
      <c r="U708" s="34" t="str">
        <f>IFERROR(_xlfn.XLOOKUP(E708,[1]EMPREENDIMENTO!C:C,[1]EMPREENDIMENTO!D:D),"")</f>
        <v>a73e451a-4747-ea11-801d-005056856875</v>
      </c>
    </row>
    <row r="709" spans="1:21" hidden="1" x14ac:dyDescent="0.35">
      <c r="A709" s="28" t="str">
        <f>IFERROR(_xlfn.XLOOKUP(C709,[1]DIRETORIA!C:C,[1]DIRETORIA!A:A),"-")</f>
        <v>DIR. COM E CRED CO E AM</v>
      </c>
      <c r="B709" s="28" t="str">
        <f>IFERROR(_xlfn.XLOOKUP(C709,[1]DIRETORIA!C:C,[1]DIRETORIA!B:B),"-")</f>
        <v>GST. COM GO</v>
      </c>
      <c r="C709" s="28" t="str">
        <f>IFERROR(_xlfn.XLOOKUP(E709,[1]EMPREENDIMENTO!C:C,[1]EMPREENDIMENTO!A:A),"-")</f>
        <v>GOIÂNIA</v>
      </c>
      <c r="D709" s="28" t="s">
        <v>29</v>
      </c>
      <c r="E709" s="28" t="s">
        <v>1340</v>
      </c>
      <c r="F709" s="28" t="s">
        <v>31</v>
      </c>
      <c r="G709" s="28" t="s">
        <v>1341</v>
      </c>
      <c r="H709" s="28">
        <v>44721</v>
      </c>
      <c r="I709" s="29">
        <f>IFERROR(_xlfn.XLOOKUP(E709,[1]EMPREENDIMENTO!C:C,[1]EMPREENDIMENTO!E:E),"0")</f>
        <v>384</v>
      </c>
      <c r="J709" s="30">
        <v>46737</v>
      </c>
      <c r="K709" s="28" t="s">
        <v>164</v>
      </c>
      <c r="L709" s="31">
        <v>46217</v>
      </c>
      <c r="M709" s="32">
        <v>202365180</v>
      </c>
      <c r="N709" s="32">
        <v>211968266</v>
      </c>
      <c r="O709" s="32">
        <v>204991340</v>
      </c>
      <c r="P709" s="28" t="s">
        <v>34</v>
      </c>
      <c r="Q709" s="28" t="s">
        <v>1342</v>
      </c>
      <c r="R709" s="30">
        <v>46223</v>
      </c>
      <c r="S709" s="30">
        <v>46217</v>
      </c>
      <c r="T709" s="33"/>
      <c r="U709" s="34" t="str">
        <f>IFERROR(_xlfn.XLOOKUP(E709,[1]EMPREENDIMENTO!C:C,[1]EMPREENDIMENTO!D:D),"")</f>
        <v>5b5782c1-e5e0-eb11-930a-0050568aa20f</v>
      </c>
    </row>
    <row r="710" spans="1:21" hidden="1" x14ac:dyDescent="0.35">
      <c r="A710" s="28" t="str">
        <f>IFERROR(_xlfn.XLOOKUP(C710,[1]DIRETORIA!C:C,[1]DIRETORIA!A:A),"-")</f>
        <v>DIR. COM E CRED CO E AM</v>
      </c>
      <c r="B710" s="28" t="str">
        <f>IFERROR(_xlfn.XLOOKUP(C710,[1]DIRETORIA!C:C,[1]DIRETORIA!B:B),"-")</f>
        <v>GST. COM GO</v>
      </c>
      <c r="C710" s="28" t="str">
        <f>IFERROR(_xlfn.XLOOKUP(E710,[1]EMPREENDIMENTO!C:C,[1]EMPREENDIMENTO!A:A),"-")</f>
        <v>GOIÂNIA</v>
      </c>
      <c r="D710" s="28" t="s">
        <v>29</v>
      </c>
      <c r="E710" s="28" t="s">
        <v>1340</v>
      </c>
      <c r="F710" s="28" t="s">
        <v>36</v>
      </c>
      <c r="G710" s="28" t="s">
        <v>1343</v>
      </c>
      <c r="H710" s="28">
        <v>50398</v>
      </c>
      <c r="I710" s="29">
        <f>IFERROR(_xlfn.XLOOKUP(E710,[1]EMPREENDIMENTO!C:C,[1]EMPREENDIMENTO!E:E),"0")</f>
        <v>384</v>
      </c>
      <c r="J710" s="30">
        <v>46737</v>
      </c>
      <c r="K710" s="28" t="s">
        <v>164</v>
      </c>
      <c r="L710" s="31">
        <v>46217</v>
      </c>
      <c r="M710" s="32">
        <v>202365180</v>
      </c>
      <c r="N710" s="32">
        <v>211968266</v>
      </c>
      <c r="O710" s="32">
        <v>204991340</v>
      </c>
      <c r="P710" s="28" t="s">
        <v>34</v>
      </c>
      <c r="Q710" s="28" t="s">
        <v>1342</v>
      </c>
      <c r="R710" s="30">
        <v>46223</v>
      </c>
      <c r="S710" s="30">
        <v>46217</v>
      </c>
      <c r="T710" s="33"/>
      <c r="U710" s="34" t="str">
        <f>IFERROR(_xlfn.XLOOKUP(E710,[1]EMPREENDIMENTO!C:C,[1]EMPREENDIMENTO!D:D),"")</f>
        <v>5b5782c1-e5e0-eb11-930a-0050568aa20f</v>
      </c>
    </row>
    <row r="711" spans="1:21" hidden="1" x14ac:dyDescent="0.35">
      <c r="A711" s="28" t="str">
        <f>IFERROR(_xlfn.XLOOKUP(C711,[1]DIRETORIA!C:C,[1]DIRETORIA!A:A),"-")</f>
        <v>DIR. COM E CRED CO E AM</v>
      </c>
      <c r="B711" s="28" t="str">
        <f>IFERROR(_xlfn.XLOOKUP(C711,[1]DIRETORIA!C:C,[1]DIRETORIA!B:B),"-")</f>
        <v>GST. COM GO</v>
      </c>
      <c r="C711" s="28" t="str">
        <f>IFERROR(_xlfn.XLOOKUP(E711,[1]EMPREENDIMENTO!C:C,[1]EMPREENDIMENTO!A:A),"-")</f>
        <v>GOIÂNIA</v>
      </c>
      <c r="D711" s="28" t="s">
        <v>29</v>
      </c>
      <c r="E711" s="28" t="s">
        <v>1340</v>
      </c>
      <c r="F711" s="28" t="s">
        <v>39</v>
      </c>
      <c r="G711" s="28" t="s">
        <v>1344</v>
      </c>
      <c r="H711" s="28">
        <v>53461</v>
      </c>
      <c r="I711" s="29">
        <f>IFERROR(_xlfn.XLOOKUP(E711,[1]EMPREENDIMENTO!C:C,[1]EMPREENDIMENTO!E:E),"0")</f>
        <v>384</v>
      </c>
      <c r="J711" s="30">
        <v>46737</v>
      </c>
      <c r="K711" s="28" t="s">
        <v>164</v>
      </c>
      <c r="L711" s="31">
        <v>46217</v>
      </c>
      <c r="M711" s="32">
        <v>202365180</v>
      </c>
      <c r="N711" s="32">
        <v>211968266</v>
      </c>
      <c r="O711" s="32">
        <v>204991340</v>
      </c>
      <c r="P711" s="28" t="s">
        <v>34</v>
      </c>
      <c r="Q711" s="28" t="s">
        <v>1342</v>
      </c>
      <c r="R711" s="30">
        <v>46223</v>
      </c>
      <c r="S711" s="30">
        <v>46217</v>
      </c>
      <c r="T711" s="33"/>
      <c r="U711" s="34" t="str">
        <f>IFERROR(_xlfn.XLOOKUP(E711,[1]EMPREENDIMENTO!C:C,[1]EMPREENDIMENTO!D:D),"")</f>
        <v>5b5782c1-e5e0-eb11-930a-0050568aa20f</v>
      </c>
    </row>
    <row r="712" spans="1:21" hidden="1" x14ac:dyDescent="0.35">
      <c r="A712" s="28" t="str">
        <f>IFERROR(_xlfn.XLOOKUP(C712,[1]DIRETORIA!C:C,[1]DIRETORIA!A:A),"-")</f>
        <v>DIR. COM E CRED CO E AM</v>
      </c>
      <c r="B712" s="28" t="str">
        <f>IFERROR(_xlfn.XLOOKUP(C712,[1]DIRETORIA!C:C,[1]DIRETORIA!B:B),"-")</f>
        <v>GST. COM GO</v>
      </c>
      <c r="C712" s="28" t="str">
        <f>IFERROR(_xlfn.XLOOKUP(E712,[1]EMPREENDIMENTO!C:C,[1]EMPREENDIMENTO!A:A),"-")</f>
        <v>GOIÂNIA</v>
      </c>
      <c r="D712" s="28" t="s">
        <v>29</v>
      </c>
      <c r="E712" s="28" t="s">
        <v>1340</v>
      </c>
      <c r="F712" s="28" t="s">
        <v>50</v>
      </c>
      <c r="G712" s="28" t="s">
        <v>1345</v>
      </c>
      <c r="H712" s="28">
        <v>59929</v>
      </c>
      <c r="I712" s="29">
        <f>IFERROR(_xlfn.XLOOKUP(E712,[1]EMPREENDIMENTO!C:C,[1]EMPREENDIMENTO!E:E),"0")</f>
        <v>384</v>
      </c>
      <c r="J712" s="30">
        <v>46737</v>
      </c>
      <c r="K712" s="28" t="s">
        <v>164</v>
      </c>
      <c r="L712" s="31">
        <v>46217</v>
      </c>
      <c r="M712" s="32">
        <v>202365180</v>
      </c>
      <c r="N712" s="32">
        <v>211968266</v>
      </c>
      <c r="O712" s="32">
        <v>204991340</v>
      </c>
      <c r="P712" s="28" t="s">
        <v>34</v>
      </c>
      <c r="Q712" s="28" t="s">
        <v>1342</v>
      </c>
      <c r="R712" s="30">
        <v>46223</v>
      </c>
      <c r="S712" s="30">
        <v>46217</v>
      </c>
      <c r="T712" s="33"/>
      <c r="U712" s="34" t="str">
        <f>IFERROR(_xlfn.XLOOKUP(E712,[1]EMPREENDIMENTO!C:C,[1]EMPREENDIMENTO!D:D),"")</f>
        <v>5b5782c1-e5e0-eb11-930a-0050568aa20f</v>
      </c>
    </row>
    <row r="713" spans="1:21" hidden="1" x14ac:dyDescent="0.35">
      <c r="A713" s="28" t="str">
        <f>IFERROR(_xlfn.XLOOKUP(C713,[1]DIRETORIA!C:C,[1]DIRETORIA!A:A),"-")</f>
        <v>DIR. COM E CRED CO E AM</v>
      </c>
      <c r="B713" s="28" t="str">
        <f>IFERROR(_xlfn.XLOOKUP(C713,[1]DIRETORIA!C:C,[1]DIRETORIA!B:B),"-")</f>
        <v>GST. COM GO</v>
      </c>
      <c r="C713" s="28" t="str">
        <f>IFERROR(_xlfn.XLOOKUP(E713,[1]EMPREENDIMENTO!C:C,[1]EMPREENDIMENTO!A:A),"-")</f>
        <v>GOIÂNIA</v>
      </c>
      <c r="D713" s="28" t="s">
        <v>29</v>
      </c>
      <c r="E713" s="28" t="s">
        <v>1340</v>
      </c>
      <c r="F713" s="28" t="s">
        <v>57</v>
      </c>
      <c r="G713" s="28" t="s">
        <v>1346</v>
      </c>
      <c r="H713" s="28">
        <v>60873</v>
      </c>
      <c r="I713" s="29">
        <f>IFERROR(_xlfn.XLOOKUP(E713,[1]EMPREENDIMENTO!C:C,[1]EMPREENDIMENTO!E:E),"0")</f>
        <v>384</v>
      </c>
      <c r="J713" s="30">
        <v>46737</v>
      </c>
      <c r="K713" s="28" t="s">
        <v>164</v>
      </c>
      <c r="L713" s="31">
        <v>46217</v>
      </c>
      <c r="M713" s="32">
        <v>202365180</v>
      </c>
      <c r="N713" s="32">
        <v>211968266</v>
      </c>
      <c r="O713" s="32">
        <v>204991340</v>
      </c>
      <c r="P713" s="28" t="s">
        <v>34</v>
      </c>
      <c r="Q713" s="28" t="s">
        <v>1342</v>
      </c>
      <c r="R713" s="30">
        <v>46223</v>
      </c>
      <c r="S713" s="30">
        <v>46217</v>
      </c>
      <c r="T713" s="33"/>
      <c r="U713" s="34" t="str">
        <f>IFERROR(_xlfn.XLOOKUP(E713,[1]EMPREENDIMENTO!C:C,[1]EMPREENDIMENTO!D:D),"")</f>
        <v>5b5782c1-e5e0-eb11-930a-0050568aa20f</v>
      </c>
    </row>
    <row r="714" spans="1:21" hidden="1" x14ac:dyDescent="0.35">
      <c r="A714" s="28" t="str">
        <f>IFERROR(_xlfn.XLOOKUP(C714,[1]DIRETORIA!C:C,[1]DIRETORIA!A:A),"-")</f>
        <v>DIR. COM E CRED MG E ES</v>
      </c>
      <c r="B714" s="28" t="str">
        <f>IFERROR(_xlfn.XLOOKUP(C714,[1]DIRETORIA!C:C,[1]DIRETORIA!B:B),"-")</f>
        <v>GST. COM ES</v>
      </c>
      <c r="C714" s="28" t="str">
        <f>IFERROR(_xlfn.XLOOKUP(E714,[1]EMPREENDIMENTO!C:C,[1]EMPREENDIMENTO!A:A),"-")</f>
        <v>SERRA</v>
      </c>
      <c r="D714" s="28" t="s">
        <v>29</v>
      </c>
      <c r="E714" s="28" t="s">
        <v>1347</v>
      </c>
      <c r="F714" s="28" t="s">
        <v>31</v>
      </c>
      <c r="G714" s="28" t="s">
        <v>1348</v>
      </c>
      <c r="H714" s="28">
        <v>43994</v>
      </c>
      <c r="I714" s="29">
        <f>IFERROR(_xlfn.XLOOKUP(E714,[1]EMPREENDIMENTO!C:C,[1]EMPREENDIMENTO!E:E),"0")</f>
        <v>576</v>
      </c>
      <c r="J714" s="30">
        <v>46692</v>
      </c>
      <c r="K714" s="28" t="s">
        <v>33</v>
      </c>
      <c r="L714" s="31">
        <v>45875</v>
      </c>
      <c r="M714" s="32">
        <v>176717000</v>
      </c>
      <c r="N714" s="32">
        <v>198932000</v>
      </c>
      <c r="O714" s="32">
        <v>192273000</v>
      </c>
      <c r="P714" s="28" t="s">
        <v>34</v>
      </c>
      <c r="Q714" s="28" t="s">
        <v>1349</v>
      </c>
      <c r="R714" s="30">
        <v>45876</v>
      </c>
      <c r="S714" s="30">
        <v>45876</v>
      </c>
      <c r="T714" s="33"/>
      <c r="U714" s="34" t="str">
        <f>IFERROR(_xlfn.XLOOKUP(E714,[1]EMPREENDIMENTO!C:C,[1]EMPREENDIMENTO!D:D),"")</f>
        <v>de4b0844-9e5e-ec11-b501-005056856b6c</v>
      </c>
    </row>
    <row r="715" spans="1:21" hidden="1" x14ac:dyDescent="0.35">
      <c r="A715" s="28" t="str">
        <f>IFERROR(_xlfn.XLOOKUP(C715,[1]DIRETORIA!C:C,[1]DIRETORIA!A:A),"-")</f>
        <v>DIR. COM E CRED MG E ES</v>
      </c>
      <c r="B715" s="28" t="str">
        <f>IFERROR(_xlfn.XLOOKUP(C715,[1]DIRETORIA!C:C,[1]DIRETORIA!B:B),"-")</f>
        <v>GST. COM ES</v>
      </c>
      <c r="C715" s="28" t="str">
        <f>IFERROR(_xlfn.XLOOKUP(E715,[1]EMPREENDIMENTO!C:C,[1]EMPREENDIMENTO!A:A),"-")</f>
        <v>SERRA</v>
      </c>
      <c r="D715" s="28" t="s">
        <v>29</v>
      </c>
      <c r="E715" s="28" t="s">
        <v>1347</v>
      </c>
      <c r="F715" s="28" t="s">
        <v>36</v>
      </c>
      <c r="G715" s="28" t="s">
        <v>1350</v>
      </c>
      <c r="H715" s="28">
        <v>51102</v>
      </c>
      <c r="I715" s="29">
        <f>IFERROR(_xlfn.XLOOKUP(E715,[1]EMPREENDIMENTO!C:C,[1]EMPREENDIMENTO!E:E),"0")</f>
        <v>576</v>
      </c>
      <c r="J715" s="30">
        <v>46692</v>
      </c>
      <c r="K715" s="28" t="s">
        <v>33</v>
      </c>
      <c r="L715" s="31">
        <v>45875</v>
      </c>
      <c r="M715" s="32">
        <v>176717000</v>
      </c>
      <c r="N715" s="32">
        <v>198932000</v>
      </c>
      <c r="O715" s="32">
        <v>192273000</v>
      </c>
      <c r="P715" s="28" t="s">
        <v>34</v>
      </c>
      <c r="Q715" s="28" t="s">
        <v>1349</v>
      </c>
      <c r="R715" s="30">
        <v>45876</v>
      </c>
      <c r="S715" s="30">
        <v>45876</v>
      </c>
      <c r="T715" s="33"/>
      <c r="U715" s="34" t="str">
        <f>IFERROR(_xlfn.XLOOKUP(E715,[1]EMPREENDIMENTO!C:C,[1]EMPREENDIMENTO!D:D),"")</f>
        <v>de4b0844-9e5e-ec11-b501-005056856b6c</v>
      </c>
    </row>
    <row r="716" spans="1:21" hidden="1" x14ac:dyDescent="0.35">
      <c r="A716" s="28" t="str">
        <f>IFERROR(_xlfn.XLOOKUP(C716,[1]DIRETORIA!C:C,[1]DIRETORIA!A:A),"-")</f>
        <v>DIR. COM E CRED MG E ES</v>
      </c>
      <c r="B716" s="28" t="str">
        <f>IFERROR(_xlfn.XLOOKUP(C716,[1]DIRETORIA!C:C,[1]DIRETORIA!B:B),"-")</f>
        <v>GST. COM ES</v>
      </c>
      <c r="C716" s="28" t="str">
        <f>IFERROR(_xlfn.XLOOKUP(E716,[1]EMPREENDIMENTO!C:C,[1]EMPREENDIMENTO!A:A),"-")</f>
        <v>SERRA</v>
      </c>
      <c r="D716" s="28" t="s">
        <v>29</v>
      </c>
      <c r="E716" s="28" t="s">
        <v>1347</v>
      </c>
      <c r="F716" s="28" t="s">
        <v>39</v>
      </c>
      <c r="G716" s="28" t="s">
        <v>1351</v>
      </c>
      <c r="H716" s="28">
        <v>52294</v>
      </c>
      <c r="I716" s="29">
        <f>IFERROR(_xlfn.XLOOKUP(E716,[1]EMPREENDIMENTO!C:C,[1]EMPREENDIMENTO!E:E),"0")</f>
        <v>576</v>
      </c>
      <c r="J716" s="30">
        <v>46692</v>
      </c>
      <c r="K716" s="28" t="s">
        <v>33</v>
      </c>
      <c r="L716" s="31">
        <v>45875</v>
      </c>
      <c r="M716" s="32">
        <v>176717000</v>
      </c>
      <c r="N716" s="32">
        <v>198932000</v>
      </c>
      <c r="O716" s="32">
        <v>192273000</v>
      </c>
      <c r="P716" s="28" t="s">
        <v>34</v>
      </c>
      <c r="Q716" s="28" t="s">
        <v>1349</v>
      </c>
      <c r="R716" s="30">
        <v>45876</v>
      </c>
      <c r="S716" s="30">
        <v>45876</v>
      </c>
      <c r="T716" s="33"/>
      <c r="U716" s="34" t="str">
        <f>IFERROR(_xlfn.XLOOKUP(E716,[1]EMPREENDIMENTO!C:C,[1]EMPREENDIMENTO!D:D),"")</f>
        <v>de4b0844-9e5e-ec11-b501-005056856b6c</v>
      </c>
    </row>
    <row r="717" spans="1:21" hidden="1" x14ac:dyDescent="0.35">
      <c r="A717" s="28" t="str">
        <f>IFERROR(_xlfn.XLOOKUP(C717,[1]DIRETORIA!C:C,[1]DIRETORIA!A:A),"-")</f>
        <v>DIR. COM E CRED MG E ES</v>
      </c>
      <c r="B717" s="28" t="str">
        <f>IFERROR(_xlfn.XLOOKUP(C717,[1]DIRETORIA!C:C,[1]DIRETORIA!B:B),"-")</f>
        <v>GST. COM ES</v>
      </c>
      <c r="C717" s="28" t="str">
        <f>IFERROR(_xlfn.XLOOKUP(E717,[1]EMPREENDIMENTO!C:C,[1]EMPREENDIMENTO!A:A),"-")</f>
        <v>SERRA</v>
      </c>
      <c r="D717" s="28" t="s">
        <v>29</v>
      </c>
      <c r="E717" s="28" t="s">
        <v>1352</v>
      </c>
      <c r="F717" s="28" t="s">
        <v>31</v>
      </c>
      <c r="G717" s="28" t="s">
        <v>1353</v>
      </c>
      <c r="H717" s="28">
        <v>44531</v>
      </c>
      <c r="I717" s="29">
        <f>IFERROR(_xlfn.XLOOKUP(E717,[1]EMPREENDIMENTO!C:C,[1]EMPREENDIMENTO!E:E),"0")</f>
        <v>248</v>
      </c>
      <c r="J717" s="30">
        <v>46719</v>
      </c>
      <c r="K717" s="28" t="s">
        <v>33</v>
      </c>
      <c r="L717" s="31">
        <v>45876</v>
      </c>
      <c r="M717" s="32">
        <v>110325000</v>
      </c>
      <c r="N717" s="32">
        <v>127623000</v>
      </c>
      <c r="O717" s="32">
        <v>122064000</v>
      </c>
      <c r="P717" s="28" t="s">
        <v>34</v>
      </c>
      <c r="Q717" s="28" t="s">
        <v>1354</v>
      </c>
      <c r="R717" s="30">
        <v>45877</v>
      </c>
      <c r="S717" s="30">
        <v>45876</v>
      </c>
      <c r="T717" s="33"/>
      <c r="U717" s="34" t="str">
        <f>IFERROR(_xlfn.XLOOKUP(E717,[1]EMPREENDIMENTO!C:C,[1]EMPREENDIMENTO!D:D),"")</f>
        <v>5ab08470-dd10-ec11-a30e-0050568a2e98</v>
      </c>
    </row>
    <row r="718" spans="1:21" hidden="1" x14ac:dyDescent="0.35">
      <c r="A718" s="28" t="str">
        <f>IFERROR(_xlfn.XLOOKUP(C718,[1]DIRETORIA!C:C,[1]DIRETORIA!A:A),"-")</f>
        <v>DIR. COM E CRED MG E ES</v>
      </c>
      <c r="B718" s="28" t="str">
        <f>IFERROR(_xlfn.XLOOKUP(C718,[1]DIRETORIA!C:C,[1]DIRETORIA!B:B),"-")</f>
        <v>GST. COM ES</v>
      </c>
      <c r="C718" s="28" t="str">
        <f>IFERROR(_xlfn.XLOOKUP(E718,[1]EMPREENDIMENTO!C:C,[1]EMPREENDIMENTO!A:A),"-")</f>
        <v>SERRA</v>
      </c>
      <c r="D718" s="28" t="s">
        <v>29</v>
      </c>
      <c r="E718" s="28" t="s">
        <v>1352</v>
      </c>
      <c r="F718" s="28" t="s">
        <v>36</v>
      </c>
      <c r="G718" s="28" t="s">
        <v>1355</v>
      </c>
      <c r="H718" s="28">
        <v>46344</v>
      </c>
      <c r="I718" s="29">
        <f>IFERROR(_xlfn.XLOOKUP(E718,[1]EMPREENDIMENTO!C:C,[1]EMPREENDIMENTO!E:E),"0")</f>
        <v>248</v>
      </c>
      <c r="J718" s="30">
        <v>46719</v>
      </c>
      <c r="K718" s="28" t="s">
        <v>33</v>
      </c>
      <c r="L718" s="31">
        <v>45876</v>
      </c>
      <c r="M718" s="32">
        <v>110325000</v>
      </c>
      <c r="N718" s="32">
        <v>127623000</v>
      </c>
      <c r="O718" s="32">
        <v>122064000</v>
      </c>
      <c r="P718" s="28" t="s">
        <v>34</v>
      </c>
      <c r="Q718" s="28" t="s">
        <v>1354</v>
      </c>
      <c r="R718" s="30">
        <v>45877</v>
      </c>
      <c r="S718" s="30">
        <v>45876</v>
      </c>
      <c r="T718" s="33"/>
      <c r="U718" s="34" t="str">
        <f>IFERROR(_xlfn.XLOOKUP(E718,[1]EMPREENDIMENTO!C:C,[1]EMPREENDIMENTO!D:D),"")</f>
        <v>5ab08470-dd10-ec11-a30e-0050568a2e98</v>
      </c>
    </row>
    <row r="719" spans="1:21" hidden="1" x14ac:dyDescent="0.35">
      <c r="A719" s="28" t="str">
        <f>IFERROR(_xlfn.XLOOKUP(C719,[1]DIRETORIA!C:C,[1]DIRETORIA!A:A),"-")</f>
        <v>DIR. COM E CRED SUL</v>
      </c>
      <c r="B719" s="28" t="str">
        <f>IFERROR(_xlfn.XLOOKUP(C719,[1]DIRETORIA!C:C,[1]DIRETORIA!B:B),"-")</f>
        <v>GST. COM RS NORTE</v>
      </c>
      <c r="C719" s="28" t="str">
        <f>IFERROR(_xlfn.XLOOKUP(E719,[1]EMPREENDIMENTO!C:C,[1]EMPREENDIMENTO!A:A),"-")</f>
        <v>CANOAS</v>
      </c>
      <c r="D719" s="28" t="s">
        <v>85</v>
      </c>
      <c r="E719" s="28" t="s">
        <v>1356</v>
      </c>
      <c r="F719" s="28" t="s">
        <v>42</v>
      </c>
      <c r="G719" s="28" t="s">
        <v>268</v>
      </c>
      <c r="H719" s="28" t="s">
        <v>268</v>
      </c>
      <c r="I719" s="29">
        <f>IFERROR(_xlfn.XLOOKUP(E719,[1]EMPREENDIMENTO!C:C,[1]EMPREENDIMENTO!E:E),"0")</f>
        <v>520</v>
      </c>
      <c r="J719" s="30">
        <v>46748</v>
      </c>
      <c r="K719" s="28" t="s">
        <v>33</v>
      </c>
      <c r="L719" s="31">
        <v>45821</v>
      </c>
      <c r="M719" s="32">
        <v>94881600</v>
      </c>
      <c r="N719" s="32">
        <v>113114800</v>
      </c>
      <c r="O719" s="32">
        <v>104833200</v>
      </c>
      <c r="P719" s="28" t="s">
        <v>34</v>
      </c>
      <c r="Q719" s="28" t="s">
        <v>1357</v>
      </c>
      <c r="R719" s="30">
        <v>45709</v>
      </c>
      <c r="S719" s="30">
        <v>45823</v>
      </c>
      <c r="T719" s="33"/>
      <c r="U719" s="34" t="str">
        <f>IFERROR(_xlfn.XLOOKUP(E719,[1]EMPREENDIMENTO!C:C,[1]EMPREENDIMENTO!D:D),"")</f>
        <v>EB1D2242-872C-E411-8EFB-009C02B0CB58</v>
      </c>
    </row>
    <row r="720" spans="1:21" x14ac:dyDescent="0.35">
      <c r="A720" s="28" t="str">
        <f>IFERROR(_xlfn.XLOOKUP(C720,[1]DIRETORIA!C:C,[1]DIRETORIA!A:A),"-")</f>
        <v>DIR. COM E CRED SPI CP</v>
      </c>
      <c r="B720" s="28" t="str">
        <f>IFERROR(_xlfn.XLOOKUP(C720,[1]DIRETORIA!C:C,[1]DIRETORIA!B:B),"-")</f>
        <v>GST. COM CP3</v>
      </c>
      <c r="C720" s="28" t="str">
        <f>IFERROR(_xlfn.XLOOKUP(E720,[1]EMPREENDIMENTO!C:C,[1]EMPREENDIMENTO!A:A),"-")</f>
        <v>LIMEIRA</v>
      </c>
      <c r="D720" s="28" t="s">
        <v>29</v>
      </c>
      <c r="E720" s="28" t="s">
        <v>1358</v>
      </c>
      <c r="F720" s="28" t="s">
        <v>31</v>
      </c>
      <c r="G720" s="28" t="s">
        <v>1359</v>
      </c>
      <c r="H720" s="28">
        <v>44845</v>
      </c>
      <c r="I720" s="29">
        <f>IFERROR(_xlfn.XLOOKUP(E720,[1]EMPREENDIMENTO!C:C,[1]EMPREENDIMENTO!E:E),"0")</f>
        <v>360</v>
      </c>
      <c r="J720" s="30">
        <v>46748</v>
      </c>
      <c r="K720" s="28" t="s">
        <v>33</v>
      </c>
      <c r="L720" s="31">
        <v>45821</v>
      </c>
      <c r="M720" s="32">
        <v>94881600</v>
      </c>
      <c r="N720" s="32">
        <v>113114800</v>
      </c>
      <c r="O720" s="32">
        <v>104833200</v>
      </c>
      <c r="P720" s="28" t="s">
        <v>34</v>
      </c>
      <c r="Q720" s="28" t="s">
        <v>1357</v>
      </c>
      <c r="R720" s="30">
        <v>45709</v>
      </c>
      <c r="S720" s="30">
        <v>45823</v>
      </c>
      <c r="T720" s="33"/>
      <c r="U720" s="34" t="str">
        <f>IFERROR(_xlfn.XLOOKUP(E720,[1]EMPREENDIMENTO!C:C,[1]EMPREENDIMENTO!D:D),"")</f>
        <v>23fe056a-e905-ec11-a30e-0050568a2e98</v>
      </c>
    </row>
    <row r="721" spans="1:21" x14ac:dyDescent="0.35">
      <c r="A721" s="28" t="str">
        <f>IFERROR(_xlfn.XLOOKUP(C721,[1]DIRETORIA!C:C,[1]DIRETORIA!A:A),"-")</f>
        <v>DIR. COM E CRED SPI CP</v>
      </c>
      <c r="B721" s="28" t="str">
        <f>IFERROR(_xlfn.XLOOKUP(C721,[1]DIRETORIA!C:C,[1]DIRETORIA!B:B),"-")</f>
        <v>GST. COM CP3</v>
      </c>
      <c r="C721" s="28" t="str">
        <f>IFERROR(_xlfn.XLOOKUP(E721,[1]EMPREENDIMENTO!C:C,[1]EMPREENDIMENTO!A:A),"-")</f>
        <v>LIMEIRA</v>
      </c>
      <c r="D721" s="28" t="s">
        <v>29</v>
      </c>
      <c r="E721" s="28" t="s">
        <v>1358</v>
      </c>
      <c r="F721" s="28" t="s">
        <v>36</v>
      </c>
      <c r="G721" s="28" t="s">
        <v>1360</v>
      </c>
      <c r="H721" s="28">
        <v>52335</v>
      </c>
      <c r="I721" s="29">
        <f>IFERROR(_xlfn.XLOOKUP(E721,[1]EMPREENDIMENTO!C:C,[1]EMPREENDIMENTO!E:E),"0")</f>
        <v>360</v>
      </c>
      <c r="J721" s="30">
        <v>46748</v>
      </c>
      <c r="K721" s="28" t="s">
        <v>33</v>
      </c>
      <c r="L721" s="31">
        <v>45821</v>
      </c>
      <c r="M721" s="32">
        <v>94881600</v>
      </c>
      <c r="N721" s="32">
        <v>113114800</v>
      </c>
      <c r="O721" s="32">
        <v>104833200</v>
      </c>
      <c r="P721" s="28" t="s">
        <v>34</v>
      </c>
      <c r="Q721" s="28" t="s">
        <v>1357</v>
      </c>
      <c r="R721" s="30">
        <v>45709</v>
      </c>
      <c r="S721" s="30">
        <v>45823</v>
      </c>
      <c r="T721" s="33"/>
      <c r="U721" s="34" t="str">
        <f>IFERROR(_xlfn.XLOOKUP(E721,[1]EMPREENDIMENTO!C:C,[1]EMPREENDIMENTO!D:D),"")</f>
        <v>23fe056a-e905-ec11-a30e-0050568a2e98</v>
      </c>
    </row>
    <row r="722" spans="1:21" x14ac:dyDescent="0.35">
      <c r="A722" s="28" t="str">
        <f>IFERROR(_xlfn.XLOOKUP(C722,[1]DIRETORIA!C:C,[1]DIRETORIA!A:A),"-")</f>
        <v>DIR. COM E CRED SPI CP</v>
      </c>
      <c r="B722" s="28" t="str">
        <f>IFERROR(_xlfn.XLOOKUP(C722,[1]DIRETORIA!C:C,[1]DIRETORIA!B:B),"-")</f>
        <v>GST. COM CP3</v>
      </c>
      <c r="C722" s="28" t="str">
        <f>IFERROR(_xlfn.XLOOKUP(E722,[1]EMPREENDIMENTO!C:C,[1]EMPREENDIMENTO!A:A),"-")</f>
        <v>LIMEIRA</v>
      </c>
      <c r="D722" s="28" t="s">
        <v>29</v>
      </c>
      <c r="E722" s="28" t="s">
        <v>1358</v>
      </c>
      <c r="F722" s="28" t="s">
        <v>39</v>
      </c>
      <c r="G722" s="28" t="s">
        <v>1361</v>
      </c>
      <c r="H722" s="28">
        <v>52337</v>
      </c>
      <c r="I722" s="29">
        <f>IFERROR(_xlfn.XLOOKUP(E722,[1]EMPREENDIMENTO!C:C,[1]EMPREENDIMENTO!E:E),"0")</f>
        <v>360</v>
      </c>
      <c r="J722" s="30">
        <v>46748</v>
      </c>
      <c r="K722" s="28" t="s">
        <v>33</v>
      </c>
      <c r="L722" s="31">
        <v>45821</v>
      </c>
      <c r="M722" s="32">
        <v>94881600</v>
      </c>
      <c r="N722" s="32">
        <v>113114800</v>
      </c>
      <c r="O722" s="32">
        <v>104833200</v>
      </c>
      <c r="P722" s="28" t="s">
        <v>34</v>
      </c>
      <c r="Q722" s="28" t="s">
        <v>1357</v>
      </c>
      <c r="R722" s="30">
        <v>45709</v>
      </c>
      <c r="S722" s="30">
        <v>45823</v>
      </c>
      <c r="T722" s="33"/>
      <c r="U722" s="34" t="str">
        <f>IFERROR(_xlfn.XLOOKUP(E722,[1]EMPREENDIMENTO!C:C,[1]EMPREENDIMENTO!D:D),"")</f>
        <v>23fe056a-e905-ec11-a30e-0050568a2e98</v>
      </c>
    </row>
    <row r="723" spans="1:21" hidden="1" x14ac:dyDescent="0.35">
      <c r="A723" s="28" t="str">
        <f>IFERROR(_xlfn.XLOOKUP(C723,[1]DIRETORIA!C:C,[1]DIRETORIA!A:A),"-")</f>
        <v>DIR. COM E CRED NE</v>
      </c>
      <c r="B723" s="28" t="str">
        <f>IFERROR(_xlfn.XLOOKUP(C723,[1]DIRETORIA!C:C,[1]DIRETORIA!B:B),"-")</f>
        <v>GST. COM NE1 (BA 1)</v>
      </c>
      <c r="C723" s="28" t="str">
        <f>IFERROR(_xlfn.XLOOKUP(E723,[1]EMPREENDIMENTO!C:C,[1]EMPREENDIMENTO!A:A),"-")</f>
        <v>SALVADOR</v>
      </c>
      <c r="D723" s="28" t="s">
        <v>29</v>
      </c>
      <c r="E723" s="28" t="s">
        <v>1362</v>
      </c>
      <c r="F723" s="28" t="s">
        <v>42</v>
      </c>
      <c r="G723" s="28" t="s">
        <v>1363</v>
      </c>
      <c r="H723" s="28">
        <v>38445</v>
      </c>
      <c r="I723" s="29">
        <f>IFERROR(_xlfn.XLOOKUP(E723,[1]EMPREENDIMENTO!C:C,[1]EMPREENDIMENTO!E:E),"0")</f>
        <v>140</v>
      </c>
      <c r="J723" s="30">
        <v>46671</v>
      </c>
      <c r="K723" s="28" t="s">
        <v>164</v>
      </c>
      <c r="L723" s="31">
        <v>46169</v>
      </c>
      <c r="M723" s="32">
        <v>32667300</v>
      </c>
      <c r="N723" s="32">
        <v>36682011</v>
      </c>
      <c r="O723" s="32">
        <v>34735718</v>
      </c>
      <c r="P723" s="28" t="s">
        <v>34</v>
      </c>
      <c r="Q723" s="28" t="s">
        <v>1364</v>
      </c>
      <c r="R723" s="30">
        <v>46169</v>
      </c>
      <c r="S723" s="30">
        <v>46170</v>
      </c>
      <c r="T723" s="33"/>
      <c r="U723" s="34" t="str">
        <f>IFERROR(_xlfn.XLOOKUP(E723,[1]EMPREENDIMENTO!C:C,[1]EMPREENDIMENTO!D:D),"")</f>
        <v>ea7e5222-5760-ed11-879a-80c16e075108</v>
      </c>
    </row>
    <row r="724" spans="1:21" hidden="1" x14ac:dyDescent="0.35">
      <c r="A724" s="28" t="str">
        <f>IFERROR(_xlfn.XLOOKUP(C724,[1]DIRETORIA!C:C,[1]DIRETORIA!A:A),"-")</f>
        <v>DIR. COM E CRED NE</v>
      </c>
      <c r="B724" s="28" t="str">
        <f>IFERROR(_xlfn.XLOOKUP(C724,[1]DIRETORIA!C:C,[1]DIRETORIA!B:B),"-")</f>
        <v>GST. COM NE1 (BA 1)</v>
      </c>
      <c r="C724" s="28" t="str">
        <f>IFERROR(_xlfn.XLOOKUP(E724,[1]EMPREENDIMENTO!C:C,[1]EMPREENDIMENTO!A:A),"-")</f>
        <v>FEIRA DE SANTANA</v>
      </c>
      <c r="D724" s="28" t="s">
        <v>85</v>
      </c>
      <c r="E724" s="28" t="s">
        <v>1365</v>
      </c>
      <c r="F724" s="28" t="s">
        <v>42</v>
      </c>
      <c r="G724" s="28" t="s">
        <v>1366</v>
      </c>
      <c r="H724" s="28">
        <v>44881</v>
      </c>
      <c r="I724" s="29">
        <f>IFERROR(_xlfn.XLOOKUP(E724,[1]EMPREENDIMENTO!C:C,[1]EMPREENDIMENTO!E:E),"0")</f>
        <v>0</v>
      </c>
      <c r="J724" s="30"/>
      <c r="K724" s="28" t="s">
        <v>33</v>
      </c>
      <c r="L724" s="31">
        <v>45413</v>
      </c>
      <c r="M724" s="32">
        <v>126126856</v>
      </c>
      <c r="N724" s="32">
        <v>126126856</v>
      </c>
      <c r="O724" s="32">
        <v>123084926</v>
      </c>
      <c r="P724" s="28" t="s">
        <v>34</v>
      </c>
      <c r="Q724" s="28"/>
      <c r="R724" s="30"/>
      <c r="S724" s="30">
        <v>45414</v>
      </c>
      <c r="T724" s="33"/>
      <c r="U724" s="34">
        <f>IFERROR(_xlfn.XLOOKUP(E724,[1]EMPREENDIMENTO!C:C,[1]EMPREENDIMENTO!D:D),"")</f>
        <v>0</v>
      </c>
    </row>
    <row r="725" spans="1:21" hidden="1" x14ac:dyDescent="0.35">
      <c r="A725" s="28" t="str">
        <f>IFERROR(_xlfn.XLOOKUP(C725,[1]DIRETORIA!C:C,[1]DIRETORIA!A:A),"-")</f>
        <v>DIR. COM E CRED SUL</v>
      </c>
      <c r="B725" s="28" t="str">
        <f>IFERROR(_xlfn.XLOOKUP(C725,[1]DIRETORIA!C:C,[1]DIRETORIA!B:B),"-")</f>
        <v>GST. COM RS SUL</v>
      </c>
      <c r="C725" s="28" t="str">
        <f>IFERROR(_xlfn.XLOOKUP(E725,[1]EMPREENDIMENTO!C:C,[1]EMPREENDIMENTO!A:A),"-")</f>
        <v>PORTO ALEGRE</v>
      </c>
      <c r="D725" s="28" t="s">
        <v>29</v>
      </c>
      <c r="E725" s="28" t="s">
        <v>1367</v>
      </c>
      <c r="F725" s="28" t="s">
        <v>31</v>
      </c>
      <c r="G725" s="28" t="s">
        <v>1368</v>
      </c>
      <c r="H725" s="28">
        <v>43764</v>
      </c>
      <c r="I725" s="29">
        <f>IFERROR(_xlfn.XLOOKUP(E725,[1]EMPREENDIMENTO!C:C,[1]EMPREENDIMENTO!E:E),"0")</f>
        <v>220</v>
      </c>
      <c r="J725" s="30"/>
      <c r="K725" s="28" t="s">
        <v>33</v>
      </c>
      <c r="L725" s="31">
        <v>46129</v>
      </c>
      <c r="M725" s="32">
        <v>53196000</v>
      </c>
      <c r="N725" s="32">
        <v>56606000</v>
      </c>
      <c r="O725" s="32">
        <v>54920400</v>
      </c>
      <c r="P725" s="28" t="s">
        <v>34</v>
      </c>
      <c r="Q725" s="28" t="s">
        <v>1369</v>
      </c>
      <c r="R725" s="30">
        <v>46132</v>
      </c>
      <c r="S725" s="30">
        <v>46132</v>
      </c>
      <c r="T725" s="33"/>
      <c r="U725" s="34" t="str">
        <f>IFERROR(_xlfn.XLOOKUP(E725,[1]EMPREENDIMENTO!C:C,[1]EMPREENDIMENTO!D:D),"")</f>
        <v>b5b05e90-d70a-ee11-9510-005056856875</v>
      </c>
    </row>
    <row r="726" spans="1:21" hidden="1" x14ac:dyDescent="0.35">
      <c r="A726" s="28" t="str">
        <f>IFERROR(_xlfn.XLOOKUP(C726,[1]DIRETORIA!C:C,[1]DIRETORIA!A:A),"-")</f>
        <v>DIR. COM E CRED SUL</v>
      </c>
      <c r="B726" s="28" t="str">
        <f>IFERROR(_xlfn.XLOOKUP(C726,[1]DIRETORIA!C:C,[1]DIRETORIA!B:B),"-")</f>
        <v>GST. COM RS SUL</v>
      </c>
      <c r="C726" s="28" t="str">
        <f>IFERROR(_xlfn.XLOOKUP(E726,[1]EMPREENDIMENTO!C:C,[1]EMPREENDIMENTO!A:A),"-")</f>
        <v>PORTO ALEGRE</v>
      </c>
      <c r="D726" s="28" t="s">
        <v>29</v>
      </c>
      <c r="E726" s="28" t="s">
        <v>1367</v>
      </c>
      <c r="F726" s="28" t="s">
        <v>36</v>
      </c>
      <c r="G726" s="28" t="s">
        <v>1370</v>
      </c>
      <c r="H726" s="28">
        <v>52437</v>
      </c>
      <c r="I726" s="29">
        <f>IFERROR(_xlfn.XLOOKUP(E726,[1]EMPREENDIMENTO!C:C,[1]EMPREENDIMENTO!E:E),"0")</f>
        <v>220</v>
      </c>
      <c r="J726" s="30"/>
      <c r="K726" s="28" t="s">
        <v>33</v>
      </c>
      <c r="L726" s="31">
        <v>46129</v>
      </c>
      <c r="M726" s="32">
        <v>53196000</v>
      </c>
      <c r="N726" s="32">
        <v>56606000</v>
      </c>
      <c r="O726" s="32">
        <v>54920400</v>
      </c>
      <c r="P726" s="28" t="s">
        <v>34</v>
      </c>
      <c r="Q726" s="28" t="s">
        <v>1369</v>
      </c>
      <c r="R726" s="30">
        <v>46132</v>
      </c>
      <c r="S726" s="30">
        <v>46132</v>
      </c>
      <c r="T726" s="33"/>
      <c r="U726" s="34" t="str">
        <f>IFERROR(_xlfn.XLOOKUP(E726,[1]EMPREENDIMENTO!C:C,[1]EMPREENDIMENTO!D:D),"")</f>
        <v>b5b05e90-d70a-ee11-9510-005056856875</v>
      </c>
    </row>
    <row r="727" spans="1:21" x14ac:dyDescent="0.35">
      <c r="A727" s="28" t="str">
        <f>IFERROR(_xlfn.XLOOKUP(C727,[1]DIRETORIA!C:C,[1]DIRETORIA!A:A),"-")</f>
        <v>DIR. COM E CRED SPI</v>
      </c>
      <c r="B727" s="28" t="str">
        <f>IFERROR(_xlfn.XLOOKUP(C727,[1]DIRETORIA!C:C,[1]DIRETORIA!B:B),"-")</f>
        <v>GST. COM OP 2</v>
      </c>
      <c r="C727" s="28" t="str">
        <f>IFERROR(_xlfn.XLOOKUP(E727,[1]EMPREENDIMENTO!C:C,[1]EMPREENDIMENTO!A:A),"-")</f>
        <v>BAURU</v>
      </c>
      <c r="D727" s="28" t="s">
        <v>29</v>
      </c>
      <c r="E727" s="28" t="s">
        <v>1371</v>
      </c>
      <c r="F727" s="28" t="s">
        <v>31</v>
      </c>
      <c r="G727" s="28" t="s">
        <v>1372</v>
      </c>
      <c r="H727" s="28">
        <v>44688</v>
      </c>
      <c r="I727" s="29">
        <f>IFERROR(_xlfn.XLOOKUP(E727,[1]EMPREENDIMENTO!C:C,[1]EMPREENDIMENTO!E:E),"0")</f>
        <v>560</v>
      </c>
      <c r="J727" s="30"/>
      <c r="K727" s="28" t="s">
        <v>33</v>
      </c>
      <c r="L727" s="31">
        <v>45888</v>
      </c>
      <c r="M727" s="32">
        <v>137133300</v>
      </c>
      <c r="N727" s="32">
        <v>146965840</v>
      </c>
      <c r="O727" s="32">
        <v>146965840</v>
      </c>
      <c r="P727" s="28" t="s">
        <v>34</v>
      </c>
      <c r="Q727" s="28" t="s">
        <v>1373</v>
      </c>
      <c r="R727" s="30">
        <v>45897</v>
      </c>
      <c r="S727" s="30">
        <v>45888</v>
      </c>
      <c r="T727" s="33"/>
      <c r="U727" s="34" t="str">
        <f>IFERROR(_xlfn.XLOOKUP(E727,[1]EMPREENDIMENTO!C:C,[1]EMPREENDIMENTO!D:D),"")</f>
        <v>d534e13b-a378-e911-a7ac-80c16e075108</v>
      </c>
    </row>
    <row r="728" spans="1:21" x14ac:dyDescent="0.35">
      <c r="A728" s="28" t="str">
        <f>IFERROR(_xlfn.XLOOKUP(C728,[1]DIRETORIA!C:C,[1]DIRETORIA!A:A),"-")</f>
        <v>DIR. COM E CRED SPI</v>
      </c>
      <c r="B728" s="28" t="str">
        <f>IFERROR(_xlfn.XLOOKUP(C728,[1]DIRETORIA!C:C,[1]DIRETORIA!B:B),"-")</f>
        <v>GST. COM OP 2</v>
      </c>
      <c r="C728" s="28" t="str">
        <f>IFERROR(_xlfn.XLOOKUP(E728,[1]EMPREENDIMENTO!C:C,[1]EMPREENDIMENTO!A:A),"-")</f>
        <v>BAURU</v>
      </c>
      <c r="D728" s="28" t="s">
        <v>29</v>
      </c>
      <c r="E728" s="28" t="s">
        <v>1371</v>
      </c>
      <c r="F728" s="28" t="s">
        <v>36</v>
      </c>
      <c r="G728" s="28" t="s">
        <v>1374</v>
      </c>
      <c r="H728" s="28">
        <v>52367</v>
      </c>
      <c r="I728" s="29">
        <f>IFERROR(_xlfn.XLOOKUP(E728,[1]EMPREENDIMENTO!C:C,[1]EMPREENDIMENTO!E:E),"0")</f>
        <v>560</v>
      </c>
      <c r="J728" s="30"/>
      <c r="K728" s="28" t="s">
        <v>33</v>
      </c>
      <c r="L728" s="31">
        <v>45888</v>
      </c>
      <c r="M728" s="32">
        <v>137133300</v>
      </c>
      <c r="N728" s="32">
        <v>146965840</v>
      </c>
      <c r="O728" s="32">
        <v>146965840</v>
      </c>
      <c r="P728" s="28" t="s">
        <v>34</v>
      </c>
      <c r="Q728" s="28" t="s">
        <v>1373</v>
      </c>
      <c r="R728" s="30">
        <v>45897</v>
      </c>
      <c r="S728" s="30">
        <v>45888</v>
      </c>
      <c r="T728" s="33"/>
      <c r="U728" s="34" t="str">
        <f>IFERROR(_xlfn.XLOOKUP(E728,[1]EMPREENDIMENTO!C:C,[1]EMPREENDIMENTO!D:D),"")</f>
        <v>d534e13b-a378-e911-a7ac-80c16e075108</v>
      </c>
    </row>
    <row r="729" spans="1:21" x14ac:dyDescent="0.35">
      <c r="A729" s="28" t="str">
        <f>IFERROR(_xlfn.XLOOKUP(C729,[1]DIRETORIA!C:C,[1]DIRETORIA!A:A),"-")</f>
        <v>DIR. COM E CRED SPI</v>
      </c>
      <c r="B729" s="28" t="str">
        <f>IFERROR(_xlfn.XLOOKUP(C729,[1]DIRETORIA!C:C,[1]DIRETORIA!B:B),"-")</f>
        <v>GST. COM OP 2</v>
      </c>
      <c r="C729" s="28" t="str">
        <f>IFERROR(_xlfn.XLOOKUP(E729,[1]EMPREENDIMENTO!C:C,[1]EMPREENDIMENTO!A:A),"-")</f>
        <v>BAURU</v>
      </c>
      <c r="D729" s="28" t="s">
        <v>85</v>
      </c>
      <c r="E729" s="28" t="s">
        <v>1371</v>
      </c>
      <c r="F729" s="28" t="s">
        <v>39</v>
      </c>
      <c r="G729" s="28" t="s">
        <v>268</v>
      </c>
      <c r="H729" s="28" t="s">
        <v>268</v>
      </c>
      <c r="I729" s="29">
        <f>IFERROR(_xlfn.XLOOKUP(E729,[1]EMPREENDIMENTO!C:C,[1]EMPREENDIMENTO!E:E),"0")</f>
        <v>560</v>
      </c>
      <c r="J729" s="30"/>
      <c r="K729" s="28" t="s">
        <v>33</v>
      </c>
      <c r="L729" s="31">
        <v>45888</v>
      </c>
      <c r="M729" s="32">
        <v>137133300</v>
      </c>
      <c r="N729" s="32">
        <v>146965840</v>
      </c>
      <c r="O729" s="32">
        <v>146965840</v>
      </c>
      <c r="P729" s="28" t="s">
        <v>34</v>
      </c>
      <c r="Q729" s="28" t="s">
        <v>1373</v>
      </c>
      <c r="R729" s="30">
        <v>45897</v>
      </c>
      <c r="S729" s="30">
        <v>45888</v>
      </c>
      <c r="T729" s="33"/>
      <c r="U729" s="34" t="str">
        <f>IFERROR(_xlfn.XLOOKUP(E729,[1]EMPREENDIMENTO!C:C,[1]EMPREENDIMENTO!D:D),"")</f>
        <v>d534e13b-a378-e911-a7ac-80c16e075108</v>
      </c>
    </row>
    <row r="730" spans="1:21" hidden="1" x14ac:dyDescent="0.35">
      <c r="A730" s="28" t="str">
        <f>IFERROR(_xlfn.XLOOKUP(C730,[1]DIRETORIA!C:C,[1]DIRETORIA!A:A),"-")</f>
        <v>DIR. COM E CRED NE</v>
      </c>
      <c r="B730" s="28" t="str">
        <f>IFERROR(_xlfn.XLOOKUP(C730,[1]DIRETORIA!C:C,[1]DIRETORIA!B:B),"-")</f>
        <v>GST. COM NE1 (BA 1)</v>
      </c>
      <c r="C730" s="28" t="str">
        <f>IFERROR(_xlfn.XLOOKUP(E730,[1]EMPREENDIMENTO!C:C,[1]EMPREENDIMENTO!A:A),"-")</f>
        <v>SALVADOR</v>
      </c>
      <c r="D730" s="28" t="s">
        <v>29</v>
      </c>
      <c r="E730" s="28" t="s">
        <v>1375</v>
      </c>
      <c r="F730" s="28" t="s">
        <v>42</v>
      </c>
      <c r="G730" s="28" t="s">
        <v>1376</v>
      </c>
      <c r="H730" s="28">
        <v>34358</v>
      </c>
      <c r="I730" s="29">
        <f>IFERROR(_xlfn.XLOOKUP(E730,[1]EMPREENDIMENTO!C:C,[1]EMPREENDIMENTO!E:E),"0")</f>
        <v>352</v>
      </c>
      <c r="J730" s="30">
        <v>46705</v>
      </c>
      <c r="K730" s="28" t="s">
        <v>786</v>
      </c>
      <c r="L730" s="31">
        <v>46146</v>
      </c>
      <c r="M730" s="32">
        <v>115051529</v>
      </c>
      <c r="N730" s="32">
        <v>122272151</v>
      </c>
      <c r="O730" s="32">
        <v>117214075</v>
      </c>
      <c r="P730" s="28" t="s">
        <v>34</v>
      </c>
      <c r="Q730" s="28" t="s">
        <v>1377</v>
      </c>
      <c r="R730" s="30">
        <v>46148</v>
      </c>
      <c r="S730" s="30">
        <v>46147</v>
      </c>
      <c r="T730" s="33"/>
      <c r="U730" s="34" t="str">
        <f>IFERROR(_xlfn.XLOOKUP(E730,[1]EMPREENDIMENTO!C:C,[1]EMPREENDIMENTO!D:D),"")</f>
        <v>f37a8e28-4f7e-e911-aaf3-009c02b0cb58</v>
      </c>
    </row>
    <row r="731" spans="1:21" hidden="1" x14ac:dyDescent="0.35">
      <c r="A731" s="28" t="str">
        <f>IFERROR(_xlfn.XLOOKUP(C731,[1]DIRETORIA!C:C,[1]DIRETORIA!A:A),"-")</f>
        <v>DIR. COM E CRED SUL</v>
      </c>
      <c r="B731" s="28" t="str">
        <f>IFERROR(_xlfn.XLOOKUP(C731,[1]DIRETORIA!C:C,[1]DIRETORIA!B:B),"-")</f>
        <v>GST. COM LONDRINA</v>
      </c>
      <c r="C731" s="28" t="str">
        <f>IFERROR(_xlfn.XLOOKUP(E731,[1]EMPREENDIMENTO!C:C,[1]EMPREENDIMENTO!A:A),"-")</f>
        <v>LONDRINA</v>
      </c>
      <c r="D731" s="28" t="s">
        <v>29</v>
      </c>
      <c r="E731" s="28" t="s">
        <v>1378</v>
      </c>
      <c r="F731" s="28" t="s">
        <v>31</v>
      </c>
      <c r="G731" s="28" t="s">
        <v>1379</v>
      </c>
      <c r="H731" s="28">
        <v>44812</v>
      </c>
      <c r="I731" s="29">
        <f>IFERROR(_xlfn.XLOOKUP(E731,[1]EMPREENDIMENTO!C:C,[1]EMPREENDIMENTO!E:E),"0")</f>
        <v>384</v>
      </c>
      <c r="J731" s="30"/>
      <c r="K731" s="28" t="s">
        <v>33</v>
      </c>
      <c r="L731" s="31">
        <v>45946</v>
      </c>
      <c r="M731" s="32">
        <v>93955200</v>
      </c>
      <c r="N731" s="32">
        <v>98894880</v>
      </c>
      <c r="O731" s="32">
        <v>95616000</v>
      </c>
      <c r="P731" s="28" t="s">
        <v>34</v>
      </c>
      <c r="Q731" s="28" t="s">
        <v>1380</v>
      </c>
      <c r="R731" s="30">
        <v>45953</v>
      </c>
      <c r="S731" s="30">
        <v>45947</v>
      </c>
      <c r="T731" s="33"/>
      <c r="U731" s="34" t="str">
        <f>IFERROR(_xlfn.XLOOKUP(E731,[1]EMPREENDIMENTO!C:C,[1]EMPREENDIMENTO!D:D),"")</f>
        <v>7908f571-1f57-ee11-9510-005056856875</v>
      </c>
    </row>
    <row r="732" spans="1:21" hidden="1" x14ac:dyDescent="0.35">
      <c r="A732" s="28" t="str">
        <f>IFERROR(_xlfn.XLOOKUP(C732,[1]DIRETORIA!C:C,[1]DIRETORIA!A:A),"-")</f>
        <v>DIR. COM E CRED SUL</v>
      </c>
      <c r="B732" s="28" t="str">
        <f>IFERROR(_xlfn.XLOOKUP(C732,[1]DIRETORIA!C:C,[1]DIRETORIA!B:B),"-")</f>
        <v>GST. COM LONDRINA</v>
      </c>
      <c r="C732" s="28" t="str">
        <f>IFERROR(_xlfn.XLOOKUP(E732,[1]EMPREENDIMENTO!C:C,[1]EMPREENDIMENTO!A:A),"-")</f>
        <v>LONDRINA</v>
      </c>
      <c r="D732" s="28" t="s">
        <v>29</v>
      </c>
      <c r="E732" s="28" t="s">
        <v>1378</v>
      </c>
      <c r="F732" s="28" t="s">
        <v>36</v>
      </c>
      <c r="G732" s="28" t="s">
        <v>1381</v>
      </c>
      <c r="H732" s="28">
        <v>60541</v>
      </c>
      <c r="I732" s="29">
        <f>IFERROR(_xlfn.XLOOKUP(E732,[1]EMPREENDIMENTO!C:C,[1]EMPREENDIMENTO!E:E),"0")</f>
        <v>384</v>
      </c>
      <c r="J732" s="30"/>
      <c r="K732" s="28" t="s">
        <v>33</v>
      </c>
      <c r="L732" s="31">
        <v>45946</v>
      </c>
      <c r="M732" s="32">
        <v>93955200</v>
      </c>
      <c r="N732" s="32">
        <v>98894880</v>
      </c>
      <c r="O732" s="32">
        <v>95616000</v>
      </c>
      <c r="P732" s="28" t="s">
        <v>34</v>
      </c>
      <c r="Q732" s="28" t="s">
        <v>1380</v>
      </c>
      <c r="R732" s="30">
        <v>45953</v>
      </c>
      <c r="S732" s="30">
        <v>45947</v>
      </c>
      <c r="T732" s="33"/>
      <c r="U732" s="34" t="str">
        <f>IFERROR(_xlfn.XLOOKUP(E732,[1]EMPREENDIMENTO!C:C,[1]EMPREENDIMENTO!D:D),"")</f>
        <v>7908f571-1f57-ee11-9510-005056856875</v>
      </c>
    </row>
    <row r="733" spans="1:21" hidden="1" x14ac:dyDescent="0.35">
      <c r="A733" s="28" t="str">
        <f>IFERROR(_xlfn.XLOOKUP(C733,[1]DIRETORIA!C:C,[1]DIRETORIA!A:A),"-")</f>
        <v>DIR. COM E CRED SUL</v>
      </c>
      <c r="B733" s="28" t="str">
        <f>IFERROR(_xlfn.XLOOKUP(C733,[1]DIRETORIA!C:C,[1]DIRETORIA!B:B),"-")</f>
        <v>GST. COM LONDRINA</v>
      </c>
      <c r="C733" s="28" t="str">
        <f>IFERROR(_xlfn.XLOOKUP(E733,[1]EMPREENDIMENTO!C:C,[1]EMPREENDIMENTO!A:A),"-")</f>
        <v>LONDRINA</v>
      </c>
      <c r="D733" s="28" t="s">
        <v>85</v>
      </c>
      <c r="E733" s="28" t="s">
        <v>1378</v>
      </c>
      <c r="F733" s="28" t="s">
        <v>39</v>
      </c>
      <c r="G733" s="28" t="s">
        <v>268</v>
      </c>
      <c r="H733" s="28" t="s">
        <v>268</v>
      </c>
      <c r="I733" s="29">
        <f>IFERROR(_xlfn.XLOOKUP(E733,[1]EMPREENDIMENTO!C:C,[1]EMPREENDIMENTO!E:E),"0")</f>
        <v>384</v>
      </c>
      <c r="J733" s="30"/>
      <c r="K733" s="28" t="s">
        <v>33</v>
      </c>
      <c r="L733" s="31">
        <v>45946</v>
      </c>
      <c r="M733" s="32">
        <v>93955200</v>
      </c>
      <c r="N733" s="32">
        <v>98894880</v>
      </c>
      <c r="O733" s="32">
        <v>95616000</v>
      </c>
      <c r="P733" s="28" t="s">
        <v>34</v>
      </c>
      <c r="Q733" s="28" t="s">
        <v>1380</v>
      </c>
      <c r="R733" s="30">
        <v>45953</v>
      </c>
      <c r="S733" s="30">
        <v>45947</v>
      </c>
      <c r="T733" s="33"/>
      <c r="U733" s="34" t="str">
        <f>IFERROR(_xlfn.XLOOKUP(E733,[1]EMPREENDIMENTO!C:C,[1]EMPREENDIMENTO!D:D),"")</f>
        <v>7908f571-1f57-ee11-9510-005056856875</v>
      </c>
    </row>
    <row r="734" spans="1:21" hidden="1" x14ac:dyDescent="0.35">
      <c r="A734" s="28" t="str">
        <f>IFERROR(_xlfn.XLOOKUP(C734,[1]DIRETORIA!C:C,[1]DIRETORIA!A:A),"-")</f>
        <v>DIR. COM E CRED SP E VL</v>
      </c>
      <c r="B734" s="28" t="str">
        <f>IFERROR(_xlfn.XLOOKUP(C734,[1]DIRETORIA!C:C,[1]DIRETORIA!B:B),"-")</f>
        <v>GST. COM SP2</v>
      </c>
      <c r="C734" s="28" t="str">
        <f>IFERROR(_xlfn.XLOOKUP(E734,[1]EMPREENDIMENTO!C:C,[1]EMPREENDIMENTO!A:A),"-")</f>
        <v>SÃO PAULO</v>
      </c>
      <c r="D734" s="28" t="s">
        <v>29</v>
      </c>
      <c r="E734" s="28" t="s">
        <v>1382</v>
      </c>
      <c r="F734" s="28" t="s">
        <v>31</v>
      </c>
      <c r="G734" s="28" t="s">
        <v>1383</v>
      </c>
      <c r="H734" s="28">
        <v>44533</v>
      </c>
      <c r="I734" s="29">
        <f>IFERROR(_xlfn.XLOOKUP(E734,[1]EMPREENDIMENTO!C:C,[1]EMPREENDIMENTO!E:E),"0")</f>
        <v>240</v>
      </c>
      <c r="J734" s="30"/>
      <c r="K734" s="28" t="s">
        <v>164</v>
      </c>
      <c r="L734" s="31">
        <v>45693</v>
      </c>
      <c r="M734" s="32">
        <v>70425400</v>
      </c>
      <c r="N734" s="32">
        <v>70449400</v>
      </c>
      <c r="O734" s="32">
        <v>70449400</v>
      </c>
      <c r="P734" s="28" t="s">
        <v>34</v>
      </c>
      <c r="Q734" s="28"/>
      <c r="R734" s="30">
        <v>45628</v>
      </c>
      <c r="S734" s="30">
        <v>45698</v>
      </c>
      <c r="T734" s="33"/>
      <c r="U734" s="34" t="str">
        <f>IFERROR(_xlfn.XLOOKUP(E734,[1]EMPREENDIMENTO!C:C,[1]EMPREENDIMENTO!D:D),"")</f>
        <v>05b1246f-3d62-eb11-aa45-005056856875</v>
      </c>
    </row>
    <row r="735" spans="1:21" hidden="1" x14ac:dyDescent="0.35">
      <c r="A735" s="28" t="str">
        <f>IFERROR(_xlfn.XLOOKUP(C735,[1]DIRETORIA!C:C,[1]DIRETORIA!A:A),"-")</f>
        <v>DIR. COM E CRED SP E VL</v>
      </c>
      <c r="B735" s="28" t="str">
        <f>IFERROR(_xlfn.XLOOKUP(C735,[1]DIRETORIA!C:C,[1]DIRETORIA!B:B),"-")</f>
        <v>GST. COM SP2</v>
      </c>
      <c r="C735" s="28" t="str">
        <f>IFERROR(_xlfn.XLOOKUP(E735,[1]EMPREENDIMENTO!C:C,[1]EMPREENDIMENTO!A:A),"-")</f>
        <v>SÃO PAULO</v>
      </c>
      <c r="D735" s="28" t="s">
        <v>29</v>
      </c>
      <c r="E735" s="28" t="s">
        <v>1382</v>
      </c>
      <c r="F735" s="28" t="s">
        <v>36</v>
      </c>
      <c r="G735" s="28" t="s">
        <v>1384</v>
      </c>
      <c r="H735" s="28">
        <v>54524</v>
      </c>
      <c r="I735" s="29">
        <f>IFERROR(_xlfn.XLOOKUP(E735,[1]EMPREENDIMENTO!C:C,[1]EMPREENDIMENTO!E:E),"0")</f>
        <v>240</v>
      </c>
      <c r="J735" s="30"/>
      <c r="K735" s="28" t="s">
        <v>164</v>
      </c>
      <c r="L735" s="31">
        <v>45693</v>
      </c>
      <c r="M735" s="32">
        <v>70425400</v>
      </c>
      <c r="N735" s="32">
        <v>70449400</v>
      </c>
      <c r="O735" s="32">
        <v>70449400</v>
      </c>
      <c r="P735" s="28" t="s">
        <v>34</v>
      </c>
      <c r="Q735" s="28"/>
      <c r="R735" s="30">
        <v>45628</v>
      </c>
      <c r="S735" s="30">
        <v>45698</v>
      </c>
      <c r="T735" s="33"/>
      <c r="U735" s="34" t="str">
        <f>IFERROR(_xlfn.XLOOKUP(E735,[1]EMPREENDIMENTO!C:C,[1]EMPREENDIMENTO!D:D),"")</f>
        <v>05b1246f-3d62-eb11-aa45-005056856875</v>
      </c>
    </row>
    <row r="736" spans="1:21" hidden="1" x14ac:dyDescent="0.35">
      <c r="A736" s="28" t="str">
        <f>IFERROR(_xlfn.XLOOKUP(C736,[1]DIRETORIA!C:C,[1]DIRETORIA!A:A),"-")</f>
        <v>DIR. COM E CRED SUL</v>
      </c>
      <c r="B736" s="28" t="str">
        <f>IFERROR(_xlfn.XLOOKUP(C736,[1]DIRETORIA!C:C,[1]DIRETORIA!B:B),"-")</f>
        <v>GST. COM LONDRINA</v>
      </c>
      <c r="C736" s="28" t="str">
        <f>IFERROR(_xlfn.XLOOKUP(E736,[1]EMPREENDIMENTO!C:C,[1]EMPREENDIMENTO!A:A),"-")</f>
        <v>MARINGÁ</v>
      </c>
      <c r="D736" s="28" t="s">
        <v>29</v>
      </c>
      <c r="E736" s="28" t="s">
        <v>1385</v>
      </c>
      <c r="F736" s="28" t="s">
        <v>31</v>
      </c>
      <c r="G736" s="28" t="s">
        <v>1386</v>
      </c>
      <c r="H736" s="28">
        <v>44740</v>
      </c>
      <c r="I736" s="29">
        <f>IFERROR(_xlfn.XLOOKUP(E736,[1]EMPREENDIMENTO!C:C,[1]EMPREENDIMENTO!E:E),"0")</f>
        <v>256</v>
      </c>
      <c r="J736" s="30"/>
      <c r="K736" s="28" t="s">
        <v>33</v>
      </c>
      <c r="L736" s="31">
        <v>45877</v>
      </c>
      <c r="M736" s="32">
        <v>67741890</v>
      </c>
      <c r="N736" s="32">
        <v>72458840</v>
      </c>
      <c r="O736" s="32">
        <v>70515615</v>
      </c>
      <c r="P736" s="28" t="s">
        <v>34</v>
      </c>
      <c r="Q736" s="28" t="s">
        <v>1387</v>
      </c>
      <c r="R736" s="30">
        <v>46106</v>
      </c>
      <c r="S736" s="30">
        <v>46111</v>
      </c>
      <c r="T736" s="33" t="s">
        <v>1388</v>
      </c>
      <c r="U736" s="34" t="str">
        <f>IFERROR(_xlfn.XLOOKUP(E736,[1]EMPREENDIMENTO!C:C,[1]EMPREENDIMENTO!D:D),"")</f>
        <v>eb85a2c0-f5a6-ed11-879a-80c16e075108</v>
      </c>
    </row>
    <row r="737" spans="1:21" hidden="1" x14ac:dyDescent="0.35">
      <c r="A737" s="28" t="str">
        <f>IFERROR(_xlfn.XLOOKUP(C737,[1]DIRETORIA!C:C,[1]DIRETORIA!A:A),"-")</f>
        <v>DIR. COM E CRED SUL</v>
      </c>
      <c r="B737" s="28" t="str">
        <f>IFERROR(_xlfn.XLOOKUP(C737,[1]DIRETORIA!C:C,[1]DIRETORIA!B:B),"-")</f>
        <v>GST. COM LONDRINA</v>
      </c>
      <c r="C737" s="28" t="str">
        <f>IFERROR(_xlfn.XLOOKUP(E737,[1]EMPREENDIMENTO!C:C,[1]EMPREENDIMENTO!A:A),"-")</f>
        <v>MARINGÁ</v>
      </c>
      <c r="D737" s="28" t="s">
        <v>29</v>
      </c>
      <c r="E737" s="28" t="s">
        <v>1385</v>
      </c>
      <c r="F737" s="28" t="s">
        <v>36</v>
      </c>
      <c r="G737" s="28" t="s">
        <v>1389</v>
      </c>
      <c r="H737" s="28">
        <v>59361</v>
      </c>
      <c r="I737" s="29">
        <f>IFERROR(_xlfn.XLOOKUP(E737,[1]EMPREENDIMENTO!C:C,[1]EMPREENDIMENTO!E:E),"0")</f>
        <v>256</v>
      </c>
      <c r="J737" s="30"/>
      <c r="K737" s="28" t="s">
        <v>33</v>
      </c>
      <c r="L737" s="31">
        <v>45877</v>
      </c>
      <c r="M737" s="32">
        <v>67741890</v>
      </c>
      <c r="N737" s="32">
        <v>72458840</v>
      </c>
      <c r="O737" s="32">
        <v>70515615</v>
      </c>
      <c r="P737" s="28" t="s">
        <v>34</v>
      </c>
      <c r="Q737" s="28" t="s">
        <v>1387</v>
      </c>
      <c r="R737" s="30">
        <v>46106</v>
      </c>
      <c r="S737" s="30">
        <v>46111</v>
      </c>
      <c r="T737" s="33" t="s">
        <v>1390</v>
      </c>
      <c r="U737" s="34" t="str">
        <f>IFERROR(_xlfn.XLOOKUP(E737,[1]EMPREENDIMENTO!C:C,[1]EMPREENDIMENTO!D:D),"")</f>
        <v>eb85a2c0-f5a6-ed11-879a-80c16e075108</v>
      </c>
    </row>
    <row r="738" spans="1:21" x14ac:dyDescent="0.35">
      <c r="A738" s="28" t="str">
        <f>IFERROR(_xlfn.XLOOKUP(C738,[1]DIRETORIA!C:C,[1]DIRETORIA!A:A),"-")</f>
        <v>DIR. COM E CRED SPI</v>
      </c>
      <c r="B738" s="28" t="str">
        <f>IFERROR(_xlfn.XLOOKUP(C738,[1]DIRETORIA!C:C,[1]DIRETORIA!B:B),"-")</f>
        <v>GST. COM RP 2</v>
      </c>
      <c r="C738" s="28" t="str">
        <f>IFERROR(_xlfn.XLOOKUP(E738,[1]EMPREENDIMENTO!C:C,[1]EMPREENDIMENTO!A:A),"-")</f>
        <v>BOTUCATU</v>
      </c>
      <c r="D738" s="28" t="s">
        <v>29</v>
      </c>
      <c r="E738" s="28" t="s">
        <v>1391</v>
      </c>
      <c r="F738" s="28" t="s">
        <v>31</v>
      </c>
      <c r="G738" s="28" t="s">
        <v>1392</v>
      </c>
      <c r="H738" s="28">
        <v>43845</v>
      </c>
      <c r="I738" s="29">
        <f>IFERROR(_xlfn.XLOOKUP(E738,[1]EMPREENDIMENTO!C:C,[1]EMPREENDIMENTO!E:E),"0")</f>
        <v>405</v>
      </c>
      <c r="J738" s="30"/>
      <c r="K738" s="28" t="s">
        <v>33</v>
      </c>
      <c r="L738" s="31">
        <v>46198</v>
      </c>
      <c r="M738" s="32">
        <v>97200000</v>
      </c>
      <c r="N738" s="32">
        <v>105235936</v>
      </c>
      <c r="O738" s="32">
        <v>100016000</v>
      </c>
      <c r="P738" s="28" t="s">
        <v>34</v>
      </c>
      <c r="Q738" s="28" t="s">
        <v>1393</v>
      </c>
      <c r="R738" s="30">
        <v>46212</v>
      </c>
      <c r="S738" s="30">
        <v>46199</v>
      </c>
      <c r="T738" s="33"/>
      <c r="U738" s="34" t="str">
        <f>IFERROR(_xlfn.XLOOKUP(E738,[1]EMPREENDIMENTO!C:C,[1]EMPREENDIMENTO!D:D),"")</f>
        <v>8972b978-ec7a-ec11-b501-005056856b6c</v>
      </c>
    </row>
    <row r="739" spans="1:21" x14ac:dyDescent="0.35">
      <c r="A739" s="28" t="str">
        <f>IFERROR(_xlfn.XLOOKUP(C739,[1]DIRETORIA!C:C,[1]DIRETORIA!A:A),"-")</f>
        <v>DIR. COM E CRED SPI</v>
      </c>
      <c r="B739" s="28" t="str">
        <f>IFERROR(_xlfn.XLOOKUP(C739,[1]DIRETORIA!C:C,[1]DIRETORIA!B:B),"-")</f>
        <v>GST. COM RP 2</v>
      </c>
      <c r="C739" s="28" t="str">
        <f>IFERROR(_xlfn.XLOOKUP(E739,[1]EMPREENDIMENTO!C:C,[1]EMPREENDIMENTO!A:A),"-")</f>
        <v>BOTUCATU</v>
      </c>
      <c r="D739" s="28" t="s">
        <v>29</v>
      </c>
      <c r="E739" s="28" t="s">
        <v>1391</v>
      </c>
      <c r="F739" s="28" t="s">
        <v>36</v>
      </c>
      <c r="G739" s="28" t="s">
        <v>1394</v>
      </c>
      <c r="H739" s="28">
        <v>54030</v>
      </c>
      <c r="I739" s="29">
        <f>IFERROR(_xlfn.XLOOKUP(E739,[1]EMPREENDIMENTO!C:C,[1]EMPREENDIMENTO!E:E),"0")</f>
        <v>405</v>
      </c>
      <c r="J739" s="30"/>
      <c r="K739" s="28" t="s">
        <v>33</v>
      </c>
      <c r="L739" s="31">
        <v>46198</v>
      </c>
      <c r="M739" s="32">
        <v>97200000</v>
      </c>
      <c r="N739" s="32">
        <v>105235936</v>
      </c>
      <c r="O739" s="32">
        <v>100016000</v>
      </c>
      <c r="P739" s="28" t="s">
        <v>34</v>
      </c>
      <c r="Q739" s="28" t="s">
        <v>1393</v>
      </c>
      <c r="R739" s="30">
        <v>46212</v>
      </c>
      <c r="S739" s="30">
        <v>46199</v>
      </c>
      <c r="T739" s="33"/>
      <c r="U739" s="34" t="str">
        <f>IFERROR(_xlfn.XLOOKUP(E739,[1]EMPREENDIMENTO!C:C,[1]EMPREENDIMENTO!D:D),"")</f>
        <v>8972b978-ec7a-ec11-b501-005056856b6c</v>
      </c>
    </row>
    <row r="740" spans="1:21" x14ac:dyDescent="0.35">
      <c r="A740" s="28" t="str">
        <f>IFERROR(_xlfn.XLOOKUP(C740,[1]DIRETORIA!C:C,[1]DIRETORIA!A:A),"-")</f>
        <v>DIR. COM E CRED SPI</v>
      </c>
      <c r="B740" s="28" t="str">
        <f>IFERROR(_xlfn.XLOOKUP(C740,[1]DIRETORIA!C:C,[1]DIRETORIA!B:B),"-")</f>
        <v>GST. COM RP 2</v>
      </c>
      <c r="C740" s="28" t="str">
        <f>IFERROR(_xlfn.XLOOKUP(E740,[1]EMPREENDIMENTO!C:C,[1]EMPREENDIMENTO!A:A),"-")</f>
        <v>BOTUCATU</v>
      </c>
      <c r="D740" s="28" t="s">
        <v>29</v>
      </c>
      <c r="E740" s="28" t="s">
        <v>1391</v>
      </c>
      <c r="F740" s="28" t="s">
        <v>39</v>
      </c>
      <c r="G740" s="28" t="s">
        <v>1395</v>
      </c>
      <c r="H740" s="28">
        <v>54458</v>
      </c>
      <c r="I740" s="29">
        <f>IFERROR(_xlfn.XLOOKUP(E740,[1]EMPREENDIMENTO!C:C,[1]EMPREENDIMENTO!E:E),"0")</f>
        <v>405</v>
      </c>
      <c r="J740" s="30"/>
      <c r="K740" s="28" t="s">
        <v>33</v>
      </c>
      <c r="L740" s="31">
        <v>46198</v>
      </c>
      <c r="M740" s="32">
        <v>97200000</v>
      </c>
      <c r="N740" s="32">
        <v>105235936</v>
      </c>
      <c r="O740" s="32">
        <v>100016000</v>
      </c>
      <c r="P740" s="28" t="s">
        <v>34</v>
      </c>
      <c r="Q740" s="28" t="s">
        <v>1393</v>
      </c>
      <c r="R740" s="30">
        <v>46212</v>
      </c>
      <c r="S740" s="30">
        <v>46199</v>
      </c>
      <c r="T740" s="33"/>
      <c r="U740" s="34" t="str">
        <f>IFERROR(_xlfn.XLOOKUP(E740,[1]EMPREENDIMENTO!C:C,[1]EMPREENDIMENTO!D:D),"")</f>
        <v>8972b978-ec7a-ec11-b501-005056856b6c</v>
      </c>
    </row>
    <row r="741" spans="1:21" x14ac:dyDescent="0.35">
      <c r="A741" s="28" t="str">
        <f>IFERROR(_xlfn.XLOOKUP(C741,[1]DIRETORIA!C:C,[1]DIRETORIA!A:A),"-")</f>
        <v>DIR. COM E CRED SPI</v>
      </c>
      <c r="B741" s="28" t="str">
        <f>IFERROR(_xlfn.XLOOKUP(C741,[1]DIRETORIA!C:C,[1]DIRETORIA!B:B),"-")</f>
        <v>GST. COM RP 2</v>
      </c>
      <c r="C741" s="28" t="str">
        <f>IFERROR(_xlfn.XLOOKUP(E741,[1]EMPREENDIMENTO!C:C,[1]EMPREENDIMENTO!A:A),"-")</f>
        <v>BOTUCATU</v>
      </c>
      <c r="D741" s="28" t="s">
        <v>29</v>
      </c>
      <c r="E741" s="28" t="s">
        <v>1391</v>
      </c>
      <c r="F741" s="28" t="s">
        <v>50</v>
      </c>
      <c r="G741" s="28" t="s">
        <v>1396</v>
      </c>
      <c r="H741" s="28">
        <v>54457</v>
      </c>
      <c r="I741" s="29">
        <f>IFERROR(_xlfn.XLOOKUP(E741,[1]EMPREENDIMENTO!C:C,[1]EMPREENDIMENTO!E:E),"0")</f>
        <v>405</v>
      </c>
      <c r="J741" s="30"/>
      <c r="K741" s="28" t="s">
        <v>33</v>
      </c>
      <c r="L741" s="31">
        <v>46198</v>
      </c>
      <c r="M741" s="32">
        <v>97200000</v>
      </c>
      <c r="N741" s="32">
        <v>105235936</v>
      </c>
      <c r="O741" s="32">
        <v>100016000</v>
      </c>
      <c r="P741" s="28" t="s">
        <v>34</v>
      </c>
      <c r="Q741" s="28" t="s">
        <v>1393</v>
      </c>
      <c r="R741" s="30">
        <v>46212</v>
      </c>
      <c r="S741" s="30">
        <v>46199</v>
      </c>
      <c r="T741" s="33"/>
      <c r="U741" s="34" t="str">
        <f>IFERROR(_xlfn.XLOOKUP(E741,[1]EMPREENDIMENTO!C:C,[1]EMPREENDIMENTO!D:D),"")</f>
        <v>8972b978-ec7a-ec11-b501-005056856b6c</v>
      </c>
    </row>
    <row r="742" spans="1:21" x14ac:dyDescent="0.35">
      <c r="A742" s="28" t="str">
        <f>IFERROR(_xlfn.XLOOKUP(C742,[1]DIRETORIA!C:C,[1]DIRETORIA!A:A),"-")</f>
        <v>DIR. COM E CRED SPI</v>
      </c>
      <c r="B742" s="28" t="str">
        <f>IFERROR(_xlfn.XLOOKUP(C742,[1]DIRETORIA!C:C,[1]DIRETORIA!B:B),"-")</f>
        <v>GST. COM OP 1</v>
      </c>
      <c r="C742" s="28" t="str">
        <f>IFERROR(_xlfn.XLOOKUP(E742,[1]EMPREENDIMENTO!C:C,[1]EMPREENDIMENTO!A:A),"-")</f>
        <v>ARAÇATUBA</v>
      </c>
      <c r="D742" s="28" t="s">
        <v>29</v>
      </c>
      <c r="E742" s="28" t="s">
        <v>1397</v>
      </c>
      <c r="F742" s="28" t="s">
        <v>31</v>
      </c>
      <c r="G742" s="28" t="s">
        <v>1398</v>
      </c>
      <c r="H742" s="28">
        <v>31045</v>
      </c>
      <c r="I742" s="29">
        <f>IFERROR(_xlfn.XLOOKUP(E742,[1]EMPREENDIMENTO!C:C,[1]EMPREENDIMENTO!E:E),"0")</f>
        <v>416</v>
      </c>
      <c r="J742" s="30"/>
      <c r="K742" s="28" t="s">
        <v>33</v>
      </c>
      <c r="L742" s="31">
        <v>46233</v>
      </c>
      <c r="M742" s="32">
        <v>97114100</v>
      </c>
      <c r="N742" s="32">
        <v>101260176</v>
      </c>
      <c r="O742" s="32">
        <v>97869300</v>
      </c>
      <c r="P742" s="28" t="s">
        <v>34</v>
      </c>
      <c r="Q742" s="28" t="s">
        <v>1399</v>
      </c>
      <c r="R742" s="30">
        <v>46234</v>
      </c>
      <c r="S742" s="30">
        <v>46234</v>
      </c>
      <c r="T742" s="33"/>
      <c r="U742" s="34" t="str">
        <f>IFERROR(_xlfn.XLOOKUP(E742,[1]EMPREENDIMENTO!C:C,[1]EMPREENDIMENTO!D:D),"")</f>
        <v>42f46835-3112-eb11-9d23-005056856b6c</v>
      </c>
    </row>
    <row r="743" spans="1:21" x14ac:dyDescent="0.35">
      <c r="A743" s="28" t="str">
        <f>IFERROR(_xlfn.XLOOKUP(C743,[1]DIRETORIA!C:C,[1]DIRETORIA!A:A),"-")</f>
        <v>DIR. COM E CRED SPI</v>
      </c>
      <c r="B743" s="28" t="str">
        <f>IFERROR(_xlfn.XLOOKUP(C743,[1]DIRETORIA!C:C,[1]DIRETORIA!B:B),"-")</f>
        <v>GST. COM OP 1</v>
      </c>
      <c r="C743" s="28" t="str">
        <f>IFERROR(_xlfn.XLOOKUP(E743,[1]EMPREENDIMENTO!C:C,[1]EMPREENDIMENTO!A:A),"-")</f>
        <v>ARAÇATUBA</v>
      </c>
      <c r="D743" s="28" t="s">
        <v>29</v>
      </c>
      <c r="E743" s="28" t="s">
        <v>1397</v>
      </c>
      <c r="F743" s="28" t="s">
        <v>36</v>
      </c>
      <c r="G743" s="28" t="s">
        <v>1400</v>
      </c>
      <c r="H743" s="28">
        <v>57301</v>
      </c>
      <c r="I743" s="29">
        <f>IFERROR(_xlfn.XLOOKUP(E743,[1]EMPREENDIMENTO!C:C,[1]EMPREENDIMENTO!E:E),"0")</f>
        <v>416</v>
      </c>
      <c r="J743" s="30"/>
      <c r="K743" s="28" t="s">
        <v>33</v>
      </c>
      <c r="L743" s="31">
        <v>46233</v>
      </c>
      <c r="M743" s="32">
        <v>97114100</v>
      </c>
      <c r="N743" s="32">
        <v>101260176</v>
      </c>
      <c r="O743" s="32">
        <v>97869300</v>
      </c>
      <c r="P743" s="28" t="s">
        <v>34</v>
      </c>
      <c r="Q743" s="28" t="s">
        <v>1399</v>
      </c>
      <c r="R743" s="30">
        <v>46234</v>
      </c>
      <c r="S743" s="30">
        <v>46234</v>
      </c>
      <c r="T743" s="33"/>
      <c r="U743" s="34" t="str">
        <f>IFERROR(_xlfn.XLOOKUP(E743,[1]EMPREENDIMENTO!C:C,[1]EMPREENDIMENTO!D:D),"")</f>
        <v>42f46835-3112-eb11-9d23-005056856b6c</v>
      </c>
    </row>
    <row r="744" spans="1:21" hidden="1" x14ac:dyDescent="0.35">
      <c r="A744" s="28" t="str">
        <f>IFERROR(_xlfn.XLOOKUP(C744,[1]DIRETORIA!C:C,[1]DIRETORIA!A:A),"-")</f>
        <v>DIR. COM E CRED CO E AM</v>
      </c>
      <c r="B744" s="28" t="str">
        <f>IFERROR(_xlfn.XLOOKUP(C744,[1]DIRETORIA!C:C,[1]DIRETORIA!B:B),"-")</f>
        <v>GST. COM MT</v>
      </c>
      <c r="C744" s="28" t="str">
        <f>IFERROR(_xlfn.XLOOKUP(E744,[1]EMPREENDIMENTO!C:C,[1]EMPREENDIMENTO!A:A),"-")</f>
        <v>VÁRZEA GRANDE</v>
      </c>
      <c r="D744" s="28" t="s">
        <v>29</v>
      </c>
      <c r="E744" s="28" t="s">
        <v>1401</v>
      </c>
      <c r="F744" s="28" t="s">
        <v>31</v>
      </c>
      <c r="G744" s="28" t="s">
        <v>1402</v>
      </c>
      <c r="H744" s="28">
        <v>25450</v>
      </c>
      <c r="I744" s="29">
        <f>IFERROR(_xlfn.XLOOKUP(E744,[1]EMPREENDIMENTO!C:C,[1]EMPREENDIMENTO!E:E),"0")</f>
        <v>512</v>
      </c>
      <c r="J744" s="30"/>
      <c r="K744" s="28" t="s">
        <v>33</v>
      </c>
      <c r="L744" s="31">
        <v>46150</v>
      </c>
      <c r="M744" s="32">
        <v>118332600</v>
      </c>
      <c r="N744" s="32">
        <v>128572600</v>
      </c>
      <c r="O744" s="32">
        <v>128572600</v>
      </c>
      <c r="P744" s="28" t="s">
        <v>34</v>
      </c>
      <c r="Q744" s="28" t="s">
        <v>1403</v>
      </c>
      <c r="R744" s="30">
        <v>46155</v>
      </c>
      <c r="S744" s="30">
        <v>46150</v>
      </c>
      <c r="T744" s="33"/>
      <c r="U744" s="34" t="str">
        <f>IFERROR(_xlfn.XLOOKUP(E744,[1]EMPREENDIMENTO!C:C,[1]EMPREENDIMENTO!D:D),"")</f>
        <v>2ad28bfe-7d1b-ea11-ba0a-0050568aa20f</v>
      </c>
    </row>
    <row r="745" spans="1:21" hidden="1" x14ac:dyDescent="0.35">
      <c r="A745" s="28" t="str">
        <f>IFERROR(_xlfn.XLOOKUP(C745,[1]DIRETORIA!C:C,[1]DIRETORIA!A:A),"-")</f>
        <v>DIR. COM E CRED CO E AM</v>
      </c>
      <c r="B745" s="28" t="str">
        <f>IFERROR(_xlfn.XLOOKUP(C745,[1]DIRETORIA!C:C,[1]DIRETORIA!B:B),"-")</f>
        <v>GST. COM MT</v>
      </c>
      <c r="C745" s="28" t="str">
        <f>IFERROR(_xlfn.XLOOKUP(E745,[1]EMPREENDIMENTO!C:C,[1]EMPREENDIMENTO!A:A),"-")</f>
        <v>VÁRZEA GRANDE</v>
      </c>
      <c r="D745" s="28" t="s">
        <v>29</v>
      </c>
      <c r="E745" s="28" t="s">
        <v>1401</v>
      </c>
      <c r="F745" s="28" t="s">
        <v>36</v>
      </c>
      <c r="G745" s="28" t="s">
        <v>1404</v>
      </c>
      <c r="H745" s="28">
        <v>59117</v>
      </c>
      <c r="I745" s="29">
        <f>IFERROR(_xlfn.XLOOKUP(E745,[1]EMPREENDIMENTO!C:C,[1]EMPREENDIMENTO!E:E),"0")</f>
        <v>512</v>
      </c>
      <c r="J745" s="30"/>
      <c r="K745" s="28" t="s">
        <v>33</v>
      </c>
      <c r="L745" s="31">
        <v>46150</v>
      </c>
      <c r="M745" s="32">
        <v>118332600</v>
      </c>
      <c r="N745" s="32">
        <v>128572600</v>
      </c>
      <c r="O745" s="32">
        <v>128572600</v>
      </c>
      <c r="P745" s="28" t="s">
        <v>34</v>
      </c>
      <c r="Q745" s="28" t="s">
        <v>1403</v>
      </c>
      <c r="R745" s="30">
        <v>46155</v>
      </c>
      <c r="S745" s="30">
        <v>46150</v>
      </c>
      <c r="T745" s="33"/>
      <c r="U745" s="34" t="str">
        <f>IFERROR(_xlfn.XLOOKUP(E745,[1]EMPREENDIMENTO!C:C,[1]EMPREENDIMENTO!D:D),"")</f>
        <v>2ad28bfe-7d1b-ea11-ba0a-0050568aa20f</v>
      </c>
    </row>
    <row r="746" spans="1:21" hidden="1" x14ac:dyDescent="0.35">
      <c r="A746" s="28" t="str">
        <f>IFERROR(_xlfn.XLOOKUP(C746,[1]DIRETORIA!C:C,[1]DIRETORIA!A:A),"-")</f>
        <v>DIR. COM E CRED CO E AM</v>
      </c>
      <c r="B746" s="28" t="str">
        <f>IFERROR(_xlfn.XLOOKUP(C746,[1]DIRETORIA!C:C,[1]DIRETORIA!B:B),"-")</f>
        <v>GST. COM MT</v>
      </c>
      <c r="C746" s="28" t="str">
        <f>IFERROR(_xlfn.XLOOKUP(E746,[1]EMPREENDIMENTO!C:C,[1]EMPREENDIMENTO!A:A),"-")</f>
        <v>VÁRZEA GRANDE</v>
      </c>
      <c r="D746" s="28" t="s">
        <v>29</v>
      </c>
      <c r="E746" s="28" t="s">
        <v>1401</v>
      </c>
      <c r="F746" s="28" t="s">
        <v>39</v>
      </c>
      <c r="G746" s="28" t="s">
        <v>1405</v>
      </c>
      <c r="H746" s="28">
        <v>60760</v>
      </c>
      <c r="I746" s="29">
        <f>IFERROR(_xlfn.XLOOKUP(E746,[1]EMPREENDIMENTO!C:C,[1]EMPREENDIMENTO!E:E),"0")</f>
        <v>512</v>
      </c>
      <c r="J746" s="30"/>
      <c r="K746" s="28" t="s">
        <v>33</v>
      </c>
      <c r="L746" s="31">
        <v>46150</v>
      </c>
      <c r="M746" s="32">
        <v>118332600</v>
      </c>
      <c r="N746" s="32">
        <v>128572600</v>
      </c>
      <c r="O746" s="32">
        <v>128572600</v>
      </c>
      <c r="P746" s="28" t="s">
        <v>34</v>
      </c>
      <c r="Q746" s="28" t="s">
        <v>1403</v>
      </c>
      <c r="R746" s="30">
        <v>46155</v>
      </c>
      <c r="S746" s="30">
        <v>46150</v>
      </c>
      <c r="T746" s="33"/>
      <c r="U746" s="34" t="str">
        <f>IFERROR(_xlfn.XLOOKUP(E746,[1]EMPREENDIMENTO!C:C,[1]EMPREENDIMENTO!D:D),"")</f>
        <v>2ad28bfe-7d1b-ea11-ba0a-0050568aa20f</v>
      </c>
    </row>
    <row r="747" spans="1:21" hidden="1" x14ac:dyDescent="0.35">
      <c r="A747" s="28" t="str">
        <f>IFERROR(_xlfn.XLOOKUP(C747,[1]DIRETORIA!C:C,[1]DIRETORIA!A:A),"-")</f>
        <v>DIR. COM E CRED CO E AM</v>
      </c>
      <c r="B747" s="28" t="str">
        <f>IFERROR(_xlfn.XLOOKUP(C747,[1]DIRETORIA!C:C,[1]DIRETORIA!B:B),"-")</f>
        <v>GST. COM MT</v>
      </c>
      <c r="C747" s="28" t="str">
        <f>IFERROR(_xlfn.XLOOKUP(E747,[1]EMPREENDIMENTO!C:C,[1]EMPREENDIMENTO!A:A),"-")</f>
        <v>VÁRZEA GRANDE</v>
      </c>
      <c r="D747" s="28" t="s">
        <v>85</v>
      </c>
      <c r="E747" s="28" t="s">
        <v>1401</v>
      </c>
      <c r="F747" s="28" t="s">
        <v>50</v>
      </c>
      <c r="G747" s="28" t="s">
        <v>268</v>
      </c>
      <c r="H747" s="28" t="s">
        <v>268</v>
      </c>
      <c r="I747" s="29">
        <f>IFERROR(_xlfn.XLOOKUP(E747,[1]EMPREENDIMENTO!C:C,[1]EMPREENDIMENTO!E:E),"0")</f>
        <v>512</v>
      </c>
      <c r="J747" s="30"/>
      <c r="K747" s="28" t="s">
        <v>33</v>
      </c>
      <c r="L747" s="31">
        <v>46150</v>
      </c>
      <c r="M747" s="32">
        <v>118332600</v>
      </c>
      <c r="N747" s="32">
        <v>128572600</v>
      </c>
      <c r="O747" s="32">
        <v>128572600</v>
      </c>
      <c r="P747" s="28" t="s">
        <v>34</v>
      </c>
      <c r="Q747" s="28" t="s">
        <v>1403</v>
      </c>
      <c r="R747" s="30">
        <v>46155</v>
      </c>
      <c r="S747" s="30">
        <v>46150</v>
      </c>
      <c r="T747" s="33"/>
      <c r="U747" s="34" t="str">
        <f>IFERROR(_xlfn.XLOOKUP(E747,[1]EMPREENDIMENTO!C:C,[1]EMPREENDIMENTO!D:D),"")</f>
        <v>2ad28bfe-7d1b-ea11-ba0a-0050568aa20f</v>
      </c>
    </row>
    <row r="748" spans="1:21" hidden="1" x14ac:dyDescent="0.35">
      <c r="A748" s="28" t="str">
        <f>IFERROR(_xlfn.XLOOKUP(C748,[1]DIRETORIA!C:C,[1]DIRETORIA!A:A),"-")</f>
        <v>DIR. COM E CRED NE</v>
      </c>
      <c r="B748" s="28" t="str">
        <f>IFERROR(_xlfn.XLOOKUP(C748,[1]DIRETORIA!C:C,[1]DIRETORIA!B:B),"-")</f>
        <v>GST. COM NE1 (BA 1)</v>
      </c>
      <c r="C748" s="28" t="str">
        <f>IFERROR(_xlfn.XLOOKUP(E748,[1]EMPREENDIMENTO!C:C,[1]EMPREENDIMENTO!A:A),"-")</f>
        <v>SALVADOR</v>
      </c>
      <c r="D748" s="28" t="s">
        <v>29</v>
      </c>
      <c r="E748" s="28" t="s">
        <v>1406</v>
      </c>
      <c r="F748" s="28" t="s">
        <v>42</v>
      </c>
      <c r="G748" s="28" t="s">
        <v>1407</v>
      </c>
      <c r="H748" s="28">
        <v>34342</v>
      </c>
      <c r="I748" s="29">
        <f>IFERROR(_xlfn.XLOOKUP(E748,[1]EMPREENDIMENTO!C:C,[1]EMPREENDIMENTO!E:E),"0")</f>
        <v>320</v>
      </c>
      <c r="J748" s="30">
        <v>46699</v>
      </c>
      <c r="K748" s="28" t="s">
        <v>164</v>
      </c>
      <c r="L748" s="31">
        <v>45814</v>
      </c>
      <c r="M748" s="32">
        <v>80830252</v>
      </c>
      <c r="N748" s="32">
        <v>84533573</v>
      </c>
      <c r="O748" s="32">
        <v>82996227</v>
      </c>
      <c r="P748" s="28" t="s">
        <v>34</v>
      </c>
      <c r="Q748" s="28" t="s">
        <v>1408</v>
      </c>
      <c r="R748" s="30">
        <v>45817</v>
      </c>
      <c r="S748" s="30">
        <v>45817</v>
      </c>
      <c r="T748" s="33"/>
      <c r="U748" s="34" t="str">
        <f>IFERROR(_xlfn.XLOOKUP(E748,[1]EMPREENDIMENTO!C:C,[1]EMPREENDIMENTO!D:D),"")</f>
        <v>690db498-660c-e611-a5bb-009c02b0cb58</v>
      </c>
    </row>
    <row r="749" spans="1:21" hidden="1" x14ac:dyDescent="0.35">
      <c r="A749" s="28" t="str">
        <f>IFERROR(_xlfn.XLOOKUP(C749,[1]DIRETORIA!C:C,[1]DIRETORIA!A:A),"-")</f>
        <v>DIR. COM E CRED CO E AM</v>
      </c>
      <c r="B749" s="28" t="str">
        <f>IFERROR(_xlfn.XLOOKUP(C749,[1]DIRETORIA!C:C,[1]DIRETORIA!B:B),"-")</f>
        <v>GST. COM MS</v>
      </c>
      <c r="C749" s="28" t="str">
        <f>IFERROR(_xlfn.XLOOKUP(E749,[1]EMPREENDIMENTO!C:C,[1]EMPREENDIMENTO!A:A),"-")</f>
        <v>CAMPO GRANDE</v>
      </c>
      <c r="D749" s="28" t="s">
        <v>29</v>
      </c>
      <c r="E749" s="28" t="s">
        <v>1409</v>
      </c>
      <c r="F749" s="28" t="s">
        <v>31</v>
      </c>
      <c r="G749" s="28" t="s">
        <v>1410</v>
      </c>
      <c r="H749" s="28">
        <v>35748</v>
      </c>
      <c r="I749" s="29">
        <f>IFERROR(_xlfn.XLOOKUP(E749,[1]EMPREENDIMENTO!C:C,[1]EMPREENDIMENTO!E:E),"0")</f>
        <v>240</v>
      </c>
      <c r="J749" s="30"/>
      <c r="K749" s="28" t="s">
        <v>33</v>
      </c>
      <c r="L749" s="31">
        <v>46190</v>
      </c>
      <c r="M749" s="32">
        <v>72730596</v>
      </c>
      <c r="N749" s="32">
        <v>85874654</v>
      </c>
      <c r="O749" s="32">
        <v>77498000</v>
      </c>
      <c r="P749" s="28" t="s">
        <v>34</v>
      </c>
      <c r="Q749" s="28" t="s">
        <v>1411</v>
      </c>
      <c r="R749" s="30">
        <v>46192</v>
      </c>
      <c r="S749" s="30">
        <v>46190</v>
      </c>
      <c r="T749" s="33"/>
      <c r="U749" s="34" t="str">
        <f>IFERROR(_xlfn.XLOOKUP(E749,[1]EMPREENDIMENTO!C:C,[1]EMPREENDIMENTO!D:D),"")</f>
        <v>bcb50c6d-78e9-e611-abb6-80c16e075108</v>
      </c>
    </row>
    <row r="750" spans="1:21" hidden="1" x14ac:dyDescent="0.35">
      <c r="A750" s="28" t="str">
        <f>IFERROR(_xlfn.XLOOKUP(C750,[1]DIRETORIA!C:C,[1]DIRETORIA!A:A),"-")</f>
        <v>DIR. COM E CRED CO E AM</v>
      </c>
      <c r="B750" s="28" t="str">
        <f>IFERROR(_xlfn.XLOOKUP(C750,[1]DIRETORIA!C:C,[1]DIRETORIA!B:B),"-")</f>
        <v>GST. COM MS</v>
      </c>
      <c r="C750" s="28" t="str">
        <f>IFERROR(_xlfn.XLOOKUP(E750,[1]EMPREENDIMENTO!C:C,[1]EMPREENDIMENTO!A:A),"-")</f>
        <v>CAMPO GRANDE</v>
      </c>
      <c r="D750" s="28" t="s">
        <v>29</v>
      </c>
      <c r="E750" s="28" t="s">
        <v>1409</v>
      </c>
      <c r="F750" s="28" t="s">
        <v>36</v>
      </c>
      <c r="G750" s="28" t="s">
        <v>1412</v>
      </c>
      <c r="H750" s="28">
        <v>54725</v>
      </c>
      <c r="I750" s="29">
        <f>IFERROR(_xlfn.XLOOKUP(E750,[1]EMPREENDIMENTO!C:C,[1]EMPREENDIMENTO!E:E),"0")</f>
        <v>240</v>
      </c>
      <c r="J750" s="30"/>
      <c r="K750" s="28" t="s">
        <v>33</v>
      </c>
      <c r="L750" s="31">
        <v>46190</v>
      </c>
      <c r="M750" s="32">
        <v>72730596</v>
      </c>
      <c r="N750" s="32">
        <v>85874654</v>
      </c>
      <c r="O750" s="32">
        <v>77498000</v>
      </c>
      <c r="P750" s="28" t="s">
        <v>34</v>
      </c>
      <c r="Q750" s="28" t="s">
        <v>1411</v>
      </c>
      <c r="R750" s="30">
        <v>46192</v>
      </c>
      <c r="S750" s="30">
        <v>46190</v>
      </c>
      <c r="T750" s="33"/>
      <c r="U750" s="34" t="str">
        <f>IFERROR(_xlfn.XLOOKUP(E750,[1]EMPREENDIMENTO!C:C,[1]EMPREENDIMENTO!D:D),"")</f>
        <v>bcb50c6d-78e9-e611-abb6-80c16e075108</v>
      </c>
    </row>
    <row r="751" spans="1:21" hidden="1" x14ac:dyDescent="0.35">
      <c r="A751" s="28" t="str">
        <f>IFERROR(_xlfn.XLOOKUP(C751,[1]DIRETORIA!C:C,[1]DIRETORIA!A:A),"-")</f>
        <v>DIR. COM E CRED CO E AM</v>
      </c>
      <c r="B751" s="28" t="str">
        <f>IFERROR(_xlfn.XLOOKUP(C751,[1]DIRETORIA!C:C,[1]DIRETORIA!B:B),"-")</f>
        <v>GST. COM MT</v>
      </c>
      <c r="C751" s="28" t="str">
        <f>IFERROR(_xlfn.XLOOKUP(E751,[1]EMPREENDIMENTO!C:C,[1]EMPREENDIMENTO!A:A),"-")</f>
        <v>VÁRZEA GRANDE</v>
      </c>
      <c r="D751" s="28" t="s">
        <v>29</v>
      </c>
      <c r="E751" s="28" t="s">
        <v>1413</v>
      </c>
      <c r="F751" s="28" t="s">
        <v>31</v>
      </c>
      <c r="G751" s="28" t="s">
        <v>1414</v>
      </c>
      <c r="H751" s="28">
        <v>32648</v>
      </c>
      <c r="I751" s="29">
        <f>IFERROR(_xlfn.XLOOKUP(E751,[1]EMPREENDIMENTO!C:C,[1]EMPREENDIMENTO!E:E),"0")</f>
        <v>464</v>
      </c>
      <c r="J751" s="30"/>
      <c r="K751" s="28" t="s">
        <v>33</v>
      </c>
      <c r="L751" s="31">
        <v>46218</v>
      </c>
      <c r="M751" s="32">
        <v>107712000</v>
      </c>
      <c r="N751" s="32">
        <v>124805728</v>
      </c>
      <c r="O751" s="32">
        <v>117411200</v>
      </c>
      <c r="P751" s="28" t="s">
        <v>34</v>
      </c>
      <c r="Q751" s="28" t="s">
        <v>1415</v>
      </c>
      <c r="R751" s="30">
        <v>46219</v>
      </c>
      <c r="S751" s="30">
        <v>46219</v>
      </c>
      <c r="T751" s="33"/>
      <c r="U751" s="34" t="str">
        <f>IFERROR(_xlfn.XLOOKUP(E751,[1]EMPREENDIMENTO!C:C,[1]EMPREENDIMENTO!D:D),"")</f>
        <v>01aa757e-3107-ec11-a30e-0050568a2e98</v>
      </c>
    </row>
    <row r="752" spans="1:21" hidden="1" x14ac:dyDescent="0.35">
      <c r="A752" s="28" t="str">
        <f>IFERROR(_xlfn.XLOOKUP(C752,[1]DIRETORIA!C:C,[1]DIRETORIA!A:A),"-")</f>
        <v>DIR. COM E CRED CO E AM</v>
      </c>
      <c r="B752" s="28" t="str">
        <f>IFERROR(_xlfn.XLOOKUP(C752,[1]DIRETORIA!C:C,[1]DIRETORIA!B:B),"-")</f>
        <v>GST. COM MT</v>
      </c>
      <c r="C752" s="28" t="str">
        <f>IFERROR(_xlfn.XLOOKUP(E752,[1]EMPREENDIMENTO!C:C,[1]EMPREENDIMENTO!A:A),"-")</f>
        <v>VÁRZEA GRANDE</v>
      </c>
      <c r="D752" s="28" t="s">
        <v>29</v>
      </c>
      <c r="E752" s="28" t="s">
        <v>1413</v>
      </c>
      <c r="F752" s="28" t="s">
        <v>36</v>
      </c>
      <c r="G752" s="28" t="s">
        <v>1416</v>
      </c>
      <c r="H752" s="28">
        <v>54246</v>
      </c>
      <c r="I752" s="29">
        <f>IFERROR(_xlfn.XLOOKUP(E752,[1]EMPREENDIMENTO!C:C,[1]EMPREENDIMENTO!E:E),"0")</f>
        <v>464</v>
      </c>
      <c r="J752" s="30"/>
      <c r="K752" s="28" t="s">
        <v>33</v>
      </c>
      <c r="L752" s="31">
        <v>46218</v>
      </c>
      <c r="M752" s="32">
        <v>107712000</v>
      </c>
      <c r="N752" s="32">
        <v>124805728</v>
      </c>
      <c r="O752" s="32">
        <v>117411200</v>
      </c>
      <c r="P752" s="28" t="s">
        <v>34</v>
      </c>
      <c r="Q752" s="28" t="s">
        <v>1415</v>
      </c>
      <c r="R752" s="30">
        <v>46219</v>
      </c>
      <c r="S752" s="30">
        <v>46219</v>
      </c>
      <c r="T752" s="33"/>
      <c r="U752" s="34" t="str">
        <f>IFERROR(_xlfn.XLOOKUP(E752,[1]EMPREENDIMENTO!C:C,[1]EMPREENDIMENTO!D:D),"")</f>
        <v>01aa757e-3107-ec11-a30e-0050568a2e98</v>
      </c>
    </row>
    <row r="753" spans="1:21" hidden="1" x14ac:dyDescent="0.35">
      <c r="A753" s="28" t="str">
        <f>IFERROR(_xlfn.XLOOKUP(C753,[1]DIRETORIA!C:C,[1]DIRETORIA!A:A),"-")</f>
        <v>DIR. COM E CRED CO E AM</v>
      </c>
      <c r="B753" s="28" t="str">
        <f>IFERROR(_xlfn.XLOOKUP(C753,[1]DIRETORIA!C:C,[1]DIRETORIA!B:B),"-")</f>
        <v>GST. COM MT</v>
      </c>
      <c r="C753" s="28" t="str">
        <f>IFERROR(_xlfn.XLOOKUP(E753,[1]EMPREENDIMENTO!C:C,[1]EMPREENDIMENTO!A:A),"-")</f>
        <v>VÁRZEA GRANDE</v>
      </c>
      <c r="D753" s="28" t="s">
        <v>29</v>
      </c>
      <c r="E753" s="28" t="s">
        <v>1413</v>
      </c>
      <c r="F753" s="28" t="s">
        <v>39</v>
      </c>
      <c r="G753" s="28" t="s">
        <v>1417</v>
      </c>
      <c r="H753" s="28">
        <v>54818</v>
      </c>
      <c r="I753" s="29">
        <f>IFERROR(_xlfn.XLOOKUP(E753,[1]EMPREENDIMENTO!C:C,[1]EMPREENDIMENTO!E:E),"0")</f>
        <v>464</v>
      </c>
      <c r="J753" s="30"/>
      <c r="K753" s="28" t="s">
        <v>33</v>
      </c>
      <c r="L753" s="31">
        <v>46218</v>
      </c>
      <c r="M753" s="32">
        <v>107712000</v>
      </c>
      <c r="N753" s="32">
        <v>124805728</v>
      </c>
      <c r="O753" s="32">
        <v>117411200</v>
      </c>
      <c r="P753" s="28" t="s">
        <v>34</v>
      </c>
      <c r="Q753" s="28" t="s">
        <v>1415</v>
      </c>
      <c r="R753" s="30">
        <v>46219</v>
      </c>
      <c r="S753" s="30">
        <v>46219</v>
      </c>
      <c r="T753" s="33"/>
      <c r="U753" s="34" t="str">
        <f>IFERROR(_xlfn.XLOOKUP(E753,[1]EMPREENDIMENTO!C:C,[1]EMPREENDIMENTO!D:D),"")</f>
        <v>01aa757e-3107-ec11-a30e-0050568a2e98</v>
      </c>
    </row>
    <row r="754" spans="1:21" hidden="1" x14ac:dyDescent="0.35">
      <c r="A754" s="28" t="str">
        <f>IFERROR(_xlfn.XLOOKUP(C754,[1]DIRETORIA!C:C,[1]DIRETORIA!A:A),"-")</f>
        <v>DIR. COM E CRED CO E AM</v>
      </c>
      <c r="B754" s="28" t="str">
        <f>IFERROR(_xlfn.XLOOKUP(C754,[1]DIRETORIA!C:C,[1]DIRETORIA!B:B),"-")</f>
        <v>GST. COM MT</v>
      </c>
      <c r="C754" s="28" t="str">
        <f>IFERROR(_xlfn.XLOOKUP(E754,[1]EMPREENDIMENTO!C:C,[1]EMPREENDIMENTO!A:A),"-")</f>
        <v>VÁRZEA GRANDE</v>
      </c>
      <c r="D754" s="28" t="s">
        <v>29</v>
      </c>
      <c r="E754" s="28" t="s">
        <v>1413</v>
      </c>
      <c r="F754" s="28" t="s">
        <v>50</v>
      </c>
      <c r="G754" s="28" t="s">
        <v>1418</v>
      </c>
      <c r="H754" s="28">
        <v>59149</v>
      </c>
      <c r="I754" s="29">
        <f>IFERROR(_xlfn.XLOOKUP(E754,[1]EMPREENDIMENTO!C:C,[1]EMPREENDIMENTO!E:E),"0")</f>
        <v>464</v>
      </c>
      <c r="J754" s="30"/>
      <c r="K754" s="28" t="s">
        <v>33</v>
      </c>
      <c r="L754" s="31">
        <v>46218</v>
      </c>
      <c r="M754" s="32">
        <v>107712000</v>
      </c>
      <c r="N754" s="32">
        <v>124805728</v>
      </c>
      <c r="O754" s="32">
        <v>117411200</v>
      </c>
      <c r="P754" s="28" t="s">
        <v>34</v>
      </c>
      <c r="Q754" s="28" t="s">
        <v>1415</v>
      </c>
      <c r="R754" s="30">
        <v>46219</v>
      </c>
      <c r="S754" s="30">
        <v>46219</v>
      </c>
      <c r="T754" s="33"/>
      <c r="U754" s="34" t="str">
        <f>IFERROR(_xlfn.XLOOKUP(E754,[1]EMPREENDIMENTO!C:C,[1]EMPREENDIMENTO!D:D),"")</f>
        <v>01aa757e-3107-ec11-a30e-0050568a2e98</v>
      </c>
    </row>
    <row r="755" spans="1:21" hidden="1" x14ac:dyDescent="0.35">
      <c r="A755" s="28" t="str">
        <f>IFERROR(_xlfn.XLOOKUP(C755,[1]DIRETORIA!C:C,[1]DIRETORIA!A:A),"-")</f>
        <v>DIR. COM E CRED NE</v>
      </c>
      <c r="B755" s="28" t="str">
        <f>IFERROR(_xlfn.XLOOKUP(C755,[1]DIRETORIA!C:C,[1]DIRETORIA!B:B),"-")</f>
        <v>GST. COM NE4 (CE)</v>
      </c>
      <c r="C755" s="28" t="str">
        <f>IFERROR(_xlfn.XLOOKUP(E755,[1]EMPREENDIMENTO!C:C,[1]EMPREENDIMENTO!A:A),"-")</f>
        <v>FORTALEZA</v>
      </c>
      <c r="D755" s="28" t="s">
        <v>29</v>
      </c>
      <c r="E755" s="28" t="s">
        <v>1419</v>
      </c>
      <c r="F755" s="28" t="s">
        <v>42</v>
      </c>
      <c r="G755" s="28" t="s">
        <v>1420</v>
      </c>
      <c r="H755" s="28">
        <v>45266</v>
      </c>
      <c r="I755" s="29">
        <f>IFERROR(_xlfn.XLOOKUP(E755,[1]EMPREENDIMENTO!C:C,[1]EMPREENDIMENTO!E:E),"0")</f>
        <v>240</v>
      </c>
      <c r="J755" s="30">
        <v>46720</v>
      </c>
      <c r="K755" s="28" t="s">
        <v>33</v>
      </c>
      <c r="L755" s="31">
        <v>46220</v>
      </c>
      <c r="M755" s="32">
        <v>56326600</v>
      </c>
      <c r="N755" s="32">
        <v>63604048</v>
      </c>
      <c r="O755" s="32">
        <v>58030900</v>
      </c>
      <c r="P755" s="28" t="s">
        <v>34</v>
      </c>
      <c r="Q755" s="28" t="s">
        <v>1421</v>
      </c>
      <c r="R755" s="30">
        <v>46220</v>
      </c>
      <c r="S755" s="30">
        <v>46220</v>
      </c>
      <c r="T755" s="33"/>
      <c r="U755" s="34" t="str">
        <f>IFERROR(_xlfn.XLOOKUP(E755,[1]EMPREENDIMENTO!C:C,[1]EMPREENDIMENTO!D:D),"")</f>
        <v>cc5c6ce1-25e6-ee11-94f2-005056856875</v>
      </c>
    </row>
    <row r="756" spans="1:21" hidden="1" x14ac:dyDescent="0.35">
      <c r="A756" s="28" t="str">
        <f>IFERROR(_xlfn.XLOOKUP(C756,[1]DIRETORIA!C:C,[1]DIRETORIA!A:A),"-")</f>
        <v>DIR. COM E CRED CO E AM</v>
      </c>
      <c r="B756" s="28" t="str">
        <f>IFERROR(_xlfn.XLOOKUP(C756,[1]DIRETORIA!C:C,[1]DIRETORIA!B:B),"-")</f>
        <v>GST. COM GO</v>
      </c>
      <c r="C756" s="28" t="str">
        <f>IFERROR(_xlfn.XLOOKUP(E756,[1]EMPREENDIMENTO!C:C,[1]EMPREENDIMENTO!A:A),"-")</f>
        <v>ANÁPOLIS</v>
      </c>
      <c r="D756" s="28" t="s">
        <v>29</v>
      </c>
      <c r="E756" s="28" t="s">
        <v>1422</v>
      </c>
      <c r="F756" s="28" t="s">
        <v>31</v>
      </c>
      <c r="G756" s="28" t="s">
        <v>1423</v>
      </c>
      <c r="H756" s="28">
        <v>45410</v>
      </c>
      <c r="I756" s="29">
        <f>IFERROR(_xlfn.XLOOKUP(E756,[1]EMPREENDIMENTO!C:C,[1]EMPREENDIMENTO!E:E),"0")</f>
        <v>256</v>
      </c>
      <c r="J756" s="30">
        <v>46734</v>
      </c>
      <c r="K756" s="28" t="s">
        <v>33</v>
      </c>
      <c r="L756" s="31">
        <v>46247</v>
      </c>
      <c r="M756" s="32">
        <v>78372940</v>
      </c>
      <c r="N756" s="32">
        <v>81493024</v>
      </c>
      <c r="O756" s="32">
        <v>81331440</v>
      </c>
      <c r="P756" s="28" t="s">
        <v>34</v>
      </c>
      <c r="Q756" s="28" t="s">
        <v>1424</v>
      </c>
      <c r="R756" s="30">
        <v>46265</v>
      </c>
      <c r="S756" s="30"/>
      <c r="T756" s="33"/>
      <c r="U756" s="34" t="str">
        <f>IFERROR(_xlfn.XLOOKUP(E756,[1]EMPREENDIMENTO!C:C,[1]EMPREENDIMENTO!D:D),"")</f>
        <v>2e60a185-6b0a-ec11-a30e-0050568a2e98</v>
      </c>
    </row>
    <row r="757" spans="1:21" hidden="1" x14ac:dyDescent="0.35">
      <c r="A757" s="28" t="str">
        <f>IFERROR(_xlfn.XLOOKUP(C757,[1]DIRETORIA!C:C,[1]DIRETORIA!A:A),"-")</f>
        <v>DIR. COM E CRED CO E AM</v>
      </c>
      <c r="B757" s="28" t="str">
        <f>IFERROR(_xlfn.XLOOKUP(C757,[1]DIRETORIA!C:C,[1]DIRETORIA!B:B),"-")</f>
        <v>GST. COM GO</v>
      </c>
      <c r="C757" s="28" t="str">
        <f>IFERROR(_xlfn.XLOOKUP(E757,[1]EMPREENDIMENTO!C:C,[1]EMPREENDIMENTO!A:A),"-")</f>
        <v>ANÁPOLIS</v>
      </c>
      <c r="D757" s="28" t="s">
        <v>29</v>
      </c>
      <c r="E757" s="28" t="s">
        <v>1422</v>
      </c>
      <c r="F757" s="28" t="s">
        <v>36</v>
      </c>
      <c r="G757" s="28" t="s">
        <v>1425</v>
      </c>
      <c r="H757" s="28">
        <v>50394</v>
      </c>
      <c r="I757" s="29">
        <f>IFERROR(_xlfn.XLOOKUP(E757,[1]EMPREENDIMENTO!C:C,[1]EMPREENDIMENTO!E:E),"0")</f>
        <v>256</v>
      </c>
      <c r="J757" s="30">
        <v>46734</v>
      </c>
      <c r="K757" s="28" t="s">
        <v>33</v>
      </c>
      <c r="L757" s="31">
        <v>46247</v>
      </c>
      <c r="M757" s="32">
        <v>78372940</v>
      </c>
      <c r="N757" s="32">
        <v>81493024</v>
      </c>
      <c r="O757" s="32">
        <v>81331440</v>
      </c>
      <c r="P757" s="28" t="s">
        <v>34</v>
      </c>
      <c r="Q757" s="28" t="s">
        <v>1424</v>
      </c>
      <c r="R757" s="30">
        <v>46265</v>
      </c>
      <c r="S757" s="30"/>
      <c r="T757" s="33"/>
      <c r="U757" s="34" t="str">
        <f>IFERROR(_xlfn.XLOOKUP(E757,[1]EMPREENDIMENTO!C:C,[1]EMPREENDIMENTO!D:D),"")</f>
        <v>2e60a185-6b0a-ec11-a30e-0050568a2e98</v>
      </c>
    </row>
    <row r="758" spans="1:21" hidden="1" x14ac:dyDescent="0.35">
      <c r="A758" s="28" t="str">
        <f>IFERROR(_xlfn.XLOOKUP(C758,[1]DIRETORIA!C:C,[1]DIRETORIA!A:A),"-")</f>
        <v>DIR. COM E CRED RJ</v>
      </c>
      <c r="B758" s="28" t="str">
        <f>IFERROR(_xlfn.XLOOKUP(C758,[1]DIRETORIA!C:C,[1]DIRETORIA!B:B),"-")</f>
        <v>GST. COM RJ1</v>
      </c>
      <c r="C758" s="28" t="str">
        <f>IFERROR(_xlfn.XLOOKUP(E758,[1]EMPREENDIMENTO!C:C,[1]EMPREENDIMENTO!A:A),"-")</f>
        <v>RIO DE JANEIRO</v>
      </c>
      <c r="D758" s="28" t="s">
        <v>29</v>
      </c>
      <c r="E758" s="28" t="s">
        <v>1426</v>
      </c>
      <c r="F758" s="28" t="s">
        <v>31</v>
      </c>
      <c r="G758" s="28" t="s">
        <v>1427</v>
      </c>
      <c r="H758" s="28">
        <v>29196</v>
      </c>
      <c r="I758" s="29">
        <f>IFERROR(_xlfn.XLOOKUP(E758,[1]EMPREENDIMENTO!C:C,[1]EMPREENDIMENTO!E:E),"0")</f>
        <v>408</v>
      </c>
      <c r="J758" s="30">
        <v>46790</v>
      </c>
      <c r="K758" s="28" t="s">
        <v>33</v>
      </c>
      <c r="L758" s="31">
        <v>46245</v>
      </c>
      <c r="M758" s="32">
        <v>124521500</v>
      </c>
      <c r="N758" s="32">
        <v>132130950</v>
      </c>
      <c r="O758" s="32">
        <v>131462404</v>
      </c>
      <c r="P758" s="28" t="s">
        <v>34</v>
      </c>
      <c r="Q758" s="28" t="s">
        <v>1428</v>
      </c>
      <c r="R758" s="30">
        <v>46258</v>
      </c>
      <c r="S758" s="30">
        <v>46245</v>
      </c>
      <c r="T758" s="33"/>
      <c r="U758" s="34" t="str">
        <f>IFERROR(_xlfn.XLOOKUP(E758,[1]EMPREENDIMENTO!C:C,[1]EMPREENDIMENTO!D:D),"")</f>
        <v>0b639e3e-21de-ea11-beeb-005056856875</v>
      </c>
    </row>
    <row r="759" spans="1:21" hidden="1" x14ac:dyDescent="0.35">
      <c r="A759" s="28" t="str">
        <f>IFERROR(_xlfn.XLOOKUP(C759,[1]DIRETORIA!C:C,[1]DIRETORIA!A:A),"-")</f>
        <v>DIR. COM E CRED RJ</v>
      </c>
      <c r="B759" s="28" t="str">
        <f>IFERROR(_xlfn.XLOOKUP(C759,[1]DIRETORIA!C:C,[1]DIRETORIA!B:B),"-")</f>
        <v>GST. COM RJ1</v>
      </c>
      <c r="C759" s="28" t="str">
        <f>IFERROR(_xlfn.XLOOKUP(E759,[1]EMPREENDIMENTO!C:C,[1]EMPREENDIMENTO!A:A),"-")</f>
        <v>RIO DE JANEIRO</v>
      </c>
      <c r="D759" s="28" t="s">
        <v>29</v>
      </c>
      <c r="E759" s="28" t="s">
        <v>1426</v>
      </c>
      <c r="F759" s="28" t="s">
        <v>36</v>
      </c>
      <c r="G759" s="28" t="s">
        <v>1429</v>
      </c>
      <c r="H759" s="28">
        <v>52841</v>
      </c>
      <c r="I759" s="29">
        <f>IFERROR(_xlfn.XLOOKUP(E759,[1]EMPREENDIMENTO!C:C,[1]EMPREENDIMENTO!E:E),"0")</f>
        <v>408</v>
      </c>
      <c r="J759" s="30">
        <v>46790</v>
      </c>
      <c r="K759" s="28" t="s">
        <v>33</v>
      </c>
      <c r="L759" s="31">
        <v>46245</v>
      </c>
      <c r="M759" s="32">
        <v>124521500</v>
      </c>
      <c r="N759" s="32">
        <v>132130950</v>
      </c>
      <c r="O759" s="32">
        <v>131462404</v>
      </c>
      <c r="P759" s="28" t="s">
        <v>34</v>
      </c>
      <c r="Q759" s="28" t="s">
        <v>1428</v>
      </c>
      <c r="R759" s="30">
        <v>46258</v>
      </c>
      <c r="S759" s="30">
        <v>46245</v>
      </c>
      <c r="T759" s="33"/>
      <c r="U759" s="34" t="str">
        <f>IFERROR(_xlfn.XLOOKUP(E759,[1]EMPREENDIMENTO!C:C,[1]EMPREENDIMENTO!D:D),"")</f>
        <v>0b639e3e-21de-ea11-beeb-005056856875</v>
      </c>
    </row>
    <row r="760" spans="1:21" hidden="1" x14ac:dyDescent="0.35">
      <c r="A760" s="28" t="str">
        <f>IFERROR(_xlfn.XLOOKUP(C760,[1]DIRETORIA!C:C,[1]DIRETORIA!A:A),"-")</f>
        <v>DIR. COM E CRED MG E ES</v>
      </c>
      <c r="B760" s="28" t="str">
        <f>IFERROR(_xlfn.XLOOKUP(C760,[1]DIRETORIA!C:C,[1]DIRETORIA!B:B),"-")</f>
        <v>GST. COM BH E INT</v>
      </c>
      <c r="C760" s="28" t="str">
        <f>IFERROR(_xlfn.XLOOKUP(E760,[1]EMPREENDIMENTO!C:C,[1]EMPREENDIMENTO!A:A),"-")</f>
        <v>BELO HORIZONTE</v>
      </c>
      <c r="D760" s="28" t="s">
        <v>29</v>
      </c>
      <c r="E760" s="28" t="s">
        <v>1430</v>
      </c>
      <c r="F760" s="28" t="s">
        <v>42</v>
      </c>
      <c r="G760" s="28" t="s">
        <v>1431</v>
      </c>
      <c r="H760" s="28">
        <v>31052</v>
      </c>
      <c r="I760" s="29">
        <f>IFERROR(_xlfn.XLOOKUP(E760,[1]EMPREENDIMENTO!C:C,[1]EMPREENDIMENTO!E:E),"0")</f>
        <v>180</v>
      </c>
      <c r="J760" s="30"/>
      <c r="K760" s="28" t="s">
        <v>33</v>
      </c>
      <c r="L760" s="31">
        <v>46189</v>
      </c>
      <c r="M760" s="32">
        <v>49602500</v>
      </c>
      <c r="N760" s="32">
        <v>54084200</v>
      </c>
      <c r="O760" s="32">
        <v>51891716</v>
      </c>
      <c r="P760" s="28" t="s">
        <v>2</v>
      </c>
      <c r="Q760" s="28" t="s">
        <v>1432</v>
      </c>
      <c r="R760" s="30">
        <v>46286</v>
      </c>
      <c r="S760" s="30"/>
      <c r="T760" s="33"/>
      <c r="U760" s="34" t="str">
        <f>IFERROR(_xlfn.XLOOKUP(E760,[1]EMPREENDIMENTO!C:C,[1]EMPREENDIMENTO!D:D),"")</f>
        <v>d470de20-61df-eb11-930a-0050568aa20f</v>
      </c>
    </row>
    <row r="761" spans="1:21" hidden="1" x14ac:dyDescent="0.35">
      <c r="A761" s="28" t="str">
        <f>IFERROR(_xlfn.XLOOKUP(C761,[1]DIRETORIA!C:C,[1]DIRETORIA!A:A),"-")</f>
        <v>DIR. COM E CRED NE</v>
      </c>
      <c r="B761" s="28" t="str">
        <f>IFERROR(_xlfn.XLOOKUP(C761,[1]DIRETORIA!C:C,[1]DIRETORIA!B:B),"-")</f>
        <v>GST. COM NE1 (BA 1)</v>
      </c>
      <c r="C761" s="28" t="str">
        <f>IFERROR(_xlfn.XLOOKUP(E761,[1]EMPREENDIMENTO!C:C,[1]EMPREENDIMENTO!A:A),"-")</f>
        <v>SALVADOR</v>
      </c>
      <c r="D761" s="28" t="s">
        <v>85</v>
      </c>
      <c r="E761" s="28" t="s">
        <v>1433</v>
      </c>
      <c r="F761" s="28" t="s">
        <v>42</v>
      </c>
      <c r="G761" s="28" t="s">
        <v>1434</v>
      </c>
      <c r="H761" s="28">
        <v>45231</v>
      </c>
      <c r="I761" s="29">
        <f>IFERROR(_xlfn.XLOOKUP(E761,[1]EMPREENDIMENTO!C:C,[1]EMPREENDIMENTO!E:E),"0")</f>
        <v>408</v>
      </c>
      <c r="J761" s="30"/>
      <c r="K761" s="28" t="s">
        <v>33</v>
      </c>
      <c r="L761" s="31">
        <v>45457</v>
      </c>
      <c r="M761" s="32">
        <v>226008676</v>
      </c>
      <c r="N761" s="32">
        <v>226008676</v>
      </c>
      <c r="O761" s="32">
        <v>224337874</v>
      </c>
      <c r="P761" s="28" t="s">
        <v>34</v>
      </c>
      <c r="Q761" s="28"/>
      <c r="R761" s="30"/>
      <c r="S761" s="30">
        <v>45460</v>
      </c>
      <c r="T761" s="33"/>
      <c r="U761" s="34" t="str">
        <f>IFERROR(_xlfn.XLOOKUP(E761,[1]EMPREENDIMENTO!C:C,[1]EMPREENDIMENTO!D:D),"")</f>
        <v>BD49E792-3407-EC11-A30E-0050568A2E98</v>
      </c>
    </row>
    <row r="762" spans="1:21" hidden="1" x14ac:dyDescent="0.35">
      <c r="A762" s="28" t="str">
        <f>IFERROR(_xlfn.XLOOKUP(C762,[1]DIRETORIA!C:C,[1]DIRETORIA!A:A),"-")</f>
        <v>DIR. COM E CRED CO E AM</v>
      </c>
      <c r="B762" s="28" t="str">
        <f>IFERROR(_xlfn.XLOOKUP(C762,[1]DIRETORIA!C:C,[1]DIRETORIA!B:B),"-")</f>
        <v>GST. COM AM</v>
      </c>
      <c r="C762" s="28" t="str">
        <f>IFERROR(_xlfn.XLOOKUP(E762,[1]EMPREENDIMENTO!C:C,[1]EMPREENDIMENTO!A:A),"-")</f>
        <v>MANAUS</v>
      </c>
      <c r="D762" s="28" t="s">
        <v>29</v>
      </c>
      <c r="E762" s="28" t="s">
        <v>1435</v>
      </c>
      <c r="F762" s="28" t="s">
        <v>31</v>
      </c>
      <c r="G762" s="28" t="s">
        <v>1436</v>
      </c>
      <c r="H762" s="28">
        <v>45652</v>
      </c>
      <c r="I762" s="29">
        <f>IFERROR(_xlfn.XLOOKUP(E762,[1]EMPREENDIMENTO!C:C,[1]EMPREENDIMENTO!E:E),"0")</f>
        <v>680</v>
      </c>
      <c r="J762" s="30"/>
      <c r="K762" s="28" t="s">
        <v>33</v>
      </c>
      <c r="L762" s="31">
        <v>46237</v>
      </c>
      <c r="M762" s="32">
        <v>159895284</v>
      </c>
      <c r="N762" s="32">
        <v>176895284</v>
      </c>
      <c r="O762" s="32">
        <v>164106000</v>
      </c>
      <c r="P762" s="28" t="s">
        <v>34</v>
      </c>
      <c r="Q762" s="28" t="s">
        <v>1437</v>
      </c>
      <c r="R762" s="30">
        <v>46240</v>
      </c>
      <c r="S762" s="30">
        <v>46239</v>
      </c>
      <c r="T762" s="33"/>
      <c r="U762" s="34" t="str">
        <f>IFERROR(_xlfn.XLOOKUP(E762,[1]EMPREENDIMENTO!C:C,[1]EMPREENDIMENTO!D:D),"")</f>
        <v>721d61f7-6c52-ee11-ae6a-009c02b0cb58</v>
      </c>
    </row>
    <row r="763" spans="1:21" hidden="1" x14ac:dyDescent="0.35">
      <c r="A763" s="28" t="str">
        <f>IFERROR(_xlfn.XLOOKUP(C763,[1]DIRETORIA!C:C,[1]DIRETORIA!A:A),"-")</f>
        <v>DIR. COM E CRED CO E AM</v>
      </c>
      <c r="B763" s="28" t="str">
        <f>IFERROR(_xlfn.XLOOKUP(C763,[1]DIRETORIA!C:C,[1]DIRETORIA!B:B),"-")</f>
        <v>GST. COM AM</v>
      </c>
      <c r="C763" s="28" t="str">
        <f>IFERROR(_xlfn.XLOOKUP(E763,[1]EMPREENDIMENTO!C:C,[1]EMPREENDIMENTO!A:A),"-")</f>
        <v>MANAUS</v>
      </c>
      <c r="D763" s="28" t="s">
        <v>29</v>
      </c>
      <c r="E763" s="28" t="s">
        <v>1435</v>
      </c>
      <c r="F763" s="28" t="s">
        <v>36</v>
      </c>
      <c r="G763" s="28" t="s">
        <v>1438</v>
      </c>
      <c r="H763" s="28">
        <v>60318</v>
      </c>
      <c r="I763" s="29">
        <f>IFERROR(_xlfn.XLOOKUP(E763,[1]EMPREENDIMENTO!C:C,[1]EMPREENDIMENTO!E:E),"0")</f>
        <v>680</v>
      </c>
      <c r="J763" s="30"/>
      <c r="K763" s="28" t="s">
        <v>33</v>
      </c>
      <c r="L763" s="31">
        <v>46237</v>
      </c>
      <c r="M763" s="32">
        <v>159895284</v>
      </c>
      <c r="N763" s="32">
        <v>176895284</v>
      </c>
      <c r="O763" s="32">
        <v>164106000</v>
      </c>
      <c r="P763" s="28" t="s">
        <v>34</v>
      </c>
      <c r="Q763" s="28" t="s">
        <v>1437</v>
      </c>
      <c r="R763" s="30">
        <v>46240</v>
      </c>
      <c r="S763" s="30">
        <v>46239</v>
      </c>
      <c r="T763" s="33"/>
      <c r="U763" s="34" t="str">
        <f>IFERROR(_xlfn.XLOOKUP(E763,[1]EMPREENDIMENTO!C:C,[1]EMPREENDIMENTO!D:D),"")</f>
        <v>721d61f7-6c52-ee11-ae6a-009c02b0cb58</v>
      </c>
    </row>
    <row r="764" spans="1:21" hidden="1" x14ac:dyDescent="0.35">
      <c r="A764" s="28" t="str">
        <f>IFERROR(_xlfn.XLOOKUP(C764,[1]DIRETORIA!C:C,[1]DIRETORIA!A:A),"-")</f>
        <v>DIR. COM E CRED CO E AM</v>
      </c>
      <c r="B764" s="28" t="str">
        <f>IFERROR(_xlfn.XLOOKUP(C764,[1]DIRETORIA!C:C,[1]DIRETORIA!B:B),"-")</f>
        <v>GST. COM AM</v>
      </c>
      <c r="C764" s="28" t="str">
        <f>IFERROR(_xlfn.XLOOKUP(E764,[1]EMPREENDIMENTO!C:C,[1]EMPREENDIMENTO!A:A),"-")</f>
        <v>MANAUS</v>
      </c>
      <c r="D764" s="28" t="s">
        <v>29</v>
      </c>
      <c r="E764" s="28" t="s">
        <v>1439</v>
      </c>
      <c r="F764" s="28" t="s">
        <v>31</v>
      </c>
      <c r="G764" s="28" t="s">
        <v>1440</v>
      </c>
      <c r="H764" s="28">
        <v>37168</v>
      </c>
      <c r="I764" s="29">
        <f>IFERROR(_xlfn.XLOOKUP(E764,[1]EMPREENDIMENTO!C:C,[1]EMPREENDIMENTO!E:E),"0")</f>
        <v>540</v>
      </c>
      <c r="J764" s="30"/>
      <c r="K764" s="28" t="s">
        <v>33</v>
      </c>
      <c r="L764" s="31">
        <v>46154</v>
      </c>
      <c r="M764" s="32">
        <v>135596700</v>
      </c>
      <c r="N764" s="32"/>
      <c r="O764" s="32"/>
      <c r="P764" s="28" t="s">
        <v>2</v>
      </c>
      <c r="Q764" s="28" t="s">
        <v>1441</v>
      </c>
      <c r="R764" s="30">
        <v>46286</v>
      </c>
      <c r="S764" s="30"/>
      <c r="T764" s="33"/>
      <c r="U764" s="34" t="str">
        <f>IFERROR(_xlfn.XLOOKUP(E764,[1]EMPREENDIMENTO!C:C,[1]EMPREENDIMENTO!D:D),"")</f>
        <v>3cf45643-6c62-ec11-a871-005056895191</v>
      </c>
    </row>
    <row r="765" spans="1:21" hidden="1" x14ac:dyDescent="0.35">
      <c r="A765" s="28" t="str">
        <f>IFERROR(_xlfn.XLOOKUP(C765,[1]DIRETORIA!C:C,[1]DIRETORIA!A:A),"-")</f>
        <v>DIR. COM E CRED CO E AM</v>
      </c>
      <c r="B765" s="28" t="str">
        <f>IFERROR(_xlfn.XLOOKUP(C765,[1]DIRETORIA!C:C,[1]DIRETORIA!B:B),"-")</f>
        <v>GST. COM AM</v>
      </c>
      <c r="C765" s="28" t="str">
        <f>IFERROR(_xlfn.XLOOKUP(E765,[1]EMPREENDIMENTO!C:C,[1]EMPREENDIMENTO!A:A),"-")</f>
        <v>MANAUS</v>
      </c>
      <c r="D765" s="28" t="s">
        <v>29</v>
      </c>
      <c r="E765" s="28" t="s">
        <v>1439</v>
      </c>
      <c r="F765" s="28" t="s">
        <v>36</v>
      </c>
      <c r="G765" s="28" t="s">
        <v>1442</v>
      </c>
      <c r="H765" s="28">
        <v>53488</v>
      </c>
      <c r="I765" s="29">
        <f>IFERROR(_xlfn.XLOOKUP(E765,[1]EMPREENDIMENTO!C:C,[1]EMPREENDIMENTO!E:E),"0")</f>
        <v>540</v>
      </c>
      <c r="J765" s="30"/>
      <c r="K765" s="28" t="s">
        <v>33</v>
      </c>
      <c r="L765" s="31">
        <v>46154</v>
      </c>
      <c r="M765" s="32">
        <v>135596700</v>
      </c>
      <c r="N765" s="32"/>
      <c r="O765" s="32"/>
      <c r="P765" s="28" t="s">
        <v>2</v>
      </c>
      <c r="Q765" s="28" t="s">
        <v>1441</v>
      </c>
      <c r="R765" s="30">
        <v>46286</v>
      </c>
      <c r="S765" s="30"/>
      <c r="T765" s="33"/>
      <c r="U765" s="34" t="str">
        <f>IFERROR(_xlfn.XLOOKUP(E765,[1]EMPREENDIMENTO!C:C,[1]EMPREENDIMENTO!D:D),"")</f>
        <v>3cf45643-6c62-ec11-a871-005056895191</v>
      </c>
    </row>
    <row r="766" spans="1:21" x14ac:dyDescent="0.35">
      <c r="A766" s="28" t="str">
        <f>IFERROR(_xlfn.XLOOKUP(C766,[1]DIRETORIA!C:C,[1]DIRETORIA!A:A),"-")</f>
        <v>DIR. COM E CRED SPI CP</v>
      </c>
      <c r="B766" s="28" t="str">
        <f>IFERROR(_xlfn.XLOOKUP(C766,[1]DIRETORIA!C:C,[1]DIRETORIA!B:B),"-")</f>
        <v>GST. COM CP1</v>
      </c>
      <c r="C766" s="28" t="str">
        <f>IFERROR(_xlfn.XLOOKUP(E766,[1]EMPREENDIMENTO!C:C,[1]EMPREENDIMENTO!A:A),"-")</f>
        <v>CAMPINAS</v>
      </c>
      <c r="D766" s="28" t="s">
        <v>85</v>
      </c>
      <c r="E766" s="28" t="s">
        <v>1443</v>
      </c>
      <c r="F766" s="28" t="s">
        <v>1444</v>
      </c>
      <c r="G766" s="28" t="s">
        <v>1445</v>
      </c>
      <c r="H766" s="28">
        <v>50203</v>
      </c>
      <c r="I766" s="29">
        <f>IFERROR(_xlfn.XLOOKUP(E766,[1]EMPREENDIMENTO!C:C,[1]EMPREENDIMENTO!E:E),"0")</f>
        <v>312</v>
      </c>
      <c r="J766" s="30"/>
      <c r="K766" s="28" t="s">
        <v>33</v>
      </c>
      <c r="L766" s="31">
        <v>45855</v>
      </c>
      <c r="M766" s="32">
        <v>82292000</v>
      </c>
      <c r="N766" s="32">
        <v>88343306</v>
      </c>
      <c r="O766" s="32">
        <v>84502100</v>
      </c>
      <c r="P766" s="28" t="s">
        <v>34</v>
      </c>
      <c r="Q766" s="28" t="s">
        <v>1446</v>
      </c>
      <c r="R766" s="30">
        <v>45873</v>
      </c>
      <c r="S766" s="30">
        <v>45859</v>
      </c>
      <c r="T766" s="33"/>
      <c r="U766" s="34" t="str">
        <f>IFERROR(_xlfn.XLOOKUP(E766,[1]EMPREENDIMENTO!C:C,[1]EMPREENDIMENTO!D:D),"")</f>
        <v>B76427D4-6A67-E511-8826-80C16E075108</v>
      </c>
    </row>
    <row r="767" spans="1:21" hidden="1" x14ac:dyDescent="0.35">
      <c r="A767" s="28" t="str">
        <f>IFERROR(_xlfn.XLOOKUP(C767,[1]DIRETORIA!C:C,[1]DIRETORIA!A:A),"-")</f>
        <v>DIR. COM E CRED SUL</v>
      </c>
      <c r="B767" s="28" t="str">
        <f>IFERROR(_xlfn.XLOOKUP(C767,[1]DIRETORIA!C:C,[1]DIRETORIA!B:B),"-")</f>
        <v>GST. COM SC</v>
      </c>
      <c r="C767" s="28" t="str">
        <f>IFERROR(_xlfn.XLOOKUP(E767,[1]EMPREENDIMENTO!C:C,[1]EMPREENDIMENTO!A:A),"-")</f>
        <v>BLUMENAU</v>
      </c>
      <c r="D767" s="28" t="s">
        <v>85</v>
      </c>
      <c r="E767" s="28" t="s">
        <v>1447</v>
      </c>
      <c r="F767" s="28" t="s">
        <v>42</v>
      </c>
      <c r="G767" s="28" t="s">
        <v>1448</v>
      </c>
      <c r="H767" s="28">
        <v>45650</v>
      </c>
      <c r="I767" s="29">
        <f>IFERROR(_xlfn.XLOOKUP(E767,[1]EMPREENDIMENTO!C:C,[1]EMPREENDIMENTO!E:E),"0")</f>
        <v>432</v>
      </c>
      <c r="J767" s="30"/>
      <c r="K767" s="28" t="s">
        <v>33</v>
      </c>
      <c r="L767" s="31">
        <v>46197</v>
      </c>
      <c r="M767" s="32">
        <v>120945000</v>
      </c>
      <c r="N767" s="32">
        <v>133437426</v>
      </c>
      <c r="O767" s="32">
        <v>122997600</v>
      </c>
      <c r="P767" s="28" t="s">
        <v>34</v>
      </c>
      <c r="Q767" s="28"/>
      <c r="R767" s="30"/>
      <c r="S767" s="30">
        <v>46198</v>
      </c>
      <c r="T767" s="33"/>
      <c r="U767" s="34" t="str">
        <f>IFERROR(_xlfn.XLOOKUP(E767,[1]EMPREENDIMENTO!C:C,[1]EMPREENDIMENTO!D:D),"")</f>
        <v>01A696E1-6362-EB11-AA45-005056856875</v>
      </c>
    </row>
    <row r="768" spans="1:21" hidden="1" x14ac:dyDescent="0.35">
      <c r="A768" s="28" t="str">
        <f>IFERROR(_xlfn.XLOOKUP(C768,[1]DIRETORIA!C:C,[1]DIRETORIA!A:A),"-")</f>
        <v>DIR. COM E CRED MG E ES</v>
      </c>
      <c r="B768" s="28" t="str">
        <f>IFERROR(_xlfn.XLOOKUP(C768,[1]DIRETORIA!C:C,[1]DIRETORIA!B:B),"-")</f>
        <v>GST. COM ES</v>
      </c>
      <c r="C768" s="28" t="str">
        <f>IFERROR(_xlfn.XLOOKUP(E768,[1]EMPREENDIMENTO!C:C,[1]EMPREENDIMENTO!A:A),"-")</f>
        <v>CARIACICA</v>
      </c>
      <c r="D768" s="28" t="s">
        <v>85</v>
      </c>
      <c r="E768" s="28" t="s">
        <v>1449</v>
      </c>
      <c r="F768" s="28" t="s">
        <v>42</v>
      </c>
      <c r="G768" s="28" t="s">
        <v>1450</v>
      </c>
      <c r="H768" s="28">
        <v>45913</v>
      </c>
      <c r="I768" s="29">
        <f>IFERROR(_xlfn.XLOOKUP(E768,[1]EMPREENDIMENTO!C:C,[1]EMPREENDIMENTO!E:E),"0")</f>
        <v>200</v>
      </c>
      <c r="J768" s="30"/>
      <c r="K768" s="28" t="s">
        <v>33</v>
      </c>
      <c r="L768" s="31">
        <v>46227</v>
      </c>
      <c r="M768" s="32">
        <v>50604900</v>
      </c>
      <c r="N768" s="32">
        <v>54580781</v>
      </c>
      <c r="O768" s="32">
        <v>53975283</v>
      </c>
      <c r="P768" s="28" t="s">
        <v>34</v>
      </c>
      <c r="Q768" s="28">
        <v>856690</v>
      </c>
      <c r="R768" s="30">
        <v>46244</v>
      </c>
      <c r="S768" s="30">
        <v>46230</v>
      </c>
      <c r="T768" s="33"/>
      <c r="U768" s="34" t="str">
        <f>IFERROR(_xlfn.XLOOKUP(E768,[1]EMPREENDIMENTO!C:C,[1]EMPREENDIMENTO!D:D),"")</f>
        <v>EFAE2E7B-AE15-EE11-AE6A-009C02B0CB58</v>
      </c>
    </row>
    <row r="769" spans="1:21" hidden="1" x14ac:dyDescent="0.35">
      <c r="A769" s="28" t="str">
        <f>IFERROR(_xlfn.XLOOKUP(C769,[1]DIRETORIA!C:C,[1]DIRETORIA!A:A),"-")</f>
        <v>DIR. COM E CRED SP E VL</v>
      </c>
      <c r="B769" s="28" t="str">
        <f>IFERROR(_xlfn.XLOOKUP(C769,[1]DIRETORIA!C:C,[1]DIRETORIA!B:B),"-")</f>
        <v>GST. COM VL1</v>
      </c>
      <c r="C769" s="28" t="str">
        <f>IFERROR(_xlfn.XLOOKUP(E769,[1]EMPREENDIMENTO!C:C,[1]EMPREENDIMENTO!A:A),"-")</f>
        <v>TAUBATÉ</v>
      </c>
      <c r="D769" s="28" t="s">
        <v>29</v>
      </c>
      <c r="E769" s="28" t="s">
        <v>1451</v>
      </c>
      <c r="F769" s="28" t="s">
        <v>31</v>
      </c>
      <c r="G769" s="28" t="s">
        <v>1452</v>
      </c>
      <c r="H769" s="28">
        <v>45529</v>
      </c>
      <c r="I769" s="29">
        <f>IFERROR(_xlfn.XLOOKUP(E769,[1]EMPREENDIMENTO!C:C,[1]EMPREENDIMENTO!E:E),"0")</f>
        <v>320</v>
      </c>
      <c r="J769" s="30"/>
      <c r="K769" s="28" t="s">
        <v>33</v>
      </c>
      <c r="L769" s="31">
        <v>45989</v>
      </c>
      <c r="M769" s="32">
        <v>84383032</v>
      </c>
      <c r="N769" s="32">
        <v>84383032</v>
      </c>
      <c r="O769" s="32">
        <v>82834800</v>
      </c>
      <c r="P769" s="28" t="s">
        <v>34</v>
      </c>
      <c r="Q769" s="28">
        <v>759931</v>
      </c>
      <c r="R769" s="30">
        <v>46006</v>
      </c>
      <c r="S769" s="30">
        <v>45989</v>
      </c>
      <c r="T769" s="33"/>
      <c r="U769" s="34" t="str">
        <f>IFERROR(_xlfn.XLOOKUP(E769,[1]EMPREENDIMENTO!C:C,[1]EMPREENDIMENTO!D:D),"")</f>
        <v>3d63a3ab-dcbd-ed11-879a-80c16e075108</v>
      </c>
    </row>
    <row r="770" spans="1:21" hidden="1" x14ac:dyDescent="0.35">
      <c r="A770" s="28" t="str">
        <f>IFERROR(_xlfn.XLOOKUP(C770,[1]DIRETORIA!C:C,[1]DIRETORIA!A:A),"-")</f>
        <v>DIR. COM E CRED SP E VL</v>
      </c>
      <c r="B770" s="28" t="str">
        <f>IFERROR(_xlfn.XLOOKUP(C770,[1]DIRETORIA!C:C,[1]DIRETORIA!B:B),"-")</f>
        <v>GST. COM VL1</v>
      </c>
      <c r="C770" s="28" t="str">
        <f>IFERROR(_xlfn.XLOOKUP(E770,[1]EMPREENDIMENTO!C:C,[1]EMPREENDIMENTO!A:A),"-")</f>
        <v>TAUBATÉ</v>
      </c>
      <c r="D770" s="28" t="s">
        <v>29</v>
      </c>
      <c r="E770" s="28" t="s">
        <v>1451</v>
      </c>
      <c r="F770" s="28" t="s">
        <v>36</v>
      </c>
      <c r="G770" s="28" t="s">
        <v>1453</v>
      </c>
      <c r="H770" s="28">
        <v>67636</v>
      </c>
      <c r="I770" s="29">
        <f>IFERROR(_xlfn.XLOOKUP(E770,[1]EMPREENDIMENTO!C:C,[1]EMPREENDIMENTO!E:E),"0")</f>
        <v>320</v>
      </c>
      <c r="J770" s="30"/>
      <c r="K770" s="28" t="s">
        <v>33</v>
      </c>
      <c r="L770" s="31">
        <v>45989</v>
      </c>
      <c r="M770" s="32">
        <v>84383032</v>
      </c>
      <c r="N770" s="32">
        <v>84383032</v>
      </c>
      <c r="O770" s="32">
        <v>82834800</v>
      </c>
      <c r="P770" s="28" t="s">
        <v>34</v>
      </c>
      <c r="Q770" s="28">
        <v>759931</v>
      </c>
      <c r="R770" s="30">
        <v>46006</v>
      </c>
      <c r="S770" s="30">
        <v>45989</v>
      </c>
      <c r="T770" s="33"/>
      <c r="U770" s="34" t="str">
        <f>IFERROR(_xlfn.XLOOKUP(E770,[1]EMPREENDIMENTO!C:C,[1]EMPREENDIMENTO!D:D),"")</f>
        <v>3d63a3ab-dcbd-ed11-879a-80c16e075108</v>
      </c>
    </row>
    <row r="771" spans="1:21" hidden="1" x14ac:dyDescent="0.35">
      <c r="A771" s="28" t="str">
        <f>IFERROR(_xlfn.XLOOKUP(C771,[1]DIRETORIA!C:C,[1]DIRETORIA!A:A),"-")</f>
        <v>DIR. COM E CRED NE</v>
      </c>
      <c r="B771" s="28" t="str">
        <f>IFERROR(_xlfn.XLOOKUP(C771,[1]DIRETORIA!C:C,[1]DIRETORIA!B:B),"-")</f>
        <v>GST. COM NE1 (BA 1)</v>
      </c>
      <c r="C771" s="28" t="str">
        <f>IFERROR(_xlfn.XLOOKUP(E771,[1]EMPREENDIMENTO!C:C,[1]EMPREENDIMENTO!A:A),"-")</f>
        <v>SALVADOR</v>
      </c>
      <c r="D771" s="28" t="s">
        <v>29</v>
      </c>
      <c r="E771" s="28" t="s">
        <v>1454</v>
      </c>
      <c r="F771" s="28" t="s">
        <v>42</v>
      </c>
      <c r="G771" s="28" t="s">
        <v>1455</v>
      </c>
      <c r="H771" s="28">
        <v>34350</v>
      </c>
      <c r="I771" s="29">
        <f>IFERROR(_xlfn.XLOOKUP(E771,[1]EMPREENDIMENTO!C:C,[1]EMPREENDIMENTO!E:E),"0")</f>
        <v>380</v>
      </c>
      <c r="J771" s="30">
        <v>46808</v>
      </c>
      <c r="K771" s="28" t="s">
        <v>164</v>
      </c>
      <c r="L771" s="31">
        <v>46051</v>
      </c>
      <c r="M771" s="32">
        <v>98930301</v>
      </c>
      <c r="N771" s="32">
        <v>107336314</v>
      </c>
      <c r="O771" s="32">
        <v>100887912</v>
      </c>
      <c r="P771" s="28" t="s">
        <v>34</v>
      </c>
      <c r="Q771" s="28" t="s">
        <v>1456</v>
      </c>
      <c r="R771" s="30"/>
      <c r="S771" s="30">
        <v>46051</v>
      </c>
      <c r="T771" s="33"/>
      <c r="U771" s="34" t="str">
        <f>IFERROR(_xlfn.XLOOKUP(E771,[1]EMPREENDIMENTO!C:C,[1]EMPREENDIMENTO!D:D),"")</f>
        <v>3362495d-660c-e611-a5bb-009c02b0cb58</v>
      </c>
    </row>
    <row r="772" spans="1:21" hidden="1" x14ac:dyDescent="0.35">
      <c r="A772" s="28" t="str">
        <f>IFERROR(_xlfn.XLOOKUP(C772,[1]DIRETORIA!C:C,[1]DIRETORIA!A:A),"-")</f>
        <v>DIR. COM E CRED NE</v>
      </c>
      <c r="B772" s="28" t="str">
        <f>IFERROR(_xlfn.XLOOKUP(C772,[1]DIRETORIA!C:C,[1]DIRETORIA!B:B),"-")</f>
        <v>GST. COM NE 3 (SE+AL)</v>
      </c>
      <c r="C772" s="28" t="str">
        <f>IFERROR(_xlfn.XLOOKUP(E772,[1]EMPREENDIMENTO!C:C,[1]EMPREENDIMENTO!A:A),"-")</f>
        <v>MACEIÓ</v>
      </c>
      <c r="D772" s="28" t="s">
        <v>29</v>
      </c>
      <c r="E772" s="28" t="s">
        <v>1457</v>
      </c>
      <c r="F772" s="28" t="s">
        <v>42</v>
      </c>
      <c r="G772" s="28" t="s">
        <v>1458</v>
      </c>
      <c r="H772" s="28">
        <v>45503</v>
      </c>
      <c r="I772" s="29">
        <f>IFERROR(_xlfn.XLOOKUP(E772,[1]EMPREENDIMENTO!C:C,[1]EMPREENDIMENTO!E:E),"0")</f>
        <v>216</v>
      </c>
      <c r="J772" s="30">
        <v>46705</v>
      </c>
      <c r="K772" s="28" t="s">
        <v>33</v>
      </c>
      <c r="L772" s="31">
        <v>46211</v>
      </c>
      <c r="M772" s="32">
        <v>62949000</v>
      </c>
      <c r="N772" s="32">
        <v>84040648</v>
      </c>
      <c r="O772" s="32">
        <v>78640718</v>
      </c>
      <c r="P772" s="28" t="s">
        <v>34</v>
      </c>
      <c r="Q772" s="28" t="s">
        <v>1459</v>
      </c>
      <c r="R772" s="30">
        <v>46213</v>
      </c>
      <c r="S772" s="30">
        <v>46213</v>
      </c>
      <c r="T772" s="33"/>
      <c r="U772" s="34" t="str">
        <f>IFERROR(_xlfn.XLOOKUP(E772,[1]EMPREENDIMENTO!C:C,[1]EMPREENDIMENTO!D:D),"")</f>
        <v>cd98214f-aa12-e411-8efb-009c02b0cb58</v>
      </c>
    </row>
    <row r="773" spans="1:21" hidden="1" x14ac:dyDescent="0.35">
      <c r="A773" s="28" t="str">
        <f>IFERROR(_xlfn.XLOOKUP(C773,[1]DIRETORIA!C:C,[1]DIRETORIA!A:A),"-")</f>
        <v>DIR. COM E CRED SUL</v>
      </c>
      <c r="B773" s="28" t="str">
        <f>IFERROR(_xlfn.XLOOKUP(C773,[1]DIRETORIA!C:C,[1]DIRETORIA!B:B),"-")</f>
        <v>GST. COM LONDRINA</v>
      </c>
      <c r="C773" s="28" t="str">
        <f>IFERROR(_xlfn.XLOOKUP(E773,[1]EMPREENDIMENTO!C:C,[1]EMPREENDIMENTO!A:A),"-")</f>
        <v>LONDRINA</v>
      </c>
      <c r="D773" s="28" t="s">
        <v>29</v>
      </c>
      <c r="E773" s="28" t="s">
        <v>1460</v>
      </c>
      <c r="F773" s="28" t="s">
        <v>31</v>
      </c>
      <c r="G773" s="28" t="s">
        <v>1461</v>
      </c>
      <c r="H773" s="28">
        <v>45253</v>
      </c>
      <c r="I773" s="29">
        <f>IFERROR(_xlfn.XLOOKUP(E773,[1]EMPREENDIMENTO!C:C,[1]EMPREENDIMENTO!E:E),"0")</f>
        <v>288</v>
      </c>
      <c r="J773" s="30"/>
      <c r="K773" s="28" t="s">
        <v>33</v>
      </c>
      <c r="L773" s="31">
        <v>45831</v>
      </c>
      <c r="M773" s="32">
        <v>84431104</v>
      </c>
      <c r="N773" s="32">
        <v>97095770</v>
      </c>
      <c r="O773" s="32">
        <v>89779200</v>
      </c>
      <c r="P773" s="28" t="s">
        <v>34</v>
      </c>
      <c r="Q773" s="28" t="s">
        <v>1462</v>
      </c>
      <c r="R773" s="30">
        <v>46044</v>
      </c>
      <c r="S773" s="30">
        <v>46021</v>
      </c>
      <c r="T773" s="33"/>
      <c r="U773" s="34" t="str">
        <f>IFERROR(_xlfn.XLOOKUP(E773,[1]EMPREENDIMENTO!C:C,[1]EMPREENDIMENTO!D:D),"")</f>
        <v>3127e687-603e-ec11-b501-005056856b6c</v>
      </c>
    </row>
    <row r="774" spans="1:21" hidden="1" x14ac:dyDescent="0.35">
      <c r="A774" s="28" t="str">
        <f>IFERROR(_xlfn.XLOOKUP(C774,[1]DIRETORIA!C:C,[1]DIRETORIA!A:A),"-")</f>
        <v>DIR. COM E CRED SUL</v>
      </c>
      <c r="B774" s="28" t="str">
        <f>IFERROR(_xlfn.XLOOKUP(C774,[1]DIRETORIA!C:C,[1]DIRETORIA!B:B),"-")</f>
        <v>GST. COM LONDRINA</v>
      </c>
      <c r="C774" s="28" t="str">
        <f>IFERROR(_xlfn.XLOOKUP(E774,[1]EMPREENDIMENTO!C:C,[1]EMPREENDIMENTO!A:A),"-")</f>
        <v>LONDRINA</v>
      </c>
      <c r="D774" s="28" t="s">
        <v>29</v>
      </c>
      <c r="E774" s="28" t="s">
        <v>1460</v>
      </c>
      <c r="F774" s="28" t="s">
        <v>36</v>
      </c>
      <c r="G774" s="28" t="s">
        <v>1463</v>
      </c>
      <c r="H774" s="28">
        <v>54726</v>
      </c>
      <c r="I774" s="29">
        <f>IFERROR(_xlfn.XLOOKUP(E774,[1]EMPREENDIMENTO!C:C,[1]EMPREENDIMENTO!E:E),"0")</f>
        <v>288</v>
      </c>
      <c r="J774" s="30"/>
      <c r="K774" s="28" t="s">
        <v>33</v>
      </c>
      <c r="L774" s="31">
        <v>45831</v>
      </c>
      <c r="M774" s="32">
        <v>84431104</v>
      </c>
      <c r="N774" s="32">
        <v>97095770</v>
      </c>
      <c r="O774" s="32">
        <v>89779200</v>
      </c>
      <c r="P774" s="28" t="s">
        <v>34</v>
      </c>
      <c r="Q774" s="28" t="s">
        <v>1462</v>
      </c>
      <c r="R774" s="30">
        <v>46044</v>
      </c>
      <c r="S774" s="30">
        <v>46021</v>
      </c>
      <c r="T774" s="33"/>
      <c r="U774" s="34" t="str">
        <f>IFERROR(_xlfn.XLOOKUP(E774,[1]EMPREENDIMENTO!C:C,[1]EMPREENDIMENTO!D:D),"")</f>
        <v>3127e687-603e-ec11-b501-005056856b6c</v>
      </c>
    </row>
    <row r="775" spans="1:21" hidden="1" x14ac:dyDescent="0.35">
      <c r="A775" s="28" t="str">
        <f>IFERROR(_xlfn.XLOOKUP(C775,[1]DIRETORIA!C:C,[1]DIRETORIA!A:A),"-")</f>
        <v>DIR. COM E CRED SUL</v>
      </c>
      <c r="B775" s="28" t="str">
        <f>IFERROR(_xlfn.XLOOKUP(C775,[1]DIRETORIA!C:C,[1]DIRETORIA!B:B),"-")</f>
        <v>GST. COM LONDRINA</v>
      </c>
      <c r="C775" s="28" t="str">
        <f>IFERROR(_xlfn.XLOOKUP(E775,[1]EMPREENDIMENTO!C:C,[1]EMPREENDIMENTO!A:A),"-")</f>
        <v>LONDRINA</v>
      </c>
      <c r="D775" s="28" t="s">
        <v>29</v>
      </c>
      <c r="E775" s="28" t="s">
        <v>1464</v>
      </c>
      <c r="F775" s="28" t="s">
        <v>31</v>
      </c>
      <c r="G775" s="28" t="s">
        <v>1465</v>
      </c>
      <c r="H775" s="28">
        <v>45784</v>
      </c>
      <c r="I775" s="29">
        <f>IFERROR(_xlfn.XLOOKUP(E775,[1]EMPREENDIMENTO!C:C,[1]EMPREENDIMENTO!E:E),"0")</f>
        <v>384</v>
      </c>
      <c r="J775" s="30"/>
      <c r="K775" s="28" t="s">
        <v>164</v>
      </c>
      <c r="L775" s="31">
        <v>45687</v>
      </c>
      <c r="M775" s="32">
        <v>99360000</v>
      </c>
      <c r="N775" s="32">
        <v>119970456</v>
      </c>
      <c r="O775" s="32">
        <v>113009600</v>
      </c>
      <c r="P775" s="28" t="s">
        <v>34</v>
      </c>
      <c r="Q775" s="28"/>
      <c r="R775" s="30"/>
      <c r="S775" s="30">
        <v>45688</v>
      </c>
      <c r="T775" s="33"/>
      <c r="U775" s="34" t="str">
        <f>IFERROR(_xlfn.XLOOKUP(E775,[1]EMPREENDIMENTO!C:C,[1]EMPREENDIMENTO!D:D),"")</f>
        <v>ade3e514-58de-ea11-88c0-0050568aa20f</v>
      </c>
    </row>
    <row r="776" spans="1:21" hidden="1" x14ac:dyDescent="0.35">
      <c r="A776" s="28" t="str">
        <f>IFERROR(_xlfn.XLOOKUP(C776,[1]DIRETORIA!C:C,[1]DIRETORIA!A:A),"-")</f>
        <v>DIR. COM E CRED SUL</v>
      </c>
      <c r="B776" s="28" t="str">
        <f>IFERROR(_xlfn.XLOOKUP(C776,[1]DIRETORIA!C:C,[1]DIRETORIA!B:B),"-")</f>
        <v>GST. COM LONDRINA</v>
      </c>
      <c r="C776" s="28" t="str">
        <f>IFERROR(_xlfn.XLOOKUP(E776,[1]EMPREENDIMENTO!C:C,[1]EMPREENDIMENTO!A:A),"-")</f>
        <v>LONDRINA</v>
      </c>
      <c r="D776" s="28" t="s">
        <v>29</v>
      </c>
      <c r="E776" s="28" t="s">
        <v>1464</v>
      </c>
      <c r="F776" s="28" t="s">
        <v>36</v>
      </c>
      <c r="G776" s="28" t="s">
        <v>1466</v>
      </c>
      <c r="H776" s="28">
        <v>56869</v>
      </c>
      <c r="I776" s="29">
        <f>IFERROR(_xlfn.XLOOKUP(E776,[1]EMPREENDIMENTO!C:C,[1]EMPREENDIMENTO!E:E),"0")</f>
        <v>384</v>
      </c>
      <c r="J776" s="30"/>
      <c r="K776" s="28" t="s">
        <v>164</v>
      </c>
      <c r="L776" s="31">
        <v>45687</v>
      </c>
      <c r="M776" s="32">
        <v>99360000</v>
      </c>
      <c r="N776" s="32">
        <v>119970456</v>
      </c>
      <c r="O776" s="32">
        <v>113009600</v>
      </c>
      <c r="P776" s="28" t="s">
        <v>34</v>
      </c>
      <c r="Q776" s="28"/>
      <c r="R776" s="30"/>
      <c r="S776" s="30">
        <v>45688</v>
      </c>
      <c r="T776" s="33"/>
      <c r="U776" s="34" t="str">
        <f>IFERROR(_xlfn.XLOOKUP(E776,[1]EMPREENDIMENTO!C:C,[1]EMPREENDIMENTO!D:D),"")</f>
        <v>ade3e514-58de-ea11-88c0-0050568aa20f</v>
      </c>
    </row>
    <row r="777" spans="1:21" hidden="1" x14ac:dyDescent="0.35">
      <c r="A777" s="28" t="str">
        <f>IFERROR(_xlfn.XLOOKUP(C777,[1]DIRETORIA!C:C,[1]DIRETORIA!A:A),"-")</f>
        <v>DIR. COM E CRED MG E ES</v>
      </c>
      <c r="B777" s="28" t="str">
        <f>IFERROR(_xlfn.XLOOKUP(C777,[1]DIRETORIA!C:C,[1]DIRETORIA!B:B),"-")</f>
        <v>GST. COM BH E INT</v>
      </c>
      <c r="C777" s="28" t="str">
        <f>IFERROR(_xlfn.XLOOKUP(E777,[1]EMPREENDIMENTO!C:C,[1]EMPREENDIMENTO!A:A),"-")</f>
        <v>BELO HORIZONTE</v>
      </c>
      <c r="D777" s="28" t="s">
        <v>29</v>
      </c>
      <c r="E777" s="28" t="s">
        <v>1467</v>
      </c>
      <c r="F777" s="28" t="s">
        <v>31</v>
      </c>
      <c r="G777" s="28" t="s">
        <v>1468</v>
      </c>
      <c r="H777" s="28">
        <v>45527</v>
      </c>
      <c r="I777" s="29">
        <f>IFERROR(_xlfn.XLOOKUP(E777,[1]EMPREENDIMENTO!C:C,[1]EMPREENDIMENTO!E:E),"0")</f>
        <v>412</v>
      </c>
      <c r="J777" s="30">
        <v>46690</v>
      </c>
      <c r="K777" s="28" t="s">
        <v>164</v>
      </c>
      <c r="L777" s="31">
        <v>46178</v>
      </c>
      <c r="M777" s="32">
        <v>166051101</v>
      </c>
      <c r="N777" s="32">
        <v>178938220</v>
      </c>
      <c r="O777" s="32">
        <v>178913623</v>
      </c>
      <c r="P777" s="28" t="s">
        <v>34</v>
      </c>
      <c r="Q777" s="28" t="s">
        <v>1469</v>
      </c>
      <c r="R777" s="30">
        <v>46184</v>
      </c>
      <c r="S777" s="30">
        <v>46178</v>
      </c>
      <c r="T777" s="33"/>
      <c r="U777" s="34" t="str">
        <f>IFERROR(_xlfn.XLOOKUP(E777,[1]EMPREENDIMENTO!C:C,[1]EMPREENDIMENTO!D:D),"")</f>
        <v>6e67475f-c754-dd11-bc22-001b78b9d994</v>
      </c>
    </row>
    <row r="778" spans="1:21" hidden="1" x14ac:dyDescent="0.35">
      <c r="A778" s="28" t="str">
        <f>IFERROR(_xlfn.XLOOKUP(C778,[1]DIRETORIA!C:C,[1]DIRETORIA!A:A),"-")</f>
        <v>DIR. COM E CRED MG E ES</v>
      </c>
      <c r="B778" s="28" t="str">
        <f>IFERROR(_xlfn.XLOOKUP(C778,[1]DIRETORIA!C:C,[1]DIRETORIA!B:B),"-")</f>
        <v>GST. COM BH E INT</v>
      </c>
      <c r="C778" s="28" t="str">
        <f>IFERROR(_xlfn.XLOOKUP(E778,[1]EMPREENDIMENTO!C:C,[1]EMPREENDIMENTO!A:A),"-")</f>
        <v>BELO HORIZONTE</v>
      </c>
      <c r="D778" s="28" t="s">
        <v>29</v>
      </c>
      <c r="E778" s="28" t="s">
        <v>1467</v>
      </c>
      <c r="F778" s="28" t="s">
        <v>36</v>
      </c>
      <c r="G778" s="28" t="s">
        <v>1470</v>
      </c>
      <c r="H778" s="28">
        <v>53130</v>
      </c>
      <c r="I778" s="29">
        <f>IFERROR(_xlfn.XLOOKUP(E778,[1]EMPREENDIMENTO!C:C,[1]EMPREENDIMENTO!E:E),"0")</f>
        <v>412</v>
      </c>
      <c r="J778" s="30">
        <v>46690</v>
      </c>
      <c r="K778" s="28" t="s">
        <v>164</v>
      </c>
      <c r="L778" s="31">
        <v>46178</v>
      </c>
      <c r="M778" s="32">
        <v>166051101</v>
      </c>
      <c r="N778" s="32">
        <v>178938220</v>
      </c>
      <c r="O778" s="32">
        <v>178913623</v>
      </c>
      <c r="P778" s="28" t="s">
        <v>34</v>
      </c>
      <c r="Q778" s="28" t="s">
        <v>1469</v>
      </c>
      <c r="R778" s="30">
        <v>46184</v>
      </c>
      <c r="S778" s="30">
        <v>46178</v>
      </c>
      <c r="T778" s="33"/>
      <c r="U778" s="34" t="str">
        <f>IFERROR(_xlfn.XLOOKUP(E778,[1]EMPREENDIMENTO!C:C,[1]EMPREENDIMENTO!D:D),"")</f>
        <v>6e67475f-c754-dd11-bc22-001b78b9d994</v>
      </c>
    </row>
    <row r="779" spans="1:21" hidden="1" x14ac:dyDescent="0.35">
      <c r="A779" s="28" t="str">
        <f>IFERROR(_xlfn.XLOOKUP(C779,[1]DIRETORIA!C:C,[1]DIRETORIA!A:A),"-")</f>
        <v>DIR. COM E CRED MG E ES</v>
      </c>
      <c r="B779" s="28" t="str">
        <f>IFERROR(_xlfn.XLOOKUP(C779,[1]DIRETORIA!C:C,[1]DIRETORIA!B:B),"-")</f>
        <v>GST. COM BH E INT</v>
      </c>
      <c r="C779" s="28" t="str">
        <f>IFERROR(_xlfn.XLOOKUP(E779,[1]EMPREENDIMENTO!C:C,[1]EMPREENDIMENTO!A:A),"-")</f>
        <v>BELO HORIZONTE</v>
      </c>
      <c r="D779" s="28" t="s">
        <v>29</v>
      </c>
      <c r="E779" s="28" t="s">
        <v>1467</v>
      </c>
      <c r="F779" s="28" t="s">
        <v>39</v>
      </c>
      <c r="G779" s="28" t="s">
        <v>1471</v>
      </c>
      <c r="H779" s="28">
        <v>53786</v>
      </c>
      <c r="I779" s="29">
        <f>IFERROR(_xlfn.XLOOKUP(E779,[1]EMPREENDIMENTO!C:C,[1]EMPREENDIMENTO!E:E),"0")</f>
        <v>412</v>
      </c>
      <c r="J779" s="30">
        <v>46690</v>
      </c>
      <c r="K779" s="28" t="s">
        <v>164</v>
      </c>
      <c r="L779" s="31">
        <v>46178</v>
      </c>
      <c r="M779" s="32">
        <v>166051101</v>
      </c>
      <c r="N779" s="32">
        <v>178938220</v>
      </c>
      <c r="O779" s="32">
        <v>178913623</v>
      </c>
      <c r="P779" s="28" t="s">
        <v>34</v>
      </c>
      <c r="Q779" s="28" t="s">
        <v>1469</v>
      </c>
      <c r="R779" s="30">
        <v>46184</v>
      </c>
      <c r="S779" s="30">
        <v>46178</v>
      </c>
      <c r="T779" s="33"/>
      <c r="U779" s="34" t="str">
        <f>IFERROR(_xlfn.XLOOKUP(E779,[1]EMPREENDIMENTO!C:C,[1]EMPREENDIMENTO!D:D),"")</f>
        <v>6e67475f-c754-dd11-bc22-001b78b9d994</v>
      </c>
    </row>
    <row r="780" spans="1:21" hidden="1" x14ac:dyDescent="0.35">
      <c r="A780" s="28" t="str">
        <f>IFERROR(_xlfn.XLOOKUP(C780,[1]DIRETORIA!C:C,[1]DIRETORIA!A:A),"-")</f>
        <v>DIR. COM E CRED SP E VL</v>
      </c>
      <c r="B780" s="28" t="str">
        <f>IFERROR(_xlfn.XLOOKUP(C780,[1]DIRETORIA!C:C,[1]DIRETORIA!B:B),"-")</f>
        <v>GST. COM SP2</v>
      </c>
      <c r="C780" s="28" t="str">
        <f>IFERROR(_xlfn.XLOOKUP(E780,[1]EMPREENDIMENTO!C:C,[1]EMPREENDIMENTO!A:A),"-")</f>
        <v>SÃO PAULO</v>
      </c>
      <c r="D780" s="28" t="s">
        <v>29</v>
      </c>
      <c r="E780" s="28" t="s">
        <v>1472</v>
      </c>
      <c r="F780" s="28" t="s">
        <v>31</v>
      </c>
      <c r="G780" s="28" t="s">
        <v>1473</v>
      </c>
      <c r="H780" s="28">
        <v>45232</v>
      </c>
      <c r="I780" s="29">
        <f>IFERROR(_xlfn.XLOOKUP(E780,[1]EMPREENDIMENTO!C:C,[1]EMPREENDIMENTO!E:E),"0")</f>
        <v>594</v>
      </c>
      <c r="J780" s="30"/>
      <c r="K780" s="28" t="s">
        <v>164</v>
      </c>
      <c r="L780" s="31">
        <v>46127</v>
      </c>
      <c r="M780" s="32">
        <v>170064000</v>
      </c>
      <c r="N780" s="32">
        <v>198312874</v>
      </c>
      <c r="O780" s="32">
        <v>196408604</v>
      </c>
      <c r="P780" s="28" t="s">
        <v>34</v>
      </c>
      <c r="Q780" s="28">
        <v>541589</v>
      </c>
      <c r="R780" s="30">
        <v>45593</v>
      </c>
      <c r="S780" s="30"/>
      <c r="T780" s="33"/>
      <c r="U780" s="34" t="str">
        <f>IFERROR(_xlfn.XLOOKUP(E780,[1]EMPREENDIMENTO!C:C,[1]EMPREENDIMENTO!D:D),"")</f>
        <v>73C8CB6A-FD02-E911-B503-009C02B0CB58</v>
      </c>
    </row>
    <row r="781" spans="1:21" hidden="1" x14ac:dyDescent="0.35">
      <c r="A781" s="28" t="str">
        <f>IFERROR(_xlfn.XLOOKUP(C781,[1]DIRETORIA!C:C,[1]DIRETORIA!A:A),"-")</f>
        <v>DIR. COM E CRED SP E VL</v>
      </c>
      <c r="B781" s="28" t="str">
        <f>IFERROR(_xlfn.XLOOKUP(C781,[1]DIRETORIA!C:C,[1]DIRETORIA!B:B),"-")</f>
        <v>GST. COM SP2</v>
      </c>
      <c r="C781" s="28" t="str">
        <f>IFERROR(_xlfn.XLOOKUP(E781,[1]EMPREENDIMENTO!C:C,[1]EMPREENDIMENTO!A:A),"-")</f>
        <v>SÃO PAULO</v>
      </c>
      <c r="D781" s="28" t="s">
        <v>85</v>
      </c>
      <c r="E781" s="28" t="s">
        <v>1472</v>
      </c>
      <c r="F781" s="28" t="s">
        <v>36</v>
      </c>
      <c r="G781" s="28" t="s">
        <v>268</v>
      </c>
      <c r="H781" s="28" t="s">
        <v>268</v>
      </c>
      <c r="I781" s="29">
        <f>IFERROR(_xlfn.XLOOKUP(E781,[1]EMPREENDIMENTO!C:C,[1]EMPREENDIMENTO!E:E),"0")</f>
        <v>594</v>
      </c>
      <c r="J781" s="30"/>
      <c r="K781" s="28" t="s">
        <v>164</v>
      </c>
      <c r="L781" s="31">
        <v>46127</v>
      </c>
      <c r="M781" s="32">
        <v>170064000</v>
      </c>
      <c r="N781" s="32">
        <v>198312874</v>
      </c>
      <c r="O781" s="32">
        <v>196408604</v>
      </c>
      <c r="P781" s="28" t="s">
        <v>34</v>
      </c>
      <c r="Q781" s="28">
        <v>541589</v>
      </c>
      <c r="R781" s="30">
        <v>45593</v>
      </c>
      <c r="S781" s="30"/>
      <c r="T781" s="33"/>
      <c r="U781" s="34" t="str">
        <f>IFERROR(_xlfn.XLOOKUP(E781,[1]EMPREENDIMENTO!C:C,[1]EMPREENDIMENTO!D:D),"")</f>
        <v>73C8CB6A-FD02-E911-B503-009C02B0CB58</v>
      </c>
    </row>
    <row r="782" spans="1:21" hidden="1" x14ac:dyDescent="0.35">
      <c r="A782" s="28" t="str">
        <f>IFERROR(_xlfn.XLOOKUP(C782,[1]DIRETORIA!C:C,[1]DIRETORIA!A:A),"-")</f>
        <v>DIR. COM E CRED SUL</v>
      </c>
      <c r="B782" s="28" t="str">
        <f>IFERROR(_xlfn.XLOOKUP(C782,[1]DIRETORIA!C:C,[1]DIRETORIA!B:B),"-")</f>
        <v>GST. COM LONDRINA</v>
      </c>
      <c r="C782" s="28" t="str">
        <f>IFERROR(_xlfn.XLOOKUP(E782,[1]EMPREENDIMENTO!C:C,[1]EMPREENDIMENTO!A:A),"-")</f>
        <v>LONDRINA</v>
      </c>
      <c r="D782" s="28" t="s">
        <v>29</v>
      </c>
      <c r="E782" s="28" t="s">
        <v>1474</v>
      </c>
      <c r="F782" s="28" t="s">
        <v>31</v>
      </c>
      <c r="G782" s="28" t="s">
        <v>1475</v>
      </c>
      <c r="H782" s="28">
        <v>46023</v>
      </c>
      <c r="I782" s="29">
        <f>IFERROR(_xlfn.XLOOKUP(E782,[1]EMPREENDIMENTO!C:C,[1]EMPREENDIMENTO!E:E),"0")</f>
        <v>560</v>
      </c>
      <c r="J782" s="30">
        <v>46610</v>
      </c>
      <c r="K782" s="28" t="s">
        <v>33</v>
      </c>
      <c r="L782" s="31">
        <v>46044</v>
      </c>
      <c r="M782" s="32">
        <v>150141128</v>
      </c>
      <c r="N782" s="32">
        <v>165155240.80000001</v>
      </c>
      <c r="O782" s="32">
        <v>159203972.59</v>
      </c>
      <c r="P782" s="28" t="s">
        <v>34</v>
      </c>
      <c r="Q782" s="28" t="s">
        <v>1476</v>
      </c>
      <c r="R782" s="30">
        <v>46052</v>
      </c>
      <c r="S782" s="30">
        <v>46045</v>
      </c>
      <c r="T782" s="33"/>
      <c r="U782" s="34" t="str">
        <f>IFERROR(_xlfn.XLOOKUP(E782,[1]EMPREENDIMENTO!C:C,[1]EMPREENDIMENTO!D:D),"")</f>
        <v>3a5cbbac-cbba-e911-a2e9-0050568aa20f</v>
      </c>
    </row>
    <row r="783" spans="1:21" hidden="1" x14ac:dyDescent="0.35">
      <c r="A783" s="28" t="str">
        <f>IFERROR(_xlfn.XLOOKUP(C783,[1]DIRETORIA!C:C,[1]DIRETORIA!A:A),"-")</f>
        <v>DIR. COM E CRED SUL</v>
      </c>
      <c r="B783" s="28" t="str">
        <f>IFERROR(_xlfn.XLOOKUP(C783,[1]DIRETORIA!C:C,[1]DIRETORIA!B:B),"-")</f>
        <v>GST. COM LONDRINA</v>
      </c>
      <c r="C783" s="28" t="str">
        <f>IFERROR(_xlfn.XLOOKUP(E783,[1]EMPREENDIMENTO!C:C,[1]EMPREENDIMENTO!A:A),"-")</f>
        <v>LONDRINA</v>
      </c>
      <c r="D783" s="28" t="s">
        <v>29</v>
      </c>
      <c r="E783" s="28" t="s">
        <v>1474</v>
      </c>
      <c r="F783" s="28" t="s">
        <v>36</v>
      </c>
      <c r="G783" s="28" t="s">
        <v>1477</v>
      </c>
      <c r="H783" s="28">
        <v>51501</v>
      </c>
      <c r="I783" s="29">
        <f>IFERROR(_xlfn.XLOOKUP(E783,[1]EMPREENDIMENTO!C:C,[1]EMPREENDIMENTO!E:E),"0")</f>
        <v>560</v>
      </c>
      <c r="J783" s="30">
        <v>46610</v>
      </c>
      <c r="K783" s="28" t="s">
        <v>33</v>
      </c>
      <c r="L783" s="31">
        <v>46044</v>
      </c>
      <c r="M783" s="32">
        <v>150141128</v>
      </c>
      <c r="N783" s="32">
        <v>165155240.80000001</v>
      </c>
      <c r="O783" s="32">
        <v>159203972.59</v>
      </c>
      <c r="P783" s="28" t="s">
        <v>34</v>
      </c>
      <c r="Q783" s="28" t="s">
        <v>1476</v>
      </c>
      <c r="R783" s="30">
        <v>46052</v>
      </c>
      <c r="S783" s="30">
        <v>46045</v>
      </c>
      <c r="T783" s="33"/>
      <c r="U783" s="34" t="str">
        <f>IFERROR(_xlfn.XLOOKUP(E783,[1]EMPREENDIMENTO!C:C,[1]EMPREENDIMENTO!D:D),"")</f>
        <v>3a5cbbac-cbba-e911-a2e9-0050568aa20f</v>
      </c>
    </row>
    <row r="784" spans="1:21" hidden="1" x14ac:dyDescent="0.35">
      <c r="A784" s="28" t="str">
        <f>IFERROR(_xlfn.XLOOKUP(C784,[1]DIRETORIA!C:C,[1]DIRETORIA!A:A),"-")</f>
        <v>DIR. COM E CRED SUL</v>
      </c>
      <c r="B784" s="28" t="str">
        <f>IFERROR(_xlfn.XLOOKUP(C784,[1]DIRETORIA!C:C,[1]DIRETORIA!B:B),"-")</f>
        <v>GST. COM LONDRINA</v>
      </c>
      <c r="C784" s="28" t="str">
        <f>IFERROR(_xlfn.XLOOKUP(E784,[1]EMPREENDIMENTO!C:C,[1]EMPREENDIMENTO!A:A),"-")</f>
        <v>LONDRINA</v>
      </c>
      <c r="D784" s="28" t="s">
        <v>29</v>
      </c>
      <c r="E784" s="28" t="s">
        <v>1474</v>
      </c>
      <c r="F784" s="28" t="s">
        <v>39</v>
      </c>
      <c r="G784" s="28" t="s">
        <v>1478</v>
      </c>
      <c r="H784" s="28">
        <v>51502</v>
      </c>
      <c r="I784" s="29">
        <f>IFERROR(_xlfn.XLOOKUP(E784,[1]EMPREENDIMENTO!C:C,[1]EMPREENDIMENTO!E:E),"0")</f>
        <v>560</v>
      </c>
      <c r="J784" s="30">
        <v>46610</v>
      </c>
      <c r="K784" s="28" t="s">
        <v>33</v>
      </c>
      <c r="L784" s="31">
        <v>46044</v>
      </c>
      <c r="M784" s="32">
        <v>150141128</v>
      </c>
      <c r="N784" s="32">
        <v>165155240.80000001</v>
      </c>
      <c r="O784" s="32">
        <v>159203972.59</v>
      </c>
      <c r="P784" s="28" t="s">
        <v>34</v>
      </c>
      <c r="Q784" s="28" t="s">
        <v>1476</v>
      </c>
      <c r="R784" s="30">
        <v>46052</v>
      </c>
      <c r="S784" s="30">
        <v>46045</v>
      </c>
      <c r="T784" s="33"/>
      <c r="U784" s="34" t="str">
        <f>IFERROR(_xlfn.XLOOKUP(E784,[1]EMPREENDIMENTO!C:C,[1]EMPREENDIMENTO!D:D),"")</f>
        <v>3a5cbbac-cbba-e911-a2e9-0050568aa20f</v>
      </c>
    </row>
    <row r="785" spans="1:21" hidden="1" x14ac:dyDescent="0.35">
      <c r="A785" s="28" t="str">
        <f>IFERROR(_xlfn.XLOOKUP(C785,[1]DIRETORIA!C:C,[1]DIRETORIA!A:A),"-")</f>
        <v>DIR. COM E CRED MG E ES</v>
      </c>
      <c r="B785" s="28" t="str">
        <f>IFERROR(_xlfn.XLOOKUP(C785,[1]DIRETORIA!C:C,[1]DIRETORIA!B:B),"-")</f>
        <v>GST. COM BH E INT</v>
      </c>
      <c r="C785" s="28" t="str">
        <f>IFERROR(_xlfn.XLOOKUP(E785,[1]EMPREENDIMENTO!C:C,[1]EMPREENDIMENTO!A:A),"-")</f>
        <v>CONTAGEM</v>
      </c>
      <c r="D785" s="28" t="s">
        <v>29</v>
      </c>
      <c r="E785" s="28" t="s">
        <v>1479</v>
      </c>
      <c r="F785" s="28" t="s">
        <v>31</v>
      </c>
      <c r="G785" s="28" t="s">
        <v>1480</v>
      </c>
      <c r="H785" s="28">
        <v>49034</v>
      </c>
      <c r="I785" s="29">
        <f>IFERROR(_xlfn.XLOOKUP(E785,[1]EMPREENDIMENTO!C:C,[1]EMPREENDIMENTO!E:E),"0")</f>
        <v>288</v>
      </c>
      <c r="J785" s="30"/>
      <c r="K785" s="28" t="s">
        <v>33</v>
      </c>
      <c r="L785" s="31">
        <v>46238</v>
      </c>
      <c r="M785" s="32">
        <v>109272500</v>
      </c>
      <c r="N785" s="32">
        <v>122547357</v>
      </c>
      <c r="O785" s="32">
        <v>119273252</v>
      </c>
      <c r="P785" s="28" t="s">
        <v>34</v>
      </c>
      <c r="Q785" s="28" t="s">
        <v>1481</v>
      </c>
      <c r="R785" s="30">
        <v>46241</v>
      </c>
      <c r="S785" s="30">
        <v>46245</v>
      </c>
      <c r="T785" s="33"/>
      <c r="U785" s="34" t="str">
        <f>IFERROR(_xlfn.XLOOKUP(E785,[1]EMPREENDIMENTO!C:C,[1]EMPREENDIMENTO!D:D),"")</f>
        <v>63b8620b-971d-e011-b242-001f2909e810</v>
      </c>
    </row>
    <row r="786" spans="1:21" hidden="1" x14ac:dyDescent="0.35">
      <c r="A786" s="28" t="str">
        <f>IFERROR(_xlfn.XLOOKUP(C786,[1]DIRETORIA!C:C,[1]DIRETORIA!A:A),"-")</f>
        <v>DIR. COM E CRED MG E ES</v>
      </c>
      <c r="B786" s="28" t="str">
        <f>IFERROR(_xlfn.XLOOKUP(C786,[1]DIRETORIA!C:C,[1]DIRETORIA!B:B),"-")</f>
        <v>GST. COM BH E INT</v>
      </c>
      <c r="C786" s="28" t="str">
        <f>IFERROR(_xlfn.XLOOKUP(E786,[1]EMPREENDIMENTO!C:C,[1]EMPREENDIMENTO!A:A),"-")</f>
        <v>CONTAGEM</v>
      </c>
      <c r="D786" s="28" t="s">
        <v>29</v>
      </c>
      <c r="E786" s="28" t="s">
        <v>1479</v>
      </c>
      <c r="F786" s="28" t="s">
        <v>36</v>
      </c>
      <c r="G786" s="28" t="s">
        <v>1482</v>
      </c>
      <c r="H786" s="28">
        <v>54261</v>
      </c>
      <c r="I786" s="29">
        <f>IFERROR(_xlfn.XLOOKUP(E786,[1]EMPREENDIMENTO!C:C,[1]EMPREENDIMENTO!E:E),"0")</f>
        <v>288</v>
      </c>
      <c r="J786" s="30"/>
      <c r="K786" s="28" t="s">
        <v>33</v>
      </c>
      <c r="L786" s="31">
        <v>46238</v>
      </c>
      <c r="M786" s="32">
        <v>109272500</v>
      </c>
      <c r="N786" s="32">
        <v>122547357</v>
      </c>
      <c r="O786" s="32">
        <v>119273252</v>
      </c>
      <c r="P786" s="28" t="s">
        <v>34</v>
      </c>
      <c r="Q786" s="28" t="s">
        <v>1481</v>
      </c>
      <c r="R786" s="30">
        <v>46241</v>
      </c>
      <c r="S786" s="30">
        <v>46245</v>
      </c>
      <c r="T786" s="33"/>
      <c r="U786" s="34" t="str">
        <f>IFERROR(_xlfn.XLOOKUP(E786,[1]EMPREENDIMENTO!C:C,[1]EMPREENDIMENTO!D:D),"")</f>
        <v>63b8620b-971d-e011-b242-001f2909e810</v>
      </c>
    </row>
    <row r="787" spans="1:21" hidden="1" x14ac:dyDescent="0.35">
      <c r="A787" s="28" t="str">
        <f>IFERROR(_xlfn.XLOOKUP(C787,[1]DIRETORIA!C:C,[1]DIRETORIA!A:A),"-")</f>
        <v>DIR. COM E CRED CO E AM</v>
      </c>
      <c r="B787" s="28" t="str">
        <f>IFERROR(_xlfn.XLOOKUP(C787,[1]DIRETORIA!C:C,[1]DIRETORIA!B:B),"-")</f>
        <v>GST. COM GO</v>
      </c>
      <c r="C787" s="28" t="str">
        <f>IFERROR(_xlfn.XLOOKUP(E787,[1]EMPREENDIMENTO!C:C,[1]EMPREENDIMENTO!A:A),"-")</f>
        <v>GOIÂNIA</v>
      </c>
      <c r="D787" s="28" t="s">
        <v>29</v>
      </c>
      <c r="E787" s="28" t="s">
        <v>1483</v>
      </c>
      <c r="F787" s="28" t="s">
        <v>31</v>
      </c>
      <c r="G787" s="28" t="s">
        <v>1484</v>
      </c>
      <c r="H787" s="28">
        <v>33935</v>
      </c>
      <c r="I787" s="29">
        <f>IFERROR(_xlfn.XLOOKUP(E787,[1]EMPREENDIMENTO!C:C,[1]EMPREENDIMENTO!E:E),"0")</f>
        <v>392</v>
      </c>
      <c r="J787" s="30">
        <v>46717</v>
      </c>
      <c r="K787" s="28" t="s">
        <v>33</v>
      </c>
      <c r="L787" s="31">
        <v>46217</v>
      </c>
      <c r="M787" s="32">
        <v>119037900</v>
      </c>
      <c r="N787" s="32">
        <v>128837900</v>
      </c>
      <c r="O787" s="32">
        <v>127556500</v>
      </c>
      <c r="P787" s="28" t="s">
        <v>34</v>
      </c>
      <c r="Q787" s="28" t="s">
        <v>1485</v>
      </c>
      <c r="R787" s="30">
        <v>46223</v>
      </c>
      <c r="S787" s="30">
        <v>46217</v>
      </c>
      <c r="T787" s="33"/>
      <c r="U787" s="34" t="str">
        <f>IFERROR(_xlfn.XLOOKUP(E787,[1]EMPREENDIMENTO!C:C,[1]EMPREENDIMENTO!D:D),"")</f>
        <v>cca59f78-a51e-eb11-9d23-005056856b6c</v>
      </c>
    </row>
    <row r="788" spans="1:21" hidden="1" x14ac:dyDescent="0.35">
      <c r="A788" s="28" t="str">
        <f>IFERROR(_xlfn.XLOOKUP(C788,[1]DIRETORIA!C:C,[1]DIRETORIA!A:A),"-")</f>
        <v>DIR. COM E CRED CO E AM</v>
      </c>
      <c r="B788" s="28" t="str">
        <f>IFERROR(_xlfn.XLOOKUP(C788,[1]DIRETORIA!C:C,[1]DIRETORIA!B:B),"-")</f>
        <v>GST. COM GO</v>
      </c>
      <c r="C788" s="28" t="str">
        <f>IFERROR(_xlfn.XLOOKUP(E788,[1]EMPREENDIMENTO!C:C,[1]EMPREENDIMENTO!A:A),"-")</f>
        <v>GOIÂNIA</v>
      </c>
      <c r="D788" s="28" t="s">
        <v>29</v>
      </c>
      <c r="E788" s="28" t="s">
        <v>1483</v>
      </c>
      <c r="F788" s="28" t="s">
        <v>36</v>
      </c>
      <c r="G788" s="28" t="s">
        <v>1486</v>
      </c>
      <c r="H788" s="28">
        <v>53396</v>
      </c>
      <c r="I788" s="29">
        <f>IFERROR(_xlfn.XLOOKUP(E788,[1]EMPREENDIMENTO!C:C,[1]EMPREENDIMENTO!E:E),"0")</f>
        <v>392</v>
      </c>
      <c r="J788" s="30">
        <v>46717</v>
      </c>
      <c r="K788" s="28" t="s">
        <v>33</v>
      </c>
      <c r="L788" s="31">
        <v>46217</v>
      </c>
      <c r="M788" s="32">
        <v>119037900</v>
      </c>
      <c r="N788" s="32">
        <v>128837900</v>
      </c>
      <c r="O788" s="32">
        <v>127556500</v>
      </c>
      <c r="P788" s="28" t="s">
        <v>34</v>
      </c>
      <c r="Q788" s="28" t="s">
        <v>1485</v>
      </c>
      <c r="R788" s="30">
        <v>46223</v>
      </c>
      <c r="S788" s="30">
        <v>46217</v>
      </c>
      <c r="T788" s="33"/>
      <c r="U788" s="34" t="str">
        <f>IFERROR(_xlfn.XLOOKUP(E788,[1]EMPREENDIMENTO!C:C,[1]EMPREENDIMENTO!D:D),"")</f>
        <v>cca59f78-a51e-eb11-9d23-005056856b6c</v>
      </c>
    </row>
    <row r="789" spans="1:21" x14ac:dyDescent="0.35">
      <c r="A789" s="28" t="str">
        <f>IFERROR(_xlfn.XLOOKUP(C789,[1]DIRETORIA!C:C,[1]DIRETORIA!A:A),"-")</f>
        <v>DIR. COM E CRED SPI</v>
      </c>
      <c r="B789" s="28" t="str">
        <f>IFERROR(_xlfn.XLOOKUP(C789,[1]DIRETORIA!C:C,[1]DIRETORIA!B:B),"-")</f>
        <v>GST. COM OP 1</v>
      </c>
      <c r="C789" s="28" t="str">
        <f>IFERROR(_xlfn.XLOOKUP(E789,[1]EMPREENDIMENTO!C:C,[1]EMPREENDIMENTO!A:A),"-")</f>
        <v>SÃO JOSÉ DO RIO PRETO</v>
      </c>
      <c r="D789" s="28" t="s">
        <v>85</v>
      </c>
      <c r="E789" s="28" t="s">
        <v>1487</v>
      </c>
      <c r="F789" s="28" t="s">
        <v>42</v>
      </c>
      <c r="G789" s="28" t="s">
        <v>1488</v>
      </c>
      <c r="H789" s="28">
        <v>30771</v>
      </c>
      <c r="I789" s="29">
        <f>IFERROR(_xlfn.XLOOKUP(E789,[1]EMPREENDIMENTO!C:C,[1]EMPREENDIMENTO!E:E),"0")</f>
        <v>400</v>
      </c>
      <c r="J789" s="30"/>
      <c r="K789" s="28" t="s">
        <v>33</v>
      </c>
      <c r="L789" s="31">
        <v>45747</v>
      </c>
      <c r="M789" s="32">
        <v>91003000</v>
      </c>
      <c r="N789" s="32">
        <v>95676000</v>
      </c>
      <c r="O789" s="32">
        <v>95306000</v>
      </c>
      <c r="P789" s="28" t="s">
        <v>34</v>
      </c>
      <c r="Q789" s="28">
        <v>639974</v>
      </c>
      <c r="R789" s="30">
        <v>45775</v>
      </c>
      <c r="S789" s="30">
        <v>45748</v>
      </c>
      <c r="T789" s="33"/>
      <c r="U789" s="34" t="str">
        <f>IFERROR(_xlfn.XLOOKUP(E789,[1]EMPREENDIMENTO!C:C,[1]EMPREENDIMENTO!D:D),"")</f>
        <v>E764231C-4542-E811-A00D-009C02B0CB58</v>
      </c>
    </row>
    <row r="790" spans="1:21" x14ac:dyDescent="0.35">
      <c r="A790" s="28" t="str">
        <f>IFERROR(_xlfn.XLOOKUP(C790,[1]DIRETORIA!C:C,[1]DIRETORIA!A:A),"-")</f>
        <v>DIR. COM E CRED SPI</v>
      </c>
      <c r="B790" s="28" t="str">
        <f>IFERROR(_xlfn.XLOOKUP(C790,[1]DIRETORIA!C:C,[1]DIRETORIA!B:B),"-")</f>
        <v>GST. COM OP 2</v>
      </c>
      <c r="C790" s="28" t="str">
        <f>IFERROR(_xlfn.XLOOKUP(E790,[1]EMPREENDIMENTO!C:C,[1]EMPREENDIMENTO!A:A),"-")</f>
        <v>BAURU</v>
      </c>
      <c r="D790" s="28" t="s">
        <v>29</v>
      </c>
      <c r="E790" s="28" t="s">
        <v>1489</v>
      </c>
      <c r="F790" s="28" t="s">
        <v>42</v>
      </c>
      <c r="G790" s="28" t="s">
        <v>1490</v>
      </c>
      <c r="H790" s="28">
        <v>44184</v>
      </c>
      <c r="I790" s="29">
        <f>IFERROR(_xlfn.XLOOKUP(E790,[1]EMPREENDIMENTO!C:C,[1]EMPREENDIMENTO!E:E),"0")</f>
        <v>120</v>
      </c>
      <c r="J790" s="30">
        <v>46783</v>
      </c>
      <c r="K790" s="28" t="s">
        <v>33</v>
      </c>
      <c r="L790" s="31">
        <v>46191</v>
      </c>
      <c r="M790" s="32">
        <v>30096000</v>
      </c>
      <c r="N790" s="32">
        <v>32682000</v>
      </c>
      <c r="O790" s="32">
        <v>31152000</v>
      </c>
      <c r="P790" s="28" t="s">
        <v>34</v>
      </c>
      <c r="Q790" s="28" t="s">
        <v>1491</v>
      </c>
      <c r="R790" s="30">
        <v>46182</v>
      </c>
      <c r="S790" s="30">
        <v>46192</v>
      </c>
      <c r="T790" s="33"/>
      <c r="U790" s="34" t="str">
        <f>IFERROR(_xlfn.XLOOKUP(E790,[1]EMPREENDIMENTO!C:C,[1]EMPREENDIMENTO!D:D),"")</f>
        <v>4e858815-7f00-ee11-9510-005056856875</v>
      </c>
    </row>
    <row r="791" spans="1:21" hidden="1" x14ac:dyDescent="0.35">
      <c r="A791" s="28" t="str">
        <f>IFERROR(_xlfn.XLOOKUP(C791,[1]DIRETORIA!C:C,[1]DIRETORIA!A:A),"-")</f>
        <v>DIR. COM E CRED NE</v>
      </c>
      <c r="B791" s="28" t="str">
        <f>IFERROR(_xlfn.XLOOKUP(C791,[1]DIRETORIA!C:C,[1]DIRETORIA!B:B),"-")</f>
        <v>GST. COM NE5 (RN+PB)</v>
      </c>
      <c r="C791" s="28" t="str">
        <f>IFERROR(_xlfn.XLOOKUP(E791,[1]EMPREENDIMENTO!C:C,[1]EMPREENDIMENTO!A:A),"-")</f>
        <v>NATAL</v>
      </c>
      <c r="D791" s="28" t="s">
        <v>29</v>
      </c>
      <c r="E791" s="28" t="s">
        <v>1492</v>
      </c>
      <c r="F791" s="28" t="s">
        <v>31</v>
      </c>
      <c r="G791" s="28" t="s">
        <v>1493</v>
      </c>
      <c r="H791" s="28">
        <v>45850</v>
      </c>
      <c r="I791" s="29">
        <f>IFERROR(_xlfn.XLOOKUP(E791,[1]EMPREENDIMENTO!C:C,[1]EMPREENDIMENTO!E:E),"0")</f>
        <v>288</v>
      </c>
      <c r="J791" s="30"/>
      <c r="K791" s="28" t="s">
        <v>33</v>
      </c>
      <c r="L791" s="31">
        <v>46127</v>
      </c>
      <c r="M791" s="32">
        <v>67940081</v>
      </c>
      <c r="N791" s="32">
        <v>70840206</v>
      </c>
      <c r="O791" s="32">
        <v>69891192</v>
      </c>
      <c r="P791" s="28" t="s">
        <v>34</v>
      </c>
      <c r="Q791" s="28" t="s">
        <v>1494</v>
      </c>
      <c r="R791" s="30">
        <v>46138</v>
      </c>
      <c r="S791" s="30">
        <v>46128</v>
      </c>
      <c r="T791" s="33"/>
      <c r="U791" s="34" t="str">
        <f>IFERROR(_xlfn.XLOOKUP(E791,[1]EMPREENDIMENTO!C:C,[1]EMPREENDIMENTO!D:D),"")</f>
        <v>945d838a-b366-ee11-8acd-80c16e075108</v>
      </c>
    </row>
    <row r="792" spans="1:21" hidden="1" x14ac:dyDescent="0.35">
      <c r="A792" s="28" t="str">
        <f>IFERROR(_xlfn.XLOOKUP(C792,[1]DIRETORIA!C:C,[1]DIRETORIA!A:A),"-")</f>
        <v>DIR. COM E CRED NE</v>
      </c>
      <c r="B792" s="28" t="str">
        <f>IFERROR(_xlfn.XLOOKUP(C792,[1]DIRETORIA!C:C,[1]DIRETORIA!B:B),"-")</f>
        <v>GST. COM NE5 (RN+PB)</v>
      </c>
      <c r="C792" s="28" t="str">
        <f>IFERROR(_xlfn.XLOOKUP(E792,[1]EMPREENDIMENTO!C:C,[1]EMPREENDIMENTO!A:A),"-")</f>
        <v>NATAL</v>
      </c>
      <c r="D792" s="28" t="s">
        <v>29</v>
      </c>
      <c r="E792" s="28" t="s">
        <v>1492</v>
      </c>
      <c r="F792" s="28" t="s">
        <v>36</v>
      </c>
      <c r="G792" s="28" t="s">
        <v>1495</v>
      </c>
      <c r="H792" s="28">
        <v>55148</v>
      </c>
      <c r="I792" s="29">
        <f>IFERROR(_xlfn.XLOOKUP(E792,[1]EMPREENDIMENTO!C:C,[1]EMPREENDIMENTO!E:E),"0")</f>
        <v>288</v>
      </c>
      <c r="J792" s="30"/>
      <c r="K792" s="28" t="s">
        <v>33</v>
      </c>
      <c r="L792" s="31">
        <v>46127</v>
      </c>
      <c r="M792" s="32">
        <v>67940081</v>
      </c>
      <c r="N792" s="32">
        <v>70840206</v>
      </c>
      <c r="O792" s="32">
        <v>69891192</v>
      </c>
      <c r="P792" s="28" t="s">
        <v>34</v>
      </c>
      <c r="Q792" s="28" t="s">
        <v>1494</v>
      </c>
      <c r="R792" s="30">
        <v>46138</v>
      </c>
      <c r="S792" s="30">
        <v>46128</v>
      </c>
      <c r="T792" s="33"/>
      <c r="U792" s="34" t="str">
        <f>IFERROR(_xlfn.XLOOKUP(E792,[1]EMPREENDIMENTO!C:C,[1]EMPREENDIMENTO!D:D),"")</f>
        <v>945d838a-b366-ee11-8acd-80c16e075108</v>
      </c>
    </row>
    <row r="793" spans="1:21" hidden="1" x14ac:dyDescent="0.35">
      <c r="A793" s="28" t="str">
        <f>IFERROR(_xlfn.XLOOKUP(C793,[1]DIRETORIA!C:C,[1]DIRETORIA!A:A),"-")</f>
        <v>DIR. COM E CRED NE</v>
      </c>
      <c r="B793" s="28" t="str">
        <f>IFERROR(_xlfn.XLOOKUP(C793,[1]DIRETORIA!C:C,[1]DIRETORIA!B:B),"-")</f>
        <v>GST. COM NE5 (RN+PB)</v>
      </c>
      <c r="C793" s="28" t="str">
        <f>IFERROR(_xlfn.XLOOKUP(E793,[1]EMPREENDIMENTO!C:C,[1]EMPREENDIMENTO!A:A),"-")</f>
        <v>NATAL</v>
      </c>
      <c r="D793" s="28" t="s">
        <v>29</v>
      </c>
      <c r="E793" s="28" t="s">
        <v>1492</v>
      </c>
      <c r="F793" s="28" t="s">
        <v>39</v>
      </c>
      <c r="G793" s="28" t="s">
        <v>1496</v>
      </c>
      <c r="H793" s="28">
        <v>61333</v>
      </c>
      <c r="I793" s="29">
        <f>IFERROR(_xlfn.XLOOKUP(E793,[1]EMPREENDIMENTO!C:C,[1]EMPREENDIMENTO!E:E),"0")</f>
        <v>288</v>
      </c>
      <c r="J793" s="30"/>
      <c r="K793" s="28" t="s">
        <v>33</v>
      </c>
      <c r="L793" s="31">
        <v>46127</v>
      </c>
      <c r="M793" s="32">
        <v>67940081</v>
      </c>
      <c r="N793" s="32">
        <v>70840206</v>
      </c>
      <c r="O793" s="32">
        <v>69891192</v>
      </c>
      <c r="P793" s="28" t="s">
        <v>34</v>
      </c>
      <c r="Q793" s="28" t="s">
        <v>1494</v>
      </c>
      <c r="R793" s="30">
        <v>46138</v>
      </c>
      <c r="S793" s="30">
        <v>46128</v>
      </c>
      <c r="T793" s="33"/>
      <c r="U793" s="34" t="str">
        <f>IFERROR(_xlfn.XLOOKUP(E793,[1]EMPREENDIMENTO!C:C,[1]EMPREENDIMENTO!D:D),"")</f>
        <v>945d838a-b366-ee11-8acd-80c16e075108</v>
      </c>
    </row>
    <row r="794" spans="1:21" hidden="1" x14ac:dyDescent="0.35">
      <c r="A794" s="28" t="str">
        <f>IFERROR(_xlfn.XLOOKUP(C794,[1]DIRETORIA!C:C,[1]DIRETORIA!A:A),"-")</f>
        <v>DIR. COM E CRED SUL</v>
      </c>
      <c r="B794" s="28" t="str">
        <f>IFERROR(_xlfn.XLOOKUP(C794,[1]DIRETORIA!C:C,[1]DIRETORIA!B:B),"-")</f>
        <v>GST. COM RS SUL</v>
      </c>
      <c r="C794" s="28" t="str">
        <f>IFERROR(_xlfn.XLOOKUP(E794,[1]EMPREENDIMENTO!C:C,[1]EMPREENDIMENTO!A:A),"-")</f>
        <v>PORTO ALEGRE</v>
      </c>
      <c r="D794" s="28" t="s">
        <v>29</v>
      </c>
      <c r="E794" s="28" t="s">
        <v>1497</v>
      </c>
      <c r="F794" s="28" t="s">
        <v>42</v>
      </c>
      <c r="G794" s="28" t="s">
        <v>1498</v>
      </c>
      <c r="H794" s="28">
        <v>8595</v>
      </c>
      <c r="I794" s="29">
        <f>IFERROR(_xlfn.XLOOKUP(E794,[1]EMPREENDIMENTO!C:C,[1]EMPREENDIMENTO!E:E),"0")</f>
        <v>120</v>
      </c>
      <c r="J794" s="30"/>
      <c r="K794" s="28" t="s">
        <v>164</v>
      </c>
      <c r="L794" s="31">
        <v>46224</v>
      </c>
      <c r="M794" s="32">
        <v>28974120</v>
      </c>
      <c r="N794" s="32">
        <v>30712567.199999999</v>
      </c>
      <c r="O794" s="32">
        <v>30120467.199999999</v>
      </c>
      <c r="P794" s="28" t="s">
        <v>34</v>
      </c>
      <c r="Q794" s="28" t="s">
        <v>1499</v>
      </c>
      <c r="R794" s="30">
        <v>46225</v>
      </c>
      <c r="S794" s="30">
        <v>46225</v>
      </c>
      <c r="T794" s="33"/>
      <c r="U794" s="34" t="str">
        <f>IFERROR(_xlfn.XLOOKUP(E794,[1]EMPREENDIMENTO!C:C,[1]EMPREENDIMENTO!D:D),"")</f>
        <v>a1bbdbc9-49e7-e711-b989-80c16e075108</v>
      </c>
    </row>
    <row r="795" spans="1:21" hidden="1" x14ac:dyDescent="0.35">
      <c r="A795" s="28" t="str">
        <f>IFERROR(_xlfn.XLOOKUP(C795,[1]DIRETORIA!C:C,[1]DIRETORIA!A:A),"-")</f>
        <v>DIR. COM E CRED SP E VL</v>
      </c>
      <c r="B795" s="28" t="str">
        <f>IFERROR(_xlfn.XLOOKUP(C795,[1]DIRETORIA!C:C,[1]DIRETORIA!B:B),"-")</f>
        <v>GST. COM SP2</v>
      </c>
      <c r="C795" s="28" t="str">
        <f>IFERROR(_xlfn.XLOOKUP(E795,[1]EMPREENDIMENTO!C:C,[1]EMPREENDIMENTO!A:A),"-")</f>
        <v>SÃO PAULO</v>
      </c>
      <c r="D795" s="28" t="s">
        <v>29</v>
      </c>
      <c r="E795" s="28" t="s">
        <v>1500</v>
      </c>
      <c r="F795" s="28" t="s">
        <v>31</v>
      </c>
      <c r="G795" s="28" t="s">
        <v>1501</v>
      </c>
      <c r="H795" s="28">
        <v>41010</v>
      </c>
      <c r="I795" s="29">
        <f>IFERROR(_xlfn.XLOOKUP(E795,[1]EMPREENDIMENTO!C:C,[1]EMPREENDIMENTO!E:E),"0")</f>
        <v>1080</v>
      </c>
      <c r="J795" s="30">
        <v>46808</v>
      </c>
      <c r="K795" s="28" t="s">
        <v>33</v>
      </c>
      <c r="L795" s="31">
        <v>45678</v>
      </c>
      <c r="M795" s="32">
        <v>323672000</v>
      </c>
      <c r="N795" s="32">
        <v>353760000</v>
      </c>
      <c r="O795" s="32">
        <v>353760000</v>
      </c>
      <c r="P795" s="28" t="s">
        <v>34</v>
      </c>
      <c r="Q795" s="28" t="s">
        <v>1502</v>
      </c>
      <c r="R795" s="30">
        <v>45684</v>
      </c>
      <c r="S795" s="30">
        <v>45679</v>
      </c>
      <c r="T795" s="33"/>
      <c r="U795" s="34" t="str">
        <f>IFERROR(_xlfn.XLOOKUP(E795,[1]EMPREENDIMENTO!C:C,[1]EMPREENDIMENTO!D:D),"")</f>
        <v>a897e24a-3683-eb11-aa45-005056856875</v>
      </c>
    </row>
    <row r="796" spans="1:21" hidden="1" x14ac:dyDescent="0.35">
      <c r="A796" s="28" t="str">
        <f>IFERROR(_xlfn.XLOOKUP(C796,[1]DIRETORIA!C:C,[1]DIRETORIA!A:A),"-")</f>
        <v>DIR. COM E CRED SP E VL</v>
      </c>
      <c r="B796" s="28" t="str">
        <f>IFERROR(_xlfn.XLOOKUP(C796,[1]DIRETORIA!C:C,[1]DIRETORIA!B:B),"-")</f>
        <v>GST. COM SP2</v>
      </c>
      <c r="C796" s="28" t="str">
        <f>IFERROR(_xlfn.XLOOKUP(E796,[1]EMPREENDIMENTO!C:C,[1]EMPREENDIMENTO!A:A),"-")</f>
        <v>SÃO PAULO</v>
      </c>
      <c r="D796" s="28" t="s">
        <v>29</v>
      </c>
      <c r="E796" s="28" t="s">
        <v>1500</v>
      </c>
      <c r="F796" s="28" t="s">
        <v>36</v>
      </c>
      <c r="G796" s="28" t="s">
        <v>1503</v>
      </c>
      <c r="H796" s="28">
        <v>51979</v>
      </c>
      <c r="I796" s="29">
        <f>IFERROR(_xlfn.XLOOKUP(E796,[1]EMPREENDIMENTO!C:C,[1]EMPREENDIMENTO!E:E),"0")</f>
        <v>1080</v>
      </c>
      <c r="J796" s="30">
        <v>46808</v>
      </c>
      <c r="K796" s="28" t="s">
        <v>33</v>
      </c>
      <c r="L796" s="31">
        <v>45678</v>
      </c>
      <c r="M796" s="32">
        <v>323672000</v>
      </c>
      <c r="N796" s="32">
        <v>353760000</v>
      </c>
      <c r="O796" s="32">
        <v>353760000</v>
      </c>
      <c r="P796" s="28" t="s">
        <v>34</v>
      </c>
      <c r="Q796" s="28" t="s">
        <v>1502</v>
      </c>
      <c r="R796" s="30">
        <v>45684</v>
      </c>
      <c r="S796" s="30">
        <v>45679</v>
      </c>
      <c r="T796" s="33"/>
      <c r="U796" s="34" t="str">
        <f>IFERROR(_xlfn.XLOOKUP(E796,[1]EMPREENDIMENTO!C:C,[1]EMPREENDIMENTO!D:D),"")</f>
        <v>a897e24a-3683-eb11-aa45-005056856875</v>
      </c>
    </row>
    <row r="797" spans="1:21" hidden="1" x14ac:dyDescent="0.35">
      <c r="A797" s="28" t="str">
        <f>IFERROR(_xlfn.XLOOKUP(C797,[1]DIRETORIA!C:C,[1]DIRETORIA!A:A),"-")</f>
        <v>DIR. COM E CRED SP E VL</v>
      </c>
      <c r="B797" s="28" t="str">
        <f>IFERROR(_xlfn.XLOOKUP(C797,[1]DIRETORIA!C:C,[1]DIRETORIA!B:B),"-")</f>
        <v>GST. COM SP2</v>
      </c>
      <c r="C797" s="28" t="str">
        <f>IFERROR(_xlfn.XLOOKUP(E797,[1]EMPREENDIMENTO!C:C,[1]EMPREENDIMENTO!A:A),"-")</f>
        <v>SÃO PAULO</v>
      </c>
      <c r="D797" s="28" t="s">
        <v>29</v>
      </c>
      <c r="E797" s="28" t="s">
        <v>1500</v>
      </c>
      <c r="F797" s="28" t="s">
        <v>39</v>
      </c>
      <c r="G797" s="28" t="s">
        <v>1504</v>
      </c>
      <c r="H797" s="28">
        <v>51983</v>
      </c>
      <c r="I797" s="29">
        <f>IFERROR(_xlfn.XLOOKUP(E797,[1]EMPREENDIMENTO!C:C,[1]EMPREENDIMENTO!E:E),"0")</f>
        <v>1080</v>
      </c>
      <c r="J797" s="30">
        <v>46808</v>
      </c>
      <c r="K797" s="28" t="s">
        <v>33</v>
      </c>
      <c r="L797" s="31">
        <v>45678</v>
      </c>
      <c r="M797" s="32">
        <v>323672000</v>
      </c>
      <c r="N797" s="32">
        <v>353760000</v>
      </c>
      <c r="O797" s="32">
        <v>353760000</v>
      </c>
      <c r="P797" s="28" t="s">
        <v>34</v>
      </c>
      <c r="Q797" s="28" t="s">
        <v>1502</v>
      </c>
      <c r="R797" s="30">
        <v>45684</v>
      </c>
      <c r="S797" s="30">
        <v>45679</v>
      </c>
      <c r="T797" s="33"/>
      <c r="U797" s="34" t="str">
        <f>IFERROR(_xlfn.XLOOKUP(E797,[1]EMPREENDIMENTO!C:C,[1]EMPREENDIMENTO!D:D),"")</f>
        <v>a897e24a-3683-eb11-aa45-005056856875</v>
      </c>
    </row>
    <row r="798" spans="1:21" hidden="1" x14ac:dyDescent="0.35">
      <c r="A798" s="28" t="str">
        <f>IFERROR(_xlfn.XLOOKUP(C798,[1]DIRETORIA!C:C,[1]DIRETORIA!A:A),"-")</f>
        <v>DIR. COM E CRED SP E VL</v>
      </c>
      <c r="B798" s="28" t="str">
        <f>IFERROR(_xlfn.XLOOKUP(C798,[1]DIRETORIA!C:C,[1]DIRETORIA!B:B),"-")</f>
        <v>GST. COM SP2</v>
      </c>
      <c r="C798" s="28" t="str">
        <f>IFERROR(_xlfn.XLOOKUP(E798,[1]EMPREENDIMENTO!C:C,[1]EMPREENDIMENTO!A:A),"-")</f>
        <v>SÃO PAULO</v>
      </c>
      <c r="D798" s="28" t="s">
        <v>29</v>
      </c>
      <c r="E798" s="28" t="s">
        <v>1500</v>
      </c>
      <c r="F798" s="28" t="s">
        <v>50</v>
      </c>
      <c r="G798" s="28" t="s">
        <v>1505</v>
      </c>
      <c r="H798" s="28">
        <v>51986</v>
      </c>
      <c r="I798" s="29">
        <f>IFERROR(_xlfn.XLOOKUP(E798,[1]EMPREENDIMENTO!C:C,[1]EMPREENDIMENTO!E:E),"0")</f>
        <v>1080</v>
      </c>
      <c r="J798" s="30">
        <v>46808</v>
      </c>
      <c r="K798" s="28" t="s">
        <v>33</v>
      </c>
      <c r="L798" s="31">
        <v>45678</v>
      </c>
      <c r="M798" s="32">
        <v>323672000</v>
      </c>
      <c r="N798" s="32">
        <v>353760000</v>
      </c>
      <c r="O798" s="32">
        <v>353760000</v>
      </c>
      <c r="P798" s="28" t="s">
        <v>34</v>
      </c>
      <c r="Q798" s="28" t="s">
        <v>1502</v>
      </c>
      <c r="R798" s="30">
        <v>45684</v>
      </c>
      <c r="S798" s="30">
        <v>45679</v>
      </c>
      <c r="T798" s="33"/>
      <c r="U798" s="34" t="str">
        <f>IFERROR(_xlfn.XLOOKUP(E798,[1]EMPREENDIMENTO!C:C,[1]EMPREENDIMENTO!D:D),"")</f>
        <v>a897e24a-3683-eb11-aa45-005056856875</v>
      </c>
    </row>
    <row r="799" spans="1:21" hidden="1" x14ac:dyDescent="0.35">
      <c r="A799" s="28" t="str">
        <f>IFERROR(_xlfn.XLOOKUP(C799,[1]DIRETORIA!C:C,[1]DIRETORIA!A:A),"-")</f>
        <v>DIR. COM E CRED SP E VL</v>
      </c>
      <c r="B799" s="28" t="str">
        <f>IFERROR(_xlfn.XLOOKUP(C799,[1]DIRETORIA!C:C,[1]DIRETORIA!B:B),"-")</f>
        <v>GST. COM SP2</v>
      </c>
      <c r="C799" s="28" t="str">
        <f>IFERROR(_xlfn.XLOOKUP(E799,[1]EMPREENDIMENTO!C:C,[1]EMPREENDIMENTO!A:A),"-")</f>
        <v>SÃO PAULO</v>
      </c>
      <c r="D799" s="28" t="s">
        <v>29</v>
      </c>
      <c r="E799" s="28" t="s">
        <v>1500</v>
      </c>
      <c r="F799" s="28" t="s">
        <v>57</v>
      </c>
      <c r="G799" s="28" t="s">
        <v>1506</v>
      </c>
      <c r="H799" s="28">
        <v>51990</v>
      </c>
      <c r="I799" s="29">
        <f>IFERROR(_xlfn.XLOOKUP(E799,[1]EMPREENDIMENTO!C:C,[1]EMPREENDIMENTO!E:E),"0")</f>
        <v>1080</v>
      </c>
      <c r="J799" s="30">
        <v>46808</v>
      </c>
      <c r="K799" s="28" t="s">
        <v>33</v>
      </c>
      <c r="L799" s="31">
        <v>45678</v>
      </c>
      <c r="M799" s="32">
        <v>323672000</v>
      </c>
      <c r="N799" s="32">
        <v>353760000</v>
      </c>
      <c r="O799" s="32">
        <v>353760000</v>
      </c>
      <c r="P799" s="28" t="s">
        <v>34</v>
      </c>
      <c r="Q799" s="28" t="s">
        <v>1502</v>
      </c>
      <c r="R799" s="30">
        <v>45684</v>
      </c>
      <c r="S799" s="30">
        <v>45679</v>
      </c>
      <c r="T799" s="33"/>
      <c r="U799" s="34" t="str">
        <f>IFERROR(_xlfn.XLOOKUP(E799,[1]EMPREENDIMENTO!C:C,[1]EMPREENDIMENTO!D:D),"")</f>
        <v>a897e24a-3683-eb11-aa45-005056856875</v>
      </c>
    </row>
    <row r="800" spans="1:21" hidden="1" x14ac:dyDescent="0.35">
      <c r="A800" s="28" t="str">
        <f>IFERROR(_xlfn.XLOOKUP(C800,[1]DIRETORIA!C:C,[1]DIRETORIA!A:A),"-")</f>
        <v>DIR. COM E CRED NE</v>
      </c>
      <c r="B800" s="28" t="str">
        <f>IFERROR(_xlfn.XLOOKUP(C800,[1]DIRETORIA!C:C,[1]DIRETORIA!B:B),"-")</f>
        <v>GST. COM NE 7 (PI+MA)</v>
      </c>
      <c r="C800" s="28" t="str">
        <f>IFERROR(_xlfn.XLOOKUP(E800,[1]EMPREENDIMENTO!C:C,[1]EMPREENDIMENTO!A:A),"-")</f>
        <v>TERESINA</v>
      </c>
      <c r="D800" s="28" t="s">
        <v>29</v>
      </c>
      <c r="E800" s="28" t="s">
        <v>1507</v>
      </c>
      <c r="F800" s="28" t="s">
        <v>42</v>
      </c>
      <c r="G800" s="28" t="s">
        <v>1508</v>
      </c>
      <c r="H800" s="28">
        <v>45104</v>
      </c>
      <c r="I800" s="29">
        <f>IFERROR(_xlfn.XLOOKUP(E800,[1]EMPREENDIMENTO!C:C,[1]EMPREENDIMENTO!E:E),"0")</f>
        <v>240</v>
      </c>
      <c r="J800" s="30"/>
      <c r="K800" s="28" t="s">
        <v>164</v>
      </c>
      <c r="L800" s="31">
        <v>46232</v>
      </c>
      <c r="M800" s="32">
        <v>69489164</v>
      </c>
      <c r="N800" s="32">
        <v>75036474</v>
      </c>
      <c r="O800" s="32">
        <v>72969048</v>
      </c>
      <c r="P800" s="28" t="s">
        <v>34</v>
      </c>
      <c r="Q800" s="28" t="s">
        <v>1509</v>
      </c>
      <c r="R800" s="30">
        <v>46237</v>
      </c>
      <c r="S800" s="30">
        <v>46232</v>
      </c>
      <c r="T800" s="33"/>
      <c r="U800" s="34" t="str">
        <f>IFERROR(_xlfn.XLOOKUP(E800,[1]EMPREENDIMENTO!C:C,[1]EMPREENDIMENTO!D:D),"")</f>
        <v>0a51574a-74b0-e811-9b21-80c16e075108</v>
      </c>
    </row>
    <row r="801" spans="1:21" hidden="1" x14ac:dyDescent="0.35">
      <c r="A801" s="28" t="str">
        <f>IFERROR(_xlfn.XLOOKUP(C801,[1]DIRETORIA!C:C,[1]DIRETORIA!A:A),"-")</f>
        <v>DIR. COM E CRED RJ</v>
      </c>
      <c r="B801" s="28" t="str">
        <f>IFERROR(_xlfn.XLOOKUP(C801,[1]DIRETORIA!C:C,[1]DIRETORIA!B:B),"-")</f>
        <v>GST. COM RJ1</v>
      </c>
      <c r="C801" s="28" t="str">
        <f>IFERROR(_xlfn.XLOOKUP(E801,[1]EMPREENDIMENTO!C:C,[1]EMPREENDIMENTO!A:A),"-")</f>
        <v>RIO DE JANEIRO</v>
      </c>
      <c r="D801" s="28" t="s">
        <v>29</v>
      </c>
      <c r="E801" s="28" t="s">
        <v>1510</v>
      </c>
      <c r="F801" s="28" t="s">
        <v>31</v>
      </c>
      <c r="G801" s="28" t="s">
        <v>1511</v>
      </c>
      <c r="H801" s="28">
        <v>46099</v>
      </c>
      <c r="I801" s="29">
        <f>IFERROR(_xlfn.XLOOKUP(E801,[1]EMPREENDIMENTO!C:C,[1]EMPREENDIMENTO!E:E),"0")</f>
        <v>320</v>
      </c>
      <c r="J801" s="30"/>
      <c r="K801" s="28" t="s">
        <v>164</v>
      </c>
      <c r="L801" s="31">
        <v>46219</v>
      </c>
      <c r="M801" s="32">
        <v>85132999</v>
      </c>
      <c r="N801" s="32">
        <v>91264128</v>
      </c>
      <c r="O801" s="32">
        <v>90092122</v>
      </c>
      <c r="P801" s="28" t="s">
        <v>34</v>
      </c>
      <c r="Q801" s="28" t="s">
        <v>1512</v>
      </c>
      <c r="R801" s="30">
        <v>46223</v>
      </c>
      <c r="S801" s="30">
        <v>46220</v>
      </c>
      <c r="T801" s="33"/>
      <c r="U801" s="34" t="str">
        <f>IFERROR(_xlfn.XLOOKUP(E801,[1]EMPREENDIMENTO!C:C,[1]EMPREENDIMENTO!D:D),"")</f>
        <v>7bd87bd3-6072-e911-b1cd-009c02b0cb58</v>
      </c>
    </row>
    <row r="802" spans="1:21" hidden="1" x14ac:dyDescent="0.35">
      <c r="A802" s="28" t="str">
        <f>IFERROR(_xlfn.XLOOKUP(C802,[1]DIRETORIA!C:C,[1]DIRETORIA!A:A),"-")</f>
        <v>DIR. COM E CRED RJ</v>
      </c>
      <c r="B802" s="28" t="str">
        <f>IFERROR(_xlfn.XLOOKUP(C802,[1]DIRETORIA!C:C,[1]DIRETORIA!B:B),"-")</f>
        <v>GST. COM RJ1</v>
      </c>
      <c r="C802" s="28" t="str">
        <f>IFERROR(_xlfn.XLOOKUP(E802,[1]EMPREENDIMENTO!C:C,[1]EMPREENDIMENTO!A:A),"-")</f>
        <v>RIO DE JANEIRO</v>
      </c>
      <c r="D802" s="28" t="s">
        <v>85</v>
      </c>
      <c r="E802" s="28" t="s">
        <v>1510</v>
      </c>
      <c r="F802" s="28" t="s">
        <v>36</v>
      </c>
      <c r="G802" s="28" t="s">
        <v>268</v>
      </c>
      <c r="H802" s="28">
        <v>52376</v>
      </c>
      <c r="I802" s="29">
        <f>IFERROR(_xlfn.XLOOKUP(E802,[1]EMPREENDIMENTO!C:C,[1]EMPREENDIMENTO!E:E),"0")</f>
        <v>320</v>
      </c>
      <c r="J802" s="30"/>
      <c r="K802" s="28" t="s">
        <v>164</v>
      </c>
      <c r="L802" s="31">
        <v>46219</v>
      </c>
      <c r="M802" s="32">
        <v>85132999</v>
      </c>
      <c r="N802" s="32">
        <v>91264128</v>
      </c>
      <c r="O802" s="32">
        <v>90092122</v>
      </c>
      <c r="P802" s="28" t="s">
        <v>34</v>
      </c>
      <c r="Q802" s="28" t="s">
        <v>1512</v>
      </c>
      <c r="R802" s="30">
        <v>46223</v>
      </c>
      <c r="S802" s="30">
        <v>46220</v>
      </c>
      <c r="T802" s="33"/>
      <c r="U802" s="34" t="str">
        <f>IFERROR(_xlfn.XLOOKUP(E802,[1]EMPREENDIMENTO!C:C,[1]EMPREENDIMENTO!D:D),"")</f>
        <v>7bd87bd3-6072-e911-b1cd-009c02b0cb58</v>
      </c>
    </row>
    <row r="803" spans="1:21" hidden="1" x14ac:dyDescent="0.35">
      <c r="A803" s="28" t="str">
        <f>IFERROR(_xlfn.XLOOKUP(C803,[1]DIRETORIA!C:C,[1]DIRETORIA!A:A),"-")</f>
        <v>DIR. COM E CRED RJ</v>
      </c>
      <c r="B803" s="28" t="str">
        <f>IFERROR(_xlfn.XLOOKUP(C803,[1]DIRETORIA!C:C,[1]DIRETORIA!B:B),"-")</f>
        <v>GST. COM RJ1</v>
      </c>
      <c r="C803" s="28" t="str">
        <f>IFERROR(_xlfn.XLOOKUP(E803,[1]EMPREENDIMENTO!C:C,[1]EMPREENDIMENTO!A:A),"-")</f>
        <v>RIO DE JANEIRO</v>
      </c>
      <c r="D803" s="28" t="s">
        <v>85</v>
      </c>
      <c r="E803" s="28" t="s">
        <v>1510</v>
      </c>
      <c r="F803" s="28" t="s">
        <v>39</v>
      </c>
      <c r="G803" s="28" t="s">
        <v>268</v>
      </c>
      <c r="H803" s="28">
        <v>52377</v>
      </c>
      <c r="I803" s="29">
        <f>IFERROR(_xlfn.XLOOKUP(E803,[1]EMPREENDIMENTO!C:C,[1]EMPREENDIMENTO!E:E),"0")</f>
        <v>320</v>
      </c>
      <c r="J803" s="30"/>
      <c r="K803" s="28" t="s">
        <v>164</v>
      </c>
      <c r="L803" s="31">
        <v>46219</v>
      </c>
      <c r="M803" s="32">
        <v>85132999</v>
      </c>
      <c r="N803" s="32">
        <v>91264128</v>
      </c>
      <c r="O803" s="32">
        <v>90092122</v>
      </c>
      <c r="P803" s="28" t="s">
        <v>34</v>
      </c>
      <c r="Q803" s="28" t="s">
        <v>1512</v>
      </c>
      <c r="R803" s="30">
        <v>46223</v>
      </c>
      <c r="S803" s="30">
        <v>46220</v>
      </c>
      <c r="T803" s="33"/>
      <c r="U803" s="34" t="str">
        <f>IFERROR(_xlfn.XLOOKUP(E803,[1]EMPREENDIMENTO!C:C,[1]EMPREENDIMENTO!D:D),"")</f>
        <v>7bd87bd3-6072-e911-b1cd-009c02b0cb58</v>
      </c>
    </row>
    <row r="804" spans="1:21" hidden="1" x14ac:dyDescent="0.35">
      <c r="A804" s="28" t="str">
        <f>IFERROR(_xlfn.XLOOKUP(C804,[1]DIRETORIA!C:C,[1]DIRETORIA!A:A),"-")</f>
        <v>DIR. COM E CRED SUL</v>
      </c>
      <c r="B804" s="28" t="str">
        <f>IFERROR(_xlfn.XLOOKUP(C804,[1]DIRETORIA!C:C,[1]DIRETORIA!B:B),"-")</f>
        <v>GST. COM LONDRINA</v>
      </c>
      <c r="C804" s="28" t="str">
        <f>IFERROR(_xlfn.XLOOKUP(E804,[1]EMPREENDIMENTO!C:C,[1]EMPREENDIMENTO!A:A),"-")</f>
        <v>MARINGÁ</v>
      </c>
      <c r="D804" s="28" t="s">
        <v>29</v>
      </c>
      <c r="E804" s="28" t="s">
        <v>1513</v>
      </c>
      <c r="F804" s="28" t="s">
        <v>31</v>
      </c>
      <c r="G804" s="28" t="s">
        <v>1514</v>
      </c>
      <c r="H804" s="28">
        <v>43950</v>
      </c>
      <c r="I804" s="29">
        <f>IFERROR(_xlfn.XLOOKUP(E804,[1]EMPREENDIMENTO!C:C,[1]EMPREENDIMENTO!E:E),"0")</f>
        <v>320</v>
      </c>
      <c r="J804" s="30"/>
      <c r="K804" s="28" t="s">
        <v>164</v>
      </c>
      <c r="L804" s="31">
        <v>45812</v>
      </c>
      <c r="M804" s="32">
        <v>153706300</v>
      </c>
      <c r="N804" s="32">
        <v>166434000</v>
      </c>
      <c r="O804" s="32">
        <v>165754700</v>
      </c>
      <c r="P804" s="28" t="s">
        <v>34</v>
      </c>
      <c r="Q804" s="28" t="s">
        <v>1515</v>
      </c>
      <c r="R804" s="30">
        <v>45820</v>
      </c>
      <c r="S804" s="30">
        <v>45812</v>
      </c>
      <c r="T804" s="33"/>
      <c r="U804" s="34" t="str">
        <f>IFERROR(_xlfn.XLOOKUP(E804,[1]EMPREENDIMENTO!C:C,[1]EMPREENDIMENTO!D:D),"")</f>
        <v>dded293b-6897-ed11-879a-80c16e075108</v>
      </c>
    </row>
    <row r="805" spans="1:21" hidden="1" x14ac:dyDescent="0.35">
      <c r="A805" s="28" t="str">
        <f>IFERROR(_xlfn.XLOOKUP(C805,[1]DIRETORIA!C:C,[1]DIRETORIA!A:A),"-")</f>
        <v>DIR. COM E CRED SUL</v>
      </c>
      <c r="B805" s="28" t="str">
        <f>IFERROR(_xlfn.XLOOKUP(C805,[1]DIRETORIA!C:C,[1]DIRETORIA!B:B),"-")</f>
        <v>GST. COM LONDRINA</v>
      </c>
      <c r="C805" s="28" t="str">
        <f>IFERROR(_xlfn.XLOOKUP(E805,[1]EMPREENDIMENTO!C:C,[1]EMPREENDIMENTO!A:A),"-")</f>
        <v>MARINGÁ</v>
      </c>
      <c r="D805" s="28" t="s">
        <v>85</v>
      </c>
      <c r="E805" s="28" t="s">
        <v>1513</v>
      </c>
      <c r="F805" s="28" t="s">
        <v>36</v>
      </c>
      <c r="G805" s="28" t="s">
        <v>1516</v>
      </c>
      <c r="H805" s="28">
        <v>54759</v>
      </c>
      <c r="I805" s="29">
        <f>IFERROR(_xlfn.XLOOKUP(E805,[1]EMPREENDIMENTO!C:C,[1]EMPREENDIMENTO!E:E),"0")</f>
        <v>320</v>
      </c>
      <c r="J805" s="30"/>
      <c r="K805" s="28" t="s">
        <v>164</v>
      </c>
      <c r="L805" s="31">
        <v>45812</v>
      </c>
      <c r="M805" s="32">
        <v>153706300</v>
      </c>
      <c r="N805" s="32">
        <v>166434000</v>
      </c>
      <c r="O805" s="32">
        <v>165754700</v>
      </c>
      <c r="P805" s="28" t="s">
        <v>34</v>
      </c>
      <c r="Q805" s="28" t="s">
        <v>1515</v>
      </c>
      <c r="R805" s="30">
        <v>45820</v>
      </c>
      <c r="S805" s="30">
        <v>45812</v>
      </c>
      <c r="T805" s="33"/>
      <c r="U805" s="34" t="str">
        <f>IFERROR(_xlfn.XLOOKUP(E805,[1]EMPREENDIMENTO!C:C,[1]EMPREENDIMENTO!D:D),"")</f>
        <v>dded293b-6897-ed11-879a-80c16e075108</v>
      </c>
    </row>
    <row r="806" spans="1:21" hidden="1" x14ac:dyDescent="0.35">
      <c r="A806" s="28" t="str">
        <f>IFERROR(_xlfn.XLOOKUP(C806,[1]DIRETORIA!C:C,[1]DIRETORIA!A:A),"-")</f>
        <v>DIR. COM E CRED NE</v>
      </c>
      <c r="B806" s="28" t="str">
        <f>IFERROR(_xlfn.XLOOKUP(C806,[1]DIRETORIA!C:C,[1]DIRETORIA!B:B),"-")</f>
        <v>GST. COM NE1 (BA 1)</v>
      </c>
      <c r="C806" s="28" t="str">
        <f>IFERROR(_xlfn.XLOOKUP(E806,[1]EMPREENDIMENTO!C:C,[1]EMPREENDIMENTO!A:A),"-")</f>
        <v>SALVADOR</v>
      </c>
      <c r="D806" s="28" t="s">
        <v>85</v>
      </c>
      <c r="E806" s="28" t="s">
        <v>1517</v>
      </c>
      <c r="F806" s="28" t="s">
        <v>42</v>
      </c>
      <c r="G806" s="28" t="s">
        <v>1518</v>
      </c>
      <c r="H806" s="28">
        <v>29850</v>
      </c>
      <c r="I806" s="29">
        <f>IFERROR(_xlfn.XLOOKUP(E806,[1]EMPREENDIMENTO!C:C,[1]EMPREENDIMENTO!E:E),"0")</f>
        <v>800</v>
      </c>
      <c r="J806" s="30"/>
      <c r="K806" s="28" t="s">
        <v>33</v>
      </c>
      <c r="L806" s="31">
        <v>46150</v>
      </c>
      <c r="M806" s="32">
        <v>248475328</v>
      </c>
      <c r="N806" s="32">
        <v>275971918</v>
      </c>
      <c r="O806" s="32">
        <v>275836700</v>
      </c>
      <c r="P806" s="28" t="s">
        <v>34</v>
      </c>
      <c r="Q806" s="28"/>
      <c r="R806" s="30"/>
      <c r="S806" s="30">
        <v>46153</v>
      </c>
      <c r="T806" s="33"/>
      <c r="U806" s="34" t="str">
        <f>IFERROR(_xlfn.XLOOKUP(E806,[1]EMPREENDIMENTO!C:C,[1]EMPREENDIMENTO!D:D),"")</f>
        <v>5EB42AB0-AB82-EB11-8864-0050568AA20F</v>
      </c>
    </row>
    <row r="807" spans="1:21" hidden="1" x14ac:dyDescent="0.35">
      <c r="A807" s="28" t="str">
        <f>IFERROR(_xlfn.XLOOKUP(C807,[1]DIRETORIA!C:C,[1]DIRETORIA!A:A),"-")</f>
        <v>DIR. COM E CRED NE</v>
      </c>
      <c r="B807" s="28" t="str">
        <f>IFERROR(_xlfn.XLOOKUP(C807,[1]DIRETORIA!C:C,[1]DIRETORIA!B:B),"-")</f>
        <v>GST. COM NE 7 (PI+MA)</v>
      </c>
      <c r="C807" s="28" t="str">
        <f>IFERROR(_xlfn.XLOOKUP(E807,[1]EMPREENDIMENTO!C:C,[1]EMPREENDIMENTO!A:A),"-")</f>
        <v>SÃO LUÍS</v>
      </c>
      <c r="D807" s="28" t="s">
        <v>29</v>
      </c>
      <c r="E807" s="28" t="s">
        <v>1519</v>
      </c>
      <c r="F807" s="28" t="s">
        <v>31</v>
      </c>
      <c r="G807" s="28" t="s">
        <v>1520</v>
      </c>
      <c r="H807" s="28">
        <v>35881</v>
      </c>
      <c r="I807" s="29">
        <f>IFERROR(_xlfn.XLOOKUP(E807,[1]EMPREENDIMENTO!C:C,[1]EMPREENDIMENTO!E:E),"0")</f>
        <v>312</v>
      </c>
      <c r="J807" s="30"/>
      <c r="K807" s="28" t="s">
        <v>33</v>
      </c>
      <c r="L807" s="31">
        <v>45712</v>
      </c>
      <c r="M807" s="32">
        <v>92563000</v>
      </c>
      <c r="N807" s="32">
        <v>95577000</v>
      </c>
      <c r="O807" s="32">
        <v>95577000</v>
      </c>
      <c r="P807" s="28" t="s">
        <v>34</v>
      </c>
      <c r="Q807" s="28"/>
      <c r="R807" s="30"/>
      <c r="S807" s="30">
        <v>45713</v>
      </c>
      <c r="T807" s="33"/>
      <c r="U807" s="34" t="str">
        <f>IFERROR(_xlfn.XLOOKUP(E807,[1]EMPREENDIMENTO!C:C,[1]EMPREENDIMENTO!D:D),"")</f>
        <v>882d168f-4e78-e911-b1cd-009c02b0cb58</v>
      </c>
    </row>
    <row r="808" spans="1:21" hidden="1" x14ac:dyDescent="0.35">
      <c r="A808" s="28" t="str">
        <f>IFERROR(_xlfn.XLOOKUP(C808,[1]DIRETORIA!C:C,[1]DIRETORIA!A:A),"-")</f>
        <v>DIR. COM E CRED NE</v>
      </c>
      <c r="B808" s="28" t="str">
        <f>IFERROR(_xlfn.XLOOKUP(C808,[1]DIRETORIA!C:C,[1]DIRETORIA!B:B),"-")</f>
        <v>GST. COM NE 7 (PI+MA)</v>
      </c>
      <c r="C808" s="28" t="str">
        <f>IFERROR(_xlfn.XLOOKUP(E808,[1]EMPREENDIMENTO!C:C,[1]EMPREENDIMENTO!A:A),"-")</f>
        <v>SÃO LUÍS</v>
      </c>
      <c r="D808" s="28" t="s">
        <v>29</v>
      </c>
      <c r="E808" s="28" t="s">
        <v>1519</v>
      </c>
      <c r="F808" s="28" t="s">
        <v>36</v>
      </c>
      <c r="G808" s="28" t="s">
        <v>1521</v>
      </c>
      <c r="H808" s="28">
        <v>54572</v>
      </c>
      <c r="I808" s="29">
        <f>IFERROR(_xlfn.XLOOKUP(E808,[1]EMPREENDIMENTO!C:C,[1]EMPREENDIMENTO!E:E),"0")</f>
        <v>312</v>
      </c>
      <c r="J808" s="30"/>
      <c r="K808" s="28" t="s">
        <v>33</v>
      </c>
      <c r="L808" s="31">
        <v>45712</v>
      </c>
      <c r="M808" s="32">
        <v>92563000</v>
      </c>
      <c r="N808" s="32">
        <v>95577000</v>
      </c>
      <c r="O808" s="32">
        <v>95577000</v>
      </c>
      <c r="P808" s="28" t="s">
        <v>34</v>
      </c>
      <c r="Q808" s="28"/>
      <c r="R808" s="30"/>
      <c r="S808" s="30">
        <v>45713</v>
      </c>
      <c r="T808" s="33"/>
      <c r="U808" s="34" t="str">
        <f>IFERROR(_xlfn.XLOOKUP(E808,[1]EMPREENDIMENTO!C:C,[1]EMPREENDIMENTO!D:D),"")</f>
        <v>882d168f-4e78-e911-b1cd-009c02b0cb58</v>
      </c>
    </row>
    <row r="809" spans="1:21" hidden="1" x14ac:dyDescent="0.35">
      <c r="A809" s="28" t="str">
        <f>IFERROR(_xlfn.XLOOKUP(C809,[1]DIRETORIA!C:C,[1]DIRETORIA!A:A),"-")</f>
        <v>DIR. COM E CRED RJ</v>
      </c>
      <c r="B809" s="28" t="str">
        <f>IFERROR(_xlfn.XLOOKUP(C809,[1]DIRETORIA!C:C,[1]DIRETORIA!B:B),"-")</f>
        <v>GST. COM RJ2</v>
      </c>
      <c r="C809" s="28" t="str">
        <f>IFERROR(_xlfn.XLOOKUP(E809,[1]EMPREENDIMENTO!C:C,[1]EMPREENDIMENTO!A:A),"-")</f>
        <v>SÃO GONÇALO</v>
      </c>
      <c r="D809" s="28" t="s">
        <v>29</v>
      </c>
      <c r="E809" s="28" t="s">
        <v>1522</v>
      </c>
      <c r="F809" s="28" t="s">
        <v>31</v>
      </c>
      <c r="G809" s="28" t="s">
        <v>1523</v>
      </c>
      <c r="H809" s="28">
        <v>13173</v>
      </c>
      <c r="I809" s="29">
        <f>IFERROR(_xlfn.XLOOKUP(E809,[1]EMPREENDIMENTO!C:C,[1]EMPREENDIMENTO!E:E),"0")</f>
        <v>504</v>
      </c>
      <c r="J809" s="30"/>
      <c r="K809" s="28" t="s">
        <v>33</v>
      </c>
      <c r="L809" s="31">
        <v>46163</v>
      </c>
      <c r="M809" s="32">
        <v>148517024</v>
      </c>
      <c r="N809" s="32">
        <v>165322403</v>
      </c>
      <c r="O809" s="32">
        <v>155668024</v>
      </c>
      <c r="P809" s="28" t="s">
        <v>2</v>
      </c>
      <c r="Q809" s="28" t="s">
        <v>1524</v>
      </c>
      <c r="R809" s="30">
        <v>46290</v>
      </c>
      <c r="S809" s="30"/>
      <c r="T809" s="33"/>
      <c r="U809" s="34" t="str">
        <f>IFERROR(_xlfn.XLOOKUP(E809,[1]EMPREENDIMENTO!C:C,[1]EMPREENDIMENTO!D:D),"")</f>
        <v>0a722232-a253-e811-a558-009c02b0cb58</v>
      </c>
    </row>
    <row r="810" spans="1:21" hidden="1" x14ac:dyDescent="0.35">
      <c r="A810" s="28" t="str">
        <f>IFERROR(_xlfn.XLOOKUP(C810,[1]DIRETORIA!C:C,[1]DIRETORIA!A:A),"-")</f>
        <v>DIR. COM E CRED RJ</v>
      </c>
      <c r="B810" s="28" t="str">
        <f>IFERROR(_xlfn.XLOOKUP(C810,[1]DIRETORIA!C:C,[1]DIRETORIA!B:B),"-")</f>
        <v>GST. COM RJ2</v>
      </c>
      <c r="C810" s="28" t="str">
        <f>IFERROR(_xlfn.XLOOKUP(E810,[1]EMPREENDIMENTO!C:C,[1]EMPREENDIMENTO!A:A),"-")</f>
        <v>SÃO GONÇALO</v>
      </c>
      <c r="D810" s="28" t="s">
        <v>85</v>
      </c>
      <c r="E810" s="28" t="s">
        <v>1522</v>
      </c>
      <c r="F810" s="28" t="s">
        <v>36</v>
      </c>
      <c r="G810" s="28" t="s">
        <v>268</v>
      </c>
      <c r="H810" s="28" t="s">
        <v>268</v>
      </c>
      <c r="I810" s="29">
        <f>IFERROR(_xlfn.XLOOKUP(E810,[1]EMPREENDIMENTO!C:C,[1]EMPREENDIMENTO!E:E),"0")</f>
        <v>504</v>
      </c>
      <c r="J810" s="30"/>
      <c r="K810" s="28" t="s">
        <v>33</v>
      </c>
      <c r="L810" s="31">
        <v>46163</v>
      </c>
      <c r="M810" s="32">
        <v>148517024</v>
      </c>
      <c r="N810" s="32">
        <v>165322403</v>
      </c>
      <c r="O810" s="32">
        <v>155668024</v>
      </c>
      <c r="P810" s="28" t="s">
        <v>2</v>
      </c>
      <c r="Q810" s="28" t="s">
        <v>1524</v>
      </c>
      <c r="R810" s="30">
        <v>46290</v>
      </c>
      <c r="S810" s="30"/>
      <c r="T810" s="33"/>
      <c r="U810" s="34" t="str">
        <f>IFERROR(_xlfn.XLOOKUP(E810,[1]EMPREENDIMENTO!C:C,[1]EMPREENDIMENTO!D:D),"")</f>
        <v>0a722232-a253-e811-a558-009c02b0cb58</v>
      </c>
    </row>
    <row r="811" spans="1:21" hidden="1" x14ac:dyDescent="0.35">
      <c r="A811" s="28" t="str">
        <f>IFERROR(_xlfn.XLOOKUP(C811,[1]DIRETORIA!C:C,[1]DIRETORIA!A:A),"-")</f>
        <v>DIR. COM E CRED SUL</v>
      </c>
      <c r="B811" s="28" t="str">
        <f>IFERROR(_xlfn.XLOOKUP(C811,[1]DIRETORIA!C:C,[1]DIRETORIA!B:B),"-")</f>
        <v>GST. COM RS SUL</v>
      </c>
      <c r="C811" s="28" t="str">
        <f>IFERROR(_xlfn.XLOOKUP(E811,[1]EMPREENDIMENTO!C:C,[1]EMPREENDIMENTO!A:A),"-")</f>
        <v>PORTO ALEGRE</v>
      </c>
      <c r="D811" s="28" t="s">
        <v>85</v>
      </c>
      <c r="E811" s="28" t="s">
        <v>1525</v>
      </c>
      <c r="F811" s="28" t="s">
        <v>42</v>
      </c>
      <c r="G811" s="28" t="s">
        <v>1526</v>
      </c>
      <c r="H811" s="28">
        <v>50221</v>
      </c>
      <c r="I811" s="29">
        <f>IFERROR(_xlfn.XLOOKUP(E811,[1]EMPREENDIMENTO!C:C,[1]EMPREENDIMENTO!E:E),"0")</f>
        <v>280</v>
      </c>
      <c r="J811" s="30"/>
      <c r="K811" s="28" t="s">
        <v>33</v>
      </c>
      <c r="L811" s="31">
        <v>45518</v>
      </c>
      <c r="M811" s="32">
        <v>77218000</v>
      </c>
      <c r="N811" s="32">
        <v>77218000</v>
      </c>
      <c r="O811" s="32">
        <v>68924000</v>
      </c>
      <c r="P811" s="28" t="s">
        <v>34</v>
      </c>
      <c r="Q811" s="28"/>
      <c r="R811" s="30"/>
      <c r="S811" s="30">
        <v>45518</v>
      </c>
      <c r="T811" s="33"/>
      <c r="U811" s="34" t="str">
        <f>IFERROR(_xlfn.XLOOKUP(E811,[1]EMPREENDIMENTO!C:C,[1]EMPREENDIMENTO!D:D),"")</f>
        <v>50958086-D6D5-E711-B989-80C16E075108</v>
      </c>
    </row>
    <row r="812" spans="1:21" hidden="1" x14ac:dyDescent="0.35">
      <c r="A812" s="28" t="str">
        <f>IFERROR(_xlfn.XLOOKUP(C812,[1]DIRETORIA!C:C,[1]DIRETORIA!A:A),"-")</f>
        <v>DIR. COM E CRED NE</v>
      </c>
      <c r="B812" s="28" t="str">
        <f>IFERROR(_xlfn.XLOOKUP(C812,[1]DIRETORIA!C:C,[1]DIRETORIA!B:B),"-")</f>
        <v>GST. COM NE 7 (PI+MA)</v>
      </c>
      <c r="C812" s="28" t="str">
        <f>IFERROR(_xlfn.XLOOKUP(E812,[1]EMPREENDIMENTO!C:C,[1]EMPREENDIMENTO!A:A),"-")</f>
        <v>SÃO LUÍS</v>
      </c>
      <c r="D812" s="28" t="s">
        <v>85</v>
      </c>
      <c r="E812" s="28" t="s">
        <v>1527</v>
      </c>
      <c r="F812" s="28" t="s">
        <v>42</v>
      </c>
      <c r="G812" s="28" t="s">
        <v>1528</v>
      </c>
      <c r="H812" s="28">
        <v>45097</v>
      </c>
      <c r="I812" s="29">
        <f>IFERROR(_xlfn.XLOOKUP(E812,[1]EMPREENDIMENTO!C:C,[1]EMPREENDIMENTO!E:E),"0")</f>
        <v>208</v>
      </c>
      <c r="J812" s="30"/>
      <c r="K812" s="28" t="s">
        <v>33</v>
      </c>
      <c r="L812" s="31">
        <v>45702</v>
      </c>
      <c r="M812" s="32">
        <v>49686000</v>
      </c>
      <c r="N812" s="32">
        <v>53326000</v>
      </c>
      <c r="O812" s="32">
        <v>51061000</v>
      </c>
      <c r="P812" s="28" t="s">
        <v>34</v>
      </c>
      <c r="Q812" s="28">
        <v>535853</v>
      </c>
      <c r="R812" s="30">
        <v>45584</v>
      </c>
      <c r="S812" s="30">
        <v>45714</v>
      </c>
      <c r="T812" s="33"/>
      <c r="U812" s="34" t="str">
        <f>IFERROR(_xlfn.XLOOKUP(E812,[1]EMPREENDIMENTO!C:C,[1]EMPREENDIMENTO!D:D),"")</f>
        <v>97249464-6A81-ED11-879A-80C16E075108</v>
      </c>
    </row>
    <row r="813" spans="1:21" hidden="1" x14ac:dyDescent="0.35">
      <c r="A813" s="28" t="str">
        <f>IFERROR(_xlfn.XLOOKUP(C813,[1]DIRETORIA!C:C,[1]DIRETORIA!A:A),"-")</f>
        <v>DIR. COM E CRED CO E AM</v>
      </c>
      <c r="B813" s="28" t="str">
        <f>IFERROR(_xlfn.XLOOKUP(C813,[1]DIRETORIA!C:C,[1]DIRETORIA!B:B),"-")</f>
        <v>GST. COM AM</v>
      </c>
      <c r="C813" s="28" t="str">
        <f>IFERROR(_xlfn.XLOOKUP(E813,[1]EMPREENDIMENTO!C:C,[1]EMPREENDIMENTO!A:A),"-")</f>
        <v>MANAUS</v>
      </c>
      <c r="D813" s="28" t="s">
        <v>29</v>
      </c>
      <c r="E813" s="28" t="s">
        <v>1529</v>
      </c>
      <c r="F813" s="28" t="s">
        <v>31</v>
      </c>
      <c r="G813" s="28" t="s">
        <v>1530</v>
      </c>
      <c r="H813" s="28">
        <v>44535</v>
      </c>
      <c r="I813" s="29">
        <f>IFERROR(_xlfn.XLOOKUP(E813,[1]EMPREENDIMENTO!C:C,[1]EMPREENDIMENTO!E:E),"0")</f>
        <v>320</v>
      </c>
      <c r="J813" s="30"/>
      <c r="K813" s="28" t="s">
        <v>33</v>
      </c>
      <c r="L813" s="31">
        <v>46197</v>
      </c>
      <c r="M813" s="32">
        <v>96330043</v>
      </c>
      <c r="N813" s="32">
        <v>105930043</v>
      </c>
      <c r="O813" s="32">
        <v>100994000</v>
      </c>
      <c r="P813" s="28" t="s">
        <v>34</v>
      </c>
      <c r="Q813" s="28" t="s">
        <v>1531</v>
      </c>
      <c r="R813" s="30">
        <v>46216</v>
      </c>
      <c r="S813" s="30">
        <v>46199</v>
      </c>
      <c r="T813" s="33"/>
      <c r="U813" s="34" t="str">
        <f>IFERROR(_xlfn.XLOOKUP(E813,[1]EMPREENDIMENTO!C:C,[1]EMPREENDIMENTO!D:D),"")</f>
        <v>46b1d39e-6d62-e711-91b2-80c16e075108</v>
      </c>
    </row>
    <row r="814" spans="1:21" hidden="1" x14ac:dyDescent="0.35">
      <c r="A814" s="28" t="str">
        <f>IFERROR(_xlfn.XLOOKUP(C814,[1]DIRETORIA!C:C,[1]DIRETORIA!A:A),"-")</f>
        <v>DIR. COM E CRED CO E AM</v>
      </c>
      <c r="B814" s="28" t="str">
        <f>IFERROR(_xlfn.XLOOKUP(C814,[1]DIRETORIA!C:C,[1]DIRETORIA!B:B),"-")</f>
        <v>GST. COM AM</v>
      </c>
      <c r="C814" s="28" t="str">
        <f>IFERROR(_xlfn.XLOOKUP(E814,[1]EMPREENDIMENTO!C:C,[1]EMPREENDIMENTO!A:A),"-")</f>
        <v>MANAUS</v>
      </c>
      <c r="D814" s="28" t="s">
        <v>85</v>
      </c>
      <c r="E814" s="28" t="s">
        <v>1529</v>
      </c>
      <c r="F814" s="28" t="s">
        <v>36</v>
      </c>
      <c r="G814" s="28" t="s">
        <v>1532</v>
      </c>
      <c r="H814" s="28">
        <v>60368</v>
      </c>
      <c r="I814" s="29">
        <f>IFERROR(_xlfn.XLOOKUP(E814,[1]EMPREENDIMENTO!C:C,[1]EMPREENDIMENTO!E:E),"0")</f>
        <v>320</v>
      </c>
      <c r="J814" s="30"/>
      <c r="K814" s="28" t="s">
        <v>33</v>
      </c>
      <c r="L814" s="31">
        <v>46197</v>
      </c>
      <c r="M814" s="32">
        <v>96330043</v>
      </c>
      <c r="N814" s="32">
        <v>105930043</v>
      </c>
      <c r="O814" s="32">
        <v>100994000</v>
      </c>
      <c r="P814" s="28" t="s">
        <v>34</v>
      </c>
      <c r="Q814" s="28" t="s">
        <v>1531</v>
      </c>
      <c r="R814" s="30">
        <v>46216</v>
      </c>
      <c r="S814" s="30">
        <v>46199</v>
      </c>
      <c r="T814" s="33"/>
      <c r="U814" s="34" t="str">
        <f>IFERROR(_xlfn.XLOOKUP(E814,[1]EMPREENDIMENTO!C:C,[1]EMPREENDIMENTO!D:D),"")</f>
        <v>46b1d39e-6d62-e711-91b2-80c16e075108</v>
      </c>
    </row>
    <row r="815" spans="1:21" x14ac:dyDescent="0.35">
      <c r="A815" s="28" t="str">
        <f>IFERROR(_xlfn.XLOOKUP(C815,[1]DIRETORIA!C:C,[1]DIRETORIA!A:A),"-")</f>
        <v>DIR. COM E CRED SPI CP</v>
      </c>
      <c r="B815" s="28" t="str">
        <f>IFERROR(_xlfn.XLOOKUP(C815,[1]DIRETORIA!C:C,[1]DIRETORIA!B:B),"-")</f>
        <v>GST. COM CP2</v>
      </c>
      <c r="C815" s="28" t="str">
        <f>IFERROR(_xlfn.XLOOKUP(E815,[1]EMPREENDIMENTO!C:C,[1]EMPREENDIMENTO!A:A),"-")</f>
        <v>JUNDIAÍ</v>
      </c>
      <c r="D815" s="28" t="s">
        <v>29</v>
      </c>
      <c r="E815" s="28" t="s">
        <v>1533</v>
      </c>
      <c r="F815" s="28" t="s">
        <v>42</v>
      </c>
      <c r="G815" s="28" t="s">
        <v>1534</v>
      </c>
      <c r="H815" s="28">
        <v>50619</v>
      </c>
      <c r="I815" s="29">
        <f>IFERROR(_xlfn.XLOOKUP(E815,[1]EMPREENDIMENTO!C:C,[1]EMPREENDIMENTO!E:E),"0")</f>
        <v>306</v>
      </c>
      <c r="J815" s="30">
        <v>46720</v>
      </c>
      <c r="K815" s="28" t="s">
        <v>164</v>
      </c>
      <c r="L815" s="31">
        <v>45813</v>
      </c>
      <c r="M815" s="32">
        <v>107823450</v>
      </c>
      <c r="N815" s="32">
        <v>128327000</v>
      </c>
      <c r="O815" s="32">
        <v>111741000</v>
      </c>
      <c r="P815" s="28" t="s">
        <v>34</v>
      </c>
      <c r="Q815" s="28" t="s">
        <v>1535</v>
      </c>
      <c r="R815" s="30">
        <v>45827</v>
      </c>
      <c r="S815" s="30">
        <v>45813</v>
      </c>
      <c r="T815" s="33"/>
      <c r="U815" s="34" t="str">
        <f>IFERROR(_xlfn.XLOOKUP(E815,[1]EMPREENDIMENTO!C:C,[1]EMPREENDIMENTO!D:D),"")</f>
        <v>42f8f782-f0fe-ec11-b1ad-005056856875</v>
      </c>
    </row>
    <row r="816" spans="1:21" hidden="1" x14ac:dyDescent="0.35">
      <c r="A816" s="28" t="str">
        <f>IFERROR(_xlfn.XLOOKUP(C816,[1]DIRETORIA!C:C,[1]DIRETORIA!A:A),"-")</f>
        <v>DIR. COM E CRED NE</v>
      </c>
      <c r="B816" s="28" t="str">
        <f>IFERROR(_xlfn.XLOOKUP(C816,[1]DIRETORIA!C:C,[1]DIRETORIA!B:B),"-")</f>
        <v>GST. COM NE 7 (PI+MA)</v>
      </c>
      <c r="C816" s="28" t="str">
        <f>IFERROR(_xlfn.XLOOKUP(E816,[1]EMPREENDIMENTO!C:C,[1]EMPREENDIMENTO!A:A),"-")</f>
        <v>SÃO LUÍS</v>
      </c>
      <c r="D816" s="28" t="s">
        <v>29</v>
      </c>
      <c r="E816" s="28" t="s">
        <v>1536</v>
      </c>
      <c r="F816" s="28" t="s">
        <v>42</v>
      </c>
      <c r="G816" s="28" t="s">
        <v>1537</v>
      </c>
      <c r="H816" s="28">
        <v>44854</v>
      </c>
      <c r="I816" s="29">
        <f>IFERROR(_xlfn.XLOOKUP(E816,[1]EMPREENDIMENTO!C:C,[1]EMPREENDIMENTO!E:E),"0")</f>
        <v>324</v>
      </c>
      <c r="J816" s="30"/>
      <c r="K816" s="28" t="s">
        <v>164</v>
      </c>
      <c r="L816" s="31">
        <v>46191</v>
      </c>
      <c r="M816" s="32">
        <v>91230224</v>
      </c>
      <c r="N816" s="32">
        <v>97393688</v>
      </c>
      <c r="O816" s="32">
        <v>96882263</v>
      </c>
      <c r="P816" s="28" t="s">
        <v>34</v>
      </c>
      <c r="Q816" s="28" t="s">
        <v>1538</v>
      </c>
      <c r="R816" s="30">
        <v>46195</v>
      </c>
      <c r="S816" s="30">
        <v>46195</v>
      </c>
      <c r="T816" s="33"/>
      <c r="U816" s="34" t="str">
        <f>IFERROR(_xlfn.XLOOKUP(E816,[1]EMPREENDIMENTO!C:C,[1]EMPREENDIMENTO!D:D),"")</f>
        <v>2f8fffc2-e544-ed11-985b-009c02b0cb58</v>
      </c>
    </row>
    <row r="817" spans="1:21" hidden="1" x14ac:dyDescent="0.35">
      <c r="A817" s="28" t="str">
        <f>IFERROR(_xlfn.XLOOKUP(C817,[1]DIRETORIA!C:C,[1]DIRETORIA!A:A),"-")</f>
        <v>DIR. COM E CRED MG E ES</v>
      </c>
      <c r="B817" s="28" t="str">
        <f>IFERROR(_xlfn.XLOOKUP(C817,[1]DIRETORIA!C:C,[1]DIRETORIA!B:B),"-")</f>
        <v>GST. COM TM</v>
      </c>
      <c r="C817" s="28" t="str">
        <f>IFERROR(_xlfn.XLOOKUP(E817,[1]EMPREENDIMENTO!C:C,[1]EMPREENDIMENTO!A:A),"-")</f>
        <v>UBERLÂNDIA</v>
      </c>
      <c r="D817" s="28" t="s">
        <v>29</v>
      </c>
      <c r="E817" s="28" t="s">
        <v>1539</v>
      </c>
      <c r="F817" s="28" t="s">
        <v>31</v>
      </c>
      <c r="G817" s="28" t="s">
        <v>1540</v>
      </c>
      <c r="H817" s="28">
        <v>50369</v>
      </c>
      <c r="I817" s="29">
        <f>IFERROR(_xlfn.XLOOKUP(E817,[1]EMPREENDIMENTO!C:C,[1]EMPREENDIMENTO!E:E),"0")</f>
        <v>480</v>
      </c>
      <c r="J817" s="30"/>
      <c r="K817" s="28" t="s">
        <v>164</v>
      </c>
      <c r="L817" s="31">
        <v>46176</v>
      </c>
      <c r="M817" s="32">
        <v>139935334</v>
      </c>
      <c r="N817" s="32">
        <v>158099132</v>
      </c>
      <c r="O817" s="32">
        <v>142795400</v>
      </c>
      <c r="P817" s="28" t="s">
        <v>34</v>
      </c>
      <c r="Q817" s="28" t="s">
        <v>1541</v>
      </c>
      <c r="R817" s="30">
        <v>46181</v>
      </c>
      <c r="S817" s="30"/>
      <c r="T817" s="33"/>
      <c r="U817" s="34" t="str">
        <f>IFERROR(_xlfn.XLOOKUP(E817,[1]EMPREENDIMENTO!C:C,[1]EMPREENDIMENTO!D:D),"")</f>
        <v>2a086cca-726f-ee11-9832-005056856875</v>
      </c>
    </row>
    <row r="818" spans="1:21" hidden="1" x14ac:dyDescent="0.35">
      <c r="A818" s="28" t="str">
        <f>IFERROR(_xlfn.XLOOKUP(C818,[1]DIRETORIA!C:C,[1]DIRETORIA!A:A),"-")</f>
        <v>DIR. COM E CRED MG E ES</v>
      </c>
      <c r="B818" s="28" t="str">
        <f>IFERROR(_xlfn.XLOOKUP(C818,[1]DIRETORIA!C:C,[1]DIRETORIA!B:B),"-")</f>
        <v>GST. COM TM</v>
      </c>
      <c r="C818" s="28" t="str">
        <f>IFERROR(_xlfn.XLOOKUP(E818,[1]EMPREENDIMENTO!C:C,[1]EMPREENDIMENTO!A:A),"-")</f>
        <v>UBERLÂNDIA</v>
      </c>
      <c r="D818" s="28" t="s">
        <v>85</v>
      </c>
      <c r="E818" s="28" t="s">
        <v>1539</v>
      </c>
      <c r="F818" s="28" t="s">
        <v>36</v>
      </c>
      <c r="G818" s="28" t="s">
        <v>1542</v>
      </c>
      <c r="H818" s="28">
        <v>54761</v>
      </c>
      <c r="I818" s="29">
        <f>IFERROR(_xlfn.XLOOKUP(E818,[1]EMPREENDIMENTO!C:C,[1]EMPREENDIMENTO!E:E),"0")</f>
        <v>480</v>
      </c>
      <c r="J818" s="30"/>
      <c r="K818" s="28" t="s">
        <v>164</v>
      </c>
      <c r="L818" s="31">
        <v>46176</v>
      </c>
      <c r="M818" s="32">
        <v>139935334</v>
      </c>
      <c r="N818" s="32">
        <v>158099132</v>
      </c>
      <c r="O818" s="32">
        <v>142795400</v>
      </c>
      <c r="P818" s="28" t="s">
        <v>34</v>
      </c>
      <c r="Q818" s="28" t="s">
        <v>1541</v>
      </c>
      <c r="R818" s="30">
        <v>46181</v>
      </c>
      <c r="S818" s="30"/>
      <c r="T818" s="33"/>
      <c r="U818" s="34" t="str">
        <f>IFERROR(_xlfn.XLOOKUP(E818,[1]EMPREENDIMENTO!C:C,[1]EMPREENDIMENTO!D:D),"")</f>
        <v>2a086cca-726f-ee11-9832-005056856875</v>
      </c>
    </row>
    <row r="819" spans="1:21" hidden="1" x14ac:dyDescent="0.35">
      <c r="A819" s="28" t="str">
        <f>IFERROR(_xlfn.XLOOKUP(C819,[1]DIRETORIA!C:C,[1]DIRETORIA!A:A),"-")</f>
        <v>DIR. COM E CRED MG E ES</v>
      </c>
      <c r="B819" s="28" t="str">
        <f>IFERROR(_xlfn.XLOOKUP(C819,[1]DIRETORIA!C:C,[1]DIRETORIA!B:B),"-")</f>
        <v>GST. COM TM</v>
      </c>
      <c r="C819" s="28" t="str">
        <f>IFERROR(_xlfn.XLOOKUP(E819,[1]EMPREENDIMENTO!C:C,[1]EMPREENDIMENTO!A:A),"-")</f>
        <v>UBERLÂNDIA</v>
      </c>
      <c r="D819" s="28" t="s">
        <v>85</v>
      </c>
      <c r="E819" s="28" t="s">
        <v>1539</v>
      </c>
      <c r="F819" s="28" t="s">
        <v>39</v>
      </c>
      <c r="G819" s="28" t="s">
        <v>268</v>
      </c>
      <c r="H819" s="28" t="s">
        <v>268</v>
      </c>
      <c r="I819" s="29">
        <f>IFERROR(_xlfn.XLOOKUP(E819,[1]EMPREENDIMENTO!C:C,[1]EMPREENDIMENTO!E:E),"0")</f>
        <v>480</v>
      </c>
      <c r="J819" s="30"/>
      <c r="K819" s="28" t="s">
        <v>164</v>
      </c>
      <c r="L819" s="31">
        <v>46176</v>
      </c>
      <c r="M819" s="32">
        <v>139935334</v>
      </c>
      <c r="N819" s="32">
        <v>158099132</v>
      </c>
      <c r="O819" s="32">
        <v>142795400</v>
      </c>
      <c r="P819" s="28" t="s">
        <v>34</v>
      </c>
      <c r="Q819" s="28" t="s">
        <v>1541</v>
      </c>
      <c r="R819" s="30">
        <v>46181</v>
      </c>
      <c r="S819" s="30"/>
      <c r="T819" s="33"/>
      <c r="U819" s="34" t="str">
        <f>IFERROR(_xlfn.XLOOKUP(E819,[1]EMPREENDIMENTO!C:C,[1]EMPREENDIMENTO!D:D),"")</f>
        <v>2a086cca-726f-ee11-9832-005056856875</v>
      </c>
    </row>
    <row r="820" spans="1:21" hidden="1" x14ac:dyDescent="0.35">
      <c r="A820" s="28" t="str">
        <f>IFERROR(_xlfn.XLOOKUP(C820,[1]DIRETORIA!C:C,[1]DIRETORIA!A:A),"-")</f>
        <v>DIR. COM E CRED MG E ES</v>
      </c>
      <c r="B820" s="28" t="str">
        <f>IFERROR(_xlfn.XLOOKUP(C820,[1]DIRETORIA!C:C,[1]DIRETORIA!B:B),"-")</f>
        <v>GST. COM TM</v>
      </c>
      <c r="C820" s="28" t="str">
        <f>IFERROR(_xlfn.XLOOKUP(E820,[1]EMPREENDIMENTO!C:C,[1]EMPREENDIMENTO!A:A),"-")</f>
        <v>UBERLÂNDIA</v>
      </c>
      <c r="D820" s="28" t="s">
        <v>85</v>
      </c>
      <c r="E820" s="28" t="s">
        <v>1539</v>
      </c>
      <c r="F820" s="28" t="s">
        <v>50</v>
      </c>
      <c r="G820" s="28" t="s">
        <v>268</v>
      </c>
      <c r="H820" s="28" t="s">
        <v>268</v>
      </c>
      <c r="I820" s="29">
        <f>IFERROR(_xlfn.XLOOKUP(E820,[1]EMPREENDIMENTO!C:C,[1]EMPREENDIMENTO!E:E),"0")</f>
        <v>480</v>
      </c>
      <c r="J820" s="30"/>
      <c r="K820" s="28" t="s">
        <v>164</v>
      </c>
      <c r="L820" s="31">
        <v>46176</v>
      </c>
      <c r="M820" s="32">
        <v>139935334</v>
      </c>
      <c r="N820" s="32">
        <v>158099132</v>
      </c>
      <c r="O820" s="32">
        <v>142795400</v>
      </c>
      <c r="P820" s="28" t="s">
        <v>34</v>
      </c>
      <c r="Q820" s="28" t="s">
        <v>1541</v>
      </c>
      <c r="R820" s="30">
        <v>46181</v>
      </c>
      <c r="S820" s="30"/>
      <c r="T820" s="33"/>
      <c r="U820" s="34" t="str">
        <f>IFERROR(_xlfn.XLOOKUP(E820,[1]EMPREENDIMENTO!C:C,[1]EMPREENDIMENTO!D:D),"")</f>
        <v>2a086cca-726f-ee11-9832-005056856875</v>
      </c>
    </row>
    <row r="821" spans="1:21" hidden="1" x14ac:dyDescent="0.35">
      <c r="A821" s="28" t="str">
        <f>IFERROR(_xlfn.XLOOKUP(C821,[1]DIRETORIA!C:C,[1]DIRETORIA!A:A),"-")</f>
        <v>DIR. COM E CRED MG E ES</v>
      </c>
      <c r="B821" s="28" t="str">
        <f>IFERROR(_xlfn.XLOOKUP(C821,[1]DIRETORIA!C:C,[1]DIRETORIA!B:B),"-")</f>
        <v>GST. COM TM</v>
      </c>
      <c r="C821" s="28" t="str">
        <f>IFERROR(_xlfn.XLOOKUP(E821,[1]EMPREENDIMENTO!C:C,[1]EMPREENDIMENTO!A:A),"-")</f>
        <v>UBERABA</v>
      </c>
      <c r="D821" s="28" t="s">
        <v>29</v>
      </c>
      <c r="E821" s="28" t="s">
        <v>1543</v>
      </c>
      <c r="F821" s="28" t="s">
        <v>31</v>
      </c>
      <c r="G821" s="28" t="s">
        <v>1544</v>
      </c>
      <c r="H821" s="28">
        <v>50429</v>
      </c>
      <c r="I821" s="29">
        <f>IFERROR(_xlfn.XLOOKUP(E821,[1]EMPREENDIMENTO!C:C,[1]EMPREENDIMENTO!E:E),"0")</f>
        <v>380</v>
      </c>
      <c r="J821" s="30"/>
      <c r="K821" s="28" t="s">
        <v>164</v>
      </c>
      <c r="L821" s="31">
        <v>46239</v>
      </c>
      <c r="M821" s="32">
        <v>88597000</v>
      </c>
      <c r="N821" s="32">
        <v>105461200</v>
      </c>
      <c r="O821" s="32">
        <v>91601300</v>
      </c>
      <c r="P821" s="28" t="s">
        <v>34</v>
      </c>
      <c r="Q821" s="28" t="s">
        <v>1545</v>
      </c>
      <c r="R821" s="30">
        <v>46241</v>
      </c>
      <c r="S821" s="30">
        <v>46240</v>
      </c>
      <c r="T821" s="33"/>
      <c r="U821" s="34" t="str">
        <f>IFERROR(_xlfn.XLOOKUP(E821,[1]EMPREENDIMENTO!C:C,[1]EMPREENDIMENTO!D:D),"")</f>
        <v>77d79cfc-643f-ed11-bbd2-80c16e075108</v>
      </c>
    </row>
    <row r="822" spans="1:21" hidden="1" x14ac:dyDescent="0.35">
      <c r="A822" s="28" t="str">
        <f>IFERROR(_xlfn.XLOOKUP(C822,[1]DIRETORIA!C:C,[1]DIRETORIA!A:A),"-")</f>
        <v>DIR. COM E CRED MG E ES</v>
      </c>
      <c r="B822" s="28" t="str">
        <f>IFERROR(_xlfn.XLOOKUP(C822,[1]DIRETORIA!C:C,[1]DIRETORIA!B:B),"-")</f>
        <v>GST. COM TM</v>
      </c>
      <c r="C822" s="28" t="str">
        <f>IFERROR(_xlfn.XLOOKUP(E822,[1]EMPREENDIMENTO!C:C,[1]EMPREENDIMENTO!A:A),"-")</f>
        <v>UBERABA</v>
      </c>
      <c r="D822" s="28" t="s">
        <v>29</v>
      </c>
      <c r="E822" s="28" t="s">
        <v>1543</v>
      </c>
      <c r="F822" s="28" t="s">
        <v>36</v>
      </c>
      <c r="G822" s="28" t="s">
        <v>1546</v>
      </c>
      <c r="H822" s="28">
        <v>63875</v>
      </c>
      <c r="I822" s="29">
        <f>IFERROR(_xlfn.XLOOKUP(E822,[1]EMPREENDIMENTO!C:C,[1]EMPREENDIMENTO!E:E),"0")</f>
        <v>380</v>
      </c>
      <c r="J822" s="30"/>
      <c r="K822" s="28" t="s">
        <v>164</v>
      </c>
      <c r="L822" s="31">
        <v>46239</v>
      </c>
      <c r="M822" s="32">
        <v>88597000</v>
      </c>
      <c r="N822" s="32">
        <v>105461200</v>
      </c>
      <c r="O822" s="32">
        <v>91601300</v>
      </c>
      <c r="P822" s="28" t="s">
        <v>34</v>
      </c>
      <c r="Q822" s="28" t="s">
        <v>1545</v>
      </c>
      <c r="R822" s="30">
        <v>46241</v>
      </c>
      <c r="S822" s="30">
        <v>46240</v>
      </c>
      <c r="T822" s="33"/>
      <c r="U822" s="34" t="str">
        <f>IFERROR(_xlfn.XLOOKUP(E822,[1]EMPREENDIMENTO!C:C,[1]EMPREENDIMENTO!D:D),"")</f>
        <v>77d79cfc-643f-ed11-bbd2-80c16e075108</v>
      </c>
    </row>
    <row r="823" spans="1:21" hidden="1" x14ac:dyDescent="0.35">
      <c r="A823" s="28" t="str">
        <f>IFERROR(_xlfn.XLOOKUP(C823,[1]DIRETORIA!C:C,[1]DIRETORIA!A:A),"-")</f>
        <v>DIR. COM E CRED MG E ES</v>
      </c>
      <c r="B823" s="28" t="str">
        <f>IFERROR(_xlfn.XLOOKUP(C823,[1]DIRETORIA!C:C,[1]DIRETORIA!B:B),"-")</f>
        <v>GST. COM TM</v>
      </c>
      <c r="C823" s="28" t="str">
        <f>IFERROR(_xlfn.XLOOKUP(E823,[1]EMPREENDIMENTO!C:C,[1]EMPREENDIMENTO!A:A),"-")</f>
        <v>UBERABA</v>
      </c>
      <c r="D823" s="28" t="s">
        <v>85</v>
      </c>
      <c r="E823" s="28" t="s">
        <v>1543</v>
      </c>
      <c r="F823" s="28" t="s">
        <v>39</v>
      </c>
      <c r="G823" s="28" t="s">
        <v>268</v>
      </c>
      <c r="H823" s="28" t="s">
        <v>268</v>
      </c>
      <c r="I823" s="29">
        <f>IFERROR(_xlfn.XLOOKUP(E823,[1]EMPREENDIMENTO!C:C,[1]EMPREENDIMENTO!E:E),"0")</f>
        <v>380</v>
      </c>
      <c r="J823" s="30"/>
      <c r="K823" s="28" t="s">
        <v>164</v>
      </c>
      <c r="L823" s="31">
        <v>46239</v>
      </c>
      <c r="M823" s="32">
        <v>88597000</v>
      </c>
      <c r="N823" s="32">
        <v>105461200</v>
      </c>
      <c r="O823" s="32">
        <v>91601300</v>
      </c>
      <c r="P823" s="28" t="s">
        <v>34</v>
      </c>
      <c r="Q823" s="28" t="s">
        <v>1545</v>
      </c>
      <c r="R823" s="30">
        <v>46241</v>
      </c>
      <c r="S823" s="30">
        <v>46240</v>
      </c>
      <c r="T823" s="33"/>
      <c r="U823" s="34" t="str">
        <f>IFERROR(_xlfn.XLOOKUP(E823,[1]EMPREENDIMENTO!C:C,[1]EMPREENDIMENTO!D:D),"")</f>
        <v>77d79cfc-643f-ed11-bbd2-80c16e075108</v>
      </c>
    </row>
    <row r="824" spans="1:21" x14ac:dyDescent="0.35">
      <c r="A824" s="28" t="str">
        <f>IFERROR(_xlfn.XLOOKUP(C824,[1]DIRETORIA!C:C,[1]DIRETORIA!A:A),"-")</f>
        <v>DIR. COM E CRED SPI</v>
      </c>
      <c r="B824" s="28" t="str">
        <f>IFERROR(_xlfn.XLOOKUP(C824,[1]DIRETORIA!C:C,[1]DIRETORIA!B:B),"-")</f>
        <v>GST. COM RP 1</v>
      </c>
      <c r="C824" s="28" t="str">
        <f>IFERROR(_xlfn.XLOOKUP(E824,[1]EMPREENDIMENTO!C:C,[1]EMPREENDIMENTO!A:A),"-")</f>
        <v>RIBEIRÃO PRETO</v>
      </c>
      <c r="D824" s="28" t="s">
        <v>29</v>
      </c>
      <c r="E824" s="28" t="s">
        <v>1547</v>
      </c>
      <c r="F824" s="28" t="s">
        <v>31</v>
      </c>
      <c r="G824" s="28" t="s">
        <v>1548</v>
      </c>
      <c r="H824" s="28">
        <v>37797</v>
      </c>
      <c r="I824" s="29">
        <f>IFERROR(_xlfn.XLOOKUP(E824,[1]EMPREENDIMENTO!C:C,[1]EMPREENDIMENTO!E:E),"0")</f>
        <v>352</v>
      </c>
      <c r="J824" s="30"/>
      <c r="K824" s="28" t="s">
        <v>33</v>
      </c>
      <c r="L824" s="31">
        <v>46007</v>
      </c>
      <c r="M824" s="32">
        <v>85269280</v>
      </c>
      <c r="N824" s="32"/>
      <c r="O824" s="32"/>
      <c r="P824" s="28" t="s">
        <v>34</v>
      </c>
      <c r="Q824" s="28"/>
      <c r="R824" s="30"/>
      <c r="S824" s="30"/>
      <c r="T824" s="33"/>
      <c r="U824" s="34" t="str">
        <f>IFERROR(_xlfn.XLOOKUP(E824,[1]EMPREENDIMENTO!C:C,[1]EMPREENDIMENTO!D:D),"")</f>
        <v>05DF08FE-857B-EB11-8864-0050568AA20F</v>
      </c>
    </row>
    <row r="825" spans="1:21" x14ac:dyDescent="0.35">
      <c r="A825" s="28" t="str">
        <f>IFERROR(_xlfn.XLOOKUP(C825,[1]DIRETORIA!C:C,[1]DIRETORIA!A:A),"-")</f>
        <v>DIR. COM E CRED SPI</v>
      </c>
      <c r="B825" s="28" t="str">
        <f>IFERROR(_xlfn.XLOOKUP(C825,[1]DIRETORIA!C:C,[1]DIRETORIA!B:B),"-")</f>
        <v>GST. COM RP 1</v>
      </c>
      <c r="C825" s="28" t="str">
        <f>IFERROR(_xlfn.XLOOKUP(E825,[1]EMPREENDIMENTO!C:C,[1]EMPREENDIMENTO!A:A),"-")</f>
        <v>RIBEIRÃO PRETO</v>
      </c>
      <c r="D825" s="28" t="s">
        <v>29</v>
      </c>
      <c r="E825" s="28" t="s">
        <v>1547</v>
      </c>
      <c r="F825" s="28" t="s">
        <v>36</v>
      </c>
      <c r="G825" s="28" t="s">
        <v>1549</v>
      </c>
      <c r="H825" s="28">
        <v>63893</v>
      </c>
      <c r="I825" s="29">
        <f>IFERROR(_xlfn.XLOOKUP(E825,[1]EMPREENDIMENTO!C:C,[1]EMPREENDIMENTO!E:E),"0")</f>
        <v>352</v>
      </c>
      <c r="J825" s="30"/>
      <c r="K825" s="28" t="s">
        <v>33</v>
      </c>
      <c r="L825" s="31">
        <v>46007</v>
      </c>
      <c r="M825" s="32">
        <v>85269280</v>
      </c>
      <c r="N825" s="32"/>
      <c r="O825" s="32"/>
      <c r="P825" s="28" t="s">
        <v>34</v>
      </c>
      <c r="Q825" s="28"/>
      <c r="R825" s="30"/>
      <c r="S825" s="30"/>
      <c r="T825" s="33"/>
      <c r="U825" s="34" t="str">
        <f>IFERROR(_xlfn.XLOOKUP(E825,[1]EMPREENDIMENTO!C:C,[1]EMPREENDIMENTO!D:D),"")</f>
        <v>05DF08FE-857B-EB11-8864-0050568AA20F</v>
      </c>
    </row>
    <row r="826" spans="1:21" x14ac:dyDescent="0.35">
      <c r="A826" s="28" t="str">
        <f>IFERROR(_xlfn.XLOOKUP(C826,[1]DIRETORIA!C:C,[1]DIRETORIA!A:A),"-")</f>
        <v>DIR. COM E CRED SPI</v>
      </c>
      <c r="B826" s="28" t="str">
        <f>IFERROR(_xlfn.XLOOKUP(C826,[1]DIRETORIA!C:C,[1]DIRETORIA!B:B),"-")</f>
        <v>GST. COM RP 1</v>
      </c>
      <c r="C826" s="28" t="str">
        <f>IFERROR(_xlfn.XLOOKUP(E826,[1]EMPREENDIMENTO!C:C,[1]EMPREENDIMENTO!A:A),"-")</f>
        <v>RIBEIRÃO PRETO</v>
      </c>
      <c r="D826" s="28" t="s">
        <v>85</v>
      </c>
      <c r="E826" s="28" t="s">
        <v>1547</v>
      </c>
      <c r="F826" s="28" t="s">
        <v>39</v>
      </c>
      <c r="G826" s="28" t="s">
        <v>268</v>
      </c>
      <c r="H826" s="28" t="s">
        <v>268</v>
      </c>
      <c r="I826" s="29">
        <f>IFERROR(_xlfn.XLOOKUP(E826,[1]EMPREENDIMENTO!C:C,[1]EMPREENDIMENTO!E:E),"0")</f>
        <v>352</v>
      </c>
      <c r="J826" s="30"/>
      <c r="K826" s="28" t="s">
        <v>33</v>
      </c>
      <c r="L826" s="31">
        <v>46007</v>
      </c>
      <c r="M826" s="32">
        <v>85269280</v>
      </c>
      <c r="N826" s="32"/>
      <c r="O826" s="32"/>
      <c r="P826" s="28" t="s">
        <v>34</v>
      </c>
      <c r="Q826" s="28"/>
      <c r="R826" s="30"/>
      <c r="S826" s="30"/>
      <c r="T826" s="33"/>
      <c r="U826" s="34" t="str">
        <f>IFERROR(_xlfn.XLOOKUP(E826,[1]EMPREENDIMENTO!C:C,[1]EMPREENDIMENTO!D:D),"")</f>
        <v>05DF08FE-857B-EB11-8864-0050568AA20F</v>
      </c>
    </row>
    <row r="827" spans="1:21" x14ac:dyDescent="0.35">
      <c r="A827" s="28" t="str">
        <f>IFERROR(_xlfn.XLOOKUP(C827,[1]DIRETORIA!C:C,[1]DIRETORIA!A:A),"-")</f>
        <v>DIR. COM E CRED SPI CP</v>
      </c>
      <c r="B827" s="28" t="str">
        <f>IFERROR(_xlfn.XLOOKUP(C827,[1]DIRETORIA!C:C,[1]DIRETORIA!B:B),"-")</f>
        <v>GST. COM CP1</v>
      </c>
      <c r="C827" s="28" t="str">
        <f>IFERROR(_xlfn.XLOOKUP(E827,[1]EMPREENDIMENTO!C:C,[1]EMPREENDIMENTO!A:A),"-")</f>
        <v>CAMPINAS</v>
      </c>
      <c r="D827" s="28" t="s">
        <v>29</v>
      </c>
      <c r="E827" s="28" t="s">
        <v>1550</v>
      </c>
      <c r="F827" s="28" t="s">
        <v>31</v>
      </c>
      <c r="G827" s="28" t="s">
        <v>1551</v>
      </c>
      <c r="H827" s="28">
        <v>50798</v>
      </c>
      <c r="I827" s="29">
        <f>IFERROR(_xlfn.XLOOKUP(E827,[1]EMPREENDIMENTO!C:C,[1]EMPREENDIMENTO!E:E),"0")</f>
        <v>280</v>
      </c>
      <c r="J827" s="30"/>
      <c r="K827" s="28" t="s">
        <v>33</v>
      </c>
      <c r="L827" s="31">
        <v>46245</v>
      </c>
      <c r="M827" s="32">
        <v>68650000</v>
      </c>
      <c r="N827" s="32">
        <v>73508543</v>
      </c>
      <c r="O827" s="32">
        <v>71724234</v>
      </c>
      <c r="P827" s="28" t="s">
        <v>34</v>
      </c>
      <c r="Q827" s="28" t="s">
        <v>1552</v>
      </c>
      <c r="R827" s="30">
        <v>46255</v>
      </c>
      <c r="S827" s="30">
        <v>46245</v>
      </c>
      <c r="T827" s="33"/>
      <c r="U827" s="34" t="str">
        <f>IFERROR(_xlfn.XLOOKUP(E827,[1]EMPREENDIMENTO!C:C,[1]EMPREENDIMENTO!D:D),"")</f>
        <v>09c2f326-7667-e511-8826-80c16e075108</v>
      </c>
    </row>
    <row r="828" spans="1:21" x14ac:dyDescent="0.35">
      <c r="A828" s="28" t="str">
        <f>IFERROR(_xlfn.XLOOKUP(C828,[1]DIRETORIA!C:C,[1]DIRETORIA!A:A),"-")</f>
        <v>DIR. COM E CRED SPI CP</v>
      </c>
      <c r="B828" s="28" t="str">
        <f>IFERROR(_xlfn.XLOOKUP(C828,[1]DIRETORIA!C:C,[1]DIRETORIA!B:B),"-")</f>
        <v>GST. COM CP1</v>
      </c>
      <c r="C828" s="28" t="str">
        <f>IFERROR(_xlfn.XLOOKUP(E828,[1]EMPREENDIMENTO!C:C,[1]EMPREENDIMENTO!A:A),"-")</f>
        <v>CAMPINAS</v>
      </c>
      <c r="D828" s="28" t="s">
        <v>29</v>
      </c>
      <c r="E828" s="28" t="s">
        <v>1550</v>
      </c>
      <c r="F828" s="28" t="s">
        <v>36</v>
      </c>
      <c r="G828" s="28" t="s">
        <v>1553</v>
      </c>
      <c r="H828" s="28">
        <v>61358</v>
      </c>
      <c r="I828" s="29">
        <f>IFERROR(_xlfn.XLOOKUP(E828,[1]EMPREENDIMENTO!C:C,[1]EMPREENDIMENTO!E:E),"0")</f>
        <v>280</v>
      </c>
      <c r="J828" s="30"/>
      <c r="K828" s="28" t="s">
        <v>33</v>
      </c>
      <c r="L828" s="31">
        <v>46245</v>
      </c>
      <c r="M828" s="32">
        <v>68650000</v>
      </c>
      <c r="N828" s="32">
        <v>73508543</v>
      </c>
      <c r="O828" s="32">
        <v>71724234</v>
      </c>
      <c r="P828" s="28" t="s">
        <v>34</v>
      </c>
      <c r="Q828" s="28" t="s">
        <v>1552</v>
      </c>
      <c r="R828" s="30">
        <v>46255</v>
      </c>
      <c r="S828" s="30">
        <v>46245</v>
      </c>
      <c r="T828" s="33"/>
      <c r="U828" s="34" t="str">
        <f>IFERROR(_xlfn.XLOOKUP(E828,[1]EMPREENDIMENTO!C:C,[1]EMPREENDIMENTO!D:D),"")</f>
        <v>09c2f326-7667-e511-8826-80c16e075108</v>
      </c>
    </row>
    <row r="829" spans="1:21" x14ac:dyDescent="0.35">
      <c r="A829" s="28" t="str">
        <f>IFERROR(_xlfn.XLOOKUP(C829,[1]DIRETORIA!C:C,[1]DIRETORIA!A:A),"-")</f>
        <v>DIR. COM E CRED SPI</v>
      </c>
      <c r="B829" s="28" t="str">
        <f>IFERROR(_xlfn.XLOOKUP(C829,[1]DIRETORIA!C:C,[1]DIRETORIA!B:B),"-")</f>
        <v>GST. COM RP 1</v>
      </c>
      <c r="C829" s="28" t="str">
        <f>IFERROR(_xlfn.XLOOKUP(E829,[1]EMPREENDIMENTO!C:C,[1]EMPREENDIMENTO!A:A),"-")</f>
        <v>RIBEIRÃO PRETO</v>
      </c>
      <c r="D829" s="28" t="s">
        <v>29</v>
      </c>
      <c r="E829" s="28" t="s">
        <v>1554</v>
      </c>
      <c r="F829" s="28" t="s">
        <v>42</v>
      </c>
      <c r="G829" s="28" t="s">
        <v>1555</v>
      </c>
      <c r="H829" s="28">
        <v>50898</v>
      </c>
      <c r="I829" s="29">
        <f>IFERROR(_xlfn.XLOOKUP(E829,[1]EMPREENDIMENTO!C:C,[1]EMPREENDIMENTO!E:E),"0")</f>
        <v>280</v>
      </c>
      <c r="J829" s="30"/>
      <c r="K829" s="28" t="s">
        <v>33</v>
      </c>
      <c r="L829" s="31">
        <v>45709</v>
      </c>
      <c r="M829" s="32">
        <v>75559500</v>
      </c>
      <c r="N829" s="32">
        <v>86901000</v>
      </c>
      <c r="O829" s="32">
        <v>81834200</v>
      </c>
      <c r="P829" s="28" t="s">
        <v>34</v>
      </c>
      <c r="Q829" s="28">
        <v>616076</v>
      </c>
      <c r="R829" s="30">
        <v>45729</v>
      </c>
      <c r="S829" s="30">
        <v>45712</v>
      </c>
      <c r="T829" s="33"/>
      <c r="U829" s="34" t="str">
        <f>IFERROR(_xlfn.XLOOKUP(E829,[1]EMPREENDIMENTO!C:C,[1]EMPREENDIMENTO!D:D),"")</f>
        <v>4a187f21-7b22-ef11-9e4d-009c02b0cb58</v>
      </c>
    </row>
    <row r="830" spans="1:21" hidden="1" x14ac:dyDescent="0.35">
      <c r="A830" s="28" t="str">
        <f>IFERROR(_xlfn.XLOOKUP(C830,[1]DIRETORIA!C:C,[1]DIRETORIA!A:A),"-")</f>
        <v>DIR. COM E CRED CO E AM</v>
      </c>
      <c r="B830" s="28" t="str">
        <f>IFERROR(_xlfn.XLOOKUP(C830,[1]DIRETORIA!C:C,[1]DIRETORIA!B:B),"-")</f>
        <v>GST. COM MT</v>
      </c>
      <c r="C830" s="28" t="str">
        <f>IFERROR(_xlfn.XLOOKUP(E830,[1]EMPREENDIMENTO!C:C,[1]EMPREENDIMENTO!A:A),"-")</f>
        <v>CUIABÁ</v>
      </c>
      <c r="D830" s="28" t="s">
        <v>29</v>
      </c>
      <c r="E830" s="28" t="s">
        <v>1556</v>
      </c>
      <c r="F830" s="28" t="s">
        <v>31</v>
      </c>
      <c r="G830" s="28" t="s">
        <v>1557</v>
      </c>
      <c r="H830" s="28">
        <v>51449</v>
      </c>
      <c r="I830" s="29">
        <f>IFERROR(_xlfn.XLOOKUP(E830,[1]EMPREENDIMENTO!C:C,[1]EMPREENDIMENTO!E:E),"0")</f>
        <v>272</v>
      </c>
      <c r="J830" s="30"/>
      <c r="K830" s="28" t="s">
        <v>33</v>
      </c>
      <c r="L830" s="31">
        <v>46129</v>
      </c>
      <c r="M830" s="32">
        <v>88656787</v>
      </c>
      <c r="N830" s="32"/>
      <c r="O830" s="32"/>
      <c r="P830" s="28" t="s">
        <v>2</v>
      </c>
      <c r="Q830" s="28" t="s">
        <v>1558</v>
      </c>
      <c r="R830" s="30">
        <v>46286</v>
      </c>
      <c r="S830" s="30"/>
      <c r="T830" s="33"/>
      <c r="U830" s="34" t="str">
        <f>IFERROR(_xlfn.XLOOKUP(E830,[1]EMPREENDIMENTO!C:C,[1]EMPREENDIMENTO!D:D),"")</f>
        <v>79f7c7b3-984f-e811-8ce7-80c16e075108</v>
      </c>
    </row>
    <row r="831" spans="1:21" hidden="1" x14ac:dyDescent="0.35">
      <c r="A831" s="28" t="str">
        <f>IFERROR(_xlfn.XLOOKUP(C831,[1]DIRETORIA!C:C,[1]DIRETORIA!A:A),"-")</f>
        <v>DIR. COM E CRED CO E AM</v>
      </c>
      <c r="B831" s="28" t="str">
        <f>IFERROR(_xlfn.XLOOKUP(C831,[1]DIRETORIA!C:C,[1]DIRETORIA!B:B),"-")</f>
        <v>GST. COM MT</v>
      </c>
      <c r="C831" s="28" t="str">
        <f>IFERROR(_xlfn.XLOOKUP(E831,[1]EMPREENDIMENTO!C:C,[1]EMPREENDIMENTO!A:A),"-")</f>
        <v>CUIABÁ</v>
      </c>
      <c r="D831" s="28" t="s">
        <v>29</v>
      </c>
      <c r="E831" s="28" t="s">
        <v>1556</v>
      </c>
      <c r="F831" s="28" t="s">
        <v>36</v>
      </c>
      <c r="G831" s="28" t="s">
        <v>1559</v>
      </c>
      <c r="H831" s="28">
        <v>55826</v>
      </c>
      <c r="I831" s="29">
        <f>IFERROR(_xlfn.XLOOKUP(E831,[1]EMPREENDIMENTO!C:C,[1]EMPREENDIMENTO!E:E),"0")</f>
        <v>272</v>
      </c>
      <c r="J831" s="30"/>
      <c r="K831" s="28" t="s">
        <v>33</v>
      </c>
      <c r="L831" s="31">
        <v>46129</v>
      </c>
      <c r="M831" s="32">
        <v>88656787</v>
      </c>
      <c r="N831" s="32"/>
      <c r="O831" s="32"/>
      <c r="P831" s="28" t="s">
        <v>2</v>
      </c>
      <c r="Q831" s="28" t="s">
        <v>1558</v>
      </c>
      <c r="R831" s="30">
        <v>46286</v>
      </c>
      <c r="S831" s="30"/>
      <c r="T831" s="33"/>
      <c r="U831" s="34" t="str">
        <f>IFERROR(_xlfn.XLOOKUP(E831,[1]EMPREENDIMENTO!C:C,[1]EMPREENDIMENTO!D:D),"")</f>
        <v>79f7c7b3-984f-e811-8ce7-80c16e075108</v>
      </c>
    </row>
    <row r="832" spans="1:21" x14ac:dyDescent="0.35">
      <c r="A832" s="28" t="str">
        <f>IFERROR(_xlfn.XLOOKUP(C832,[1]DIRETORIA!C:C,[1]DIRETORIA!A:A),"-")</f>
        <v>DIR. COM E CRED SPI CP</v>
      </c>
      <c r="B832" s="28" t="str">
        <f>IFERROR(_xlfn.XLOOKUP(C832,[1]DIRETORIA!C:C,[1]DIRETORIA!B:B),"-")</f>
        <v>GST. COM CP2</v>
      </c>
      <c r="C832" s="28" t="str">
        <f>IFERROR(_xlfn.XLOOKUP(E832,[1]EMPREENDIMENTO!C:C,[1]EMPREENDIMENTO!A:A),"-")</f>
        <v>SOROCABA</v>
      </c>
      <c r="D832" s="28" t="s">
        <v>85</v>
      </c>
      <c r="E832" s="28" t="s">
        <v>1560</v>
      </c>
      <c r="F832" s="28" t="s">
        <v>31</v>
      </c>
      <c r="G832" s="28" t="s">
        <v>1561</v>
      </c>
      <c r="H832" s="28">
        <v>51237</v>
      </c>
      <c r="I832" s="29">
        <f>IFERROR(_xlfn.XLOOKUP(E832,[1]EMPREENDIMENTO!C:C,[1]EMPREENDIMENTO!E:E),"0")</f>
        <v>432</v>
      </c>
      <c r="J832" s="30"/>
      <c r="K832" s="28" t="s">
        <v>33</v>
      </c>
      <c r="L832" s="31">
        <v>46199</v>
      </c>
      <c r="M832" s="32">
        <v>109169072</v>
      </c>
      <c r="N832" s="32">
        <v>129186332</v>
      </c>
      <c r="O832" s="32">
        <v>113892000</v>
      </c>
      <c r="P832" s="28" t="s">
        <v>34</v>
      </c>
      <c r="Q832" s="28" t="s">
        <v>1562</v>
      </c>
      <c r="R832" s="30"/>
      <c r="S832" s="30">
        <v>46199</v>
      </c>
      <c r="T832" s="33"/>
      <c r="U832" s="34" t="str">
        <f>IFERROR(_xlfn.XLOOKUP(E832,[1]EMPREENDIMENTO!C:C,[1]EMPREENDIMENTO!D:D),"")</f>
        <v>8406DCF1-C5AA-E711-8E92-009C02B0CB58</v>
      </c>
    </row>
    <row r="833" spans="1:21" x14ac:dyDescent="0.35">
      <c r="A833" s="28" t="str">
        <f>IFERROR(_xlfn.XLOOKUP(C833,[1]DIRETORIA!C:C,[1]DIRETORIA!A:A),"-")</f>
        <v>DIR. COM E CRED SPI CP</v>
      </c>
      <c r="B833" s="28" t="str">
        <f>IFERROR(_xlfn.XLOOKUP(C833,[1]DIRETORIA!C:C,[1]DIRETORIA!B:B),"-")</f>
        <v>GST. COM CP2</v>
      </c>
      <c r="C833" s="28" t="str">
        <f>IFERROR(_xlfn.XLOOKUP(E833,[1]EMPREENDIMENTO!C:C,[1]EMPREENDIMENTO!A:A),"-")</f>
        <v>SOROCABA</v>
      </c>
      <c r="D833" s="28" t="s">
        <v>85</v>
      </c>
      <c r="E833" s="28" t="s">
        <v>1560</v>
      </c>
      <c r="F833" s="28" t="s">
        <v>36</v>
      </c>
      <c r="G833" s="28" t="s">
        <v>268</v>
      </c>
      <c r="H833" s="28" t="s">
        <v>268</v>
      </c>
      <c r="I833" s="29">
        <f>IFERROR(_xlfn.XLOOKUP(E833,[1]EMPREENDIMENTO!C:C,[1]EMPREENDIMENTO!E:E),"0")</f>
        <v>432</v>
      </c>
      <c r="J833" s="30"/>
      <c r="K833" s="28" t="s">
        <v>33</v>
      </c>
      <c r="L833" s="31">
        <v>46199</v>
      </c>
      <c r="M833" s="32">
        <v>109169072</v>
      </c>
      <c r="N833" s="32">
        <v>129186332</v>
      </c>
      <c r="O833" s="32">
        <v>113892000</v>
      </c>
      <c r="P833" s="28" t="s">
        <v>34</v>
      </c>
      <c r="Q833" s="28" t="s">
        <v>1562</v>
      </c>
      <c r="R833" s="30"/>
      <c r="S833" s="30">
        <v>46199</v>
      </c>
      <c r="T833" s="33"/>
      <c r="U833" s="34" t="str">
        <f>IFERROR(_xlfn.XLOOKUP(E833,[1]EMPREENDIMENTO!C:C,[1]EMPREENDIMENTO!D:D),"")</f>
        <v>8406DCF1-C5AA-E711-8E92-009C02B0CB58</v>
      </c>
    </row>
    <row r="834" spans="1:21" x14ac:dyDescent="0.35">
      <c r="A834" s="28" t="str">
        <f>IFERROR(_xlfn.XLOOKUP(C834,[1]DIRETORIA!C:C,[1]DIRETORIA!A:A),"-")</f>
        <v>DIR. COM E CRED SPI CP</v>
      </c>
      <c r="B834" s="28" t="str">
        <f>IFERROR(_xlfn.XLOOKUP(C834,[1]DIRETORIA!C:C,[1]DIRETORIA!B:B),"-")</f>
        <v>GST. COM CP2</v>
      </c>
      <c r="C834" s="28" t="str">
        <f>IFERROR(_xlfn.XLOOKUP(E834,[1]EMPREENDIMENTO!C:C,[1]EMPREENDIMENTO!A:A),"-")</f>
        <v>SOROCABA</v>
      </c>
      <c r="D834" s="28" t="s">
        <v>85</v>
      </c>
      <c r="E834" s="28" t="s">
        <v>1560</v>
      </c>
      <c r="F834" s="28" t="s">
        <v>39</v>
      </c>
      <c r="G834" s="28" t="s">
        <v>268</v>
      </c>
      <c r="H834" s="28" t="s">
        <v>268</v>
      </c>
      <c r="I834" s="29">
        <f>IFERROR(_xlfn.XLOOKUP(E834,[1]EMPREENDIMENTO!C:C,[1]EMPREENDIMENTO!E:E),"0")</f>
        <v>432</v>
      </c>
      <c r="J834" s="30"/>
      <c r="K834" s="28" t="s">
        <v>33</v>
      </c>
      <c r="L834" s="31">
        <v>46199</v>
      </c>
      <c r="M834" s="32">
        <v>109169072</v>
      </c>
      <c r="N834" s="32">
        <v>129186332</v>
      </c>
      <c r="O834" s="32">
        <v>113892000</v>
      </c>
      <c r="P834" s="28" t="s">
        <v>34</v>
      </c>
      <c r="Q834" s="28" t="s">
        <v>1562</v>
      </c>
      <c r="R834" s="30"/>
      <c r="S834" s="30">
        <v>46199</v>
      </c>
      <c r="T834" s="33"/>
      <c r="U834" s="34" t="str">
        <f>IFERROR(_xlfn.XLOOKUP(E834,[1]EMPREENDIMENTO!C:C,[1]EMPREENDIMENTO!D:D),"")</f>
        <v>8406DCF1-C5AA-E711-8E92-009C02B0CB58</v>
      </c>
    </row>
    <row r="835" spans="1:21" x14ac:dyDescent="0.35">
      <c r="A835" s="28" t="str">
        <f>IFERROR(_xlfn.XLOOKUP(C835,[1]DIRETORIA!C:C,[1]DIRETORIA!A:A),"-")</f>
        <v>DIR. COM E CRED SPI CP</v>
      </c>
      <c r="B835" s="28" t="str">
        <f>IFERROR(_xlfn.XLOOKUP(C835,[1]DIRETORIA!C:C,[1]DIRETORIA!B:B),"-")</f>
        <v>GST. COM CP2</v>
      </c>
      <c r="C835" s="28" t="str">
        <f>IFERROR(_xlfn.XLOOKUP(E835,[1]EMPREENDIMENTO!C:C,[1]EMPREENDIMENTO!A:A),"-")</f>
        <v>SOROCABA</v>
      </c>
      <c r="D835" s="28" t="s">
        <v>85</v>
      </c>
      <c r="E835" s="28" t="s">
        <v>1560</v>
      </c>
      <c r="F835" s="28" t="s">
        <v>50</v>
      </c>
      <c r="G835" s="28" t="s">
        <v>268</v>
      </c>
      <c r="H835" s="28" t="s">
        <v>268</v>
      </c>
      <c r="I835" s="29">
        <f>IFERROR(_xlfn.XLOOKUP(E835,[1]EMPREENDIMENTO!C:C,[1]EMPREENDIMENTO!E:E),"0")</f>
        <v>432</v>
      </c>
      <c r="J835" s="30"/>
      <c r="K835" s="28" t="s">
        <v>33</v>
      </c>
      <c r="L835" s="31">
        <v>46199</v>
      </c>
      <c r="M835" s="32">
        <v>109169072</v>
      </c>
      <c r="N835" s="32">
        <v>129186332</v>
      </c>
      <c r="O835" s="32">
        <v>113892000</v>
      </c>
      <c r="P835" s="28" t="s">
        <v>34</v>
      </c>
      <c r="Q835" s="28" t="s">
        <v>1562</v>
      </c>
      <c r="R835" s="30"/>
      <c r="S835" s="30">
        <v>46199</v>
      </c>
      <c r="T835" s="33"/>
      <c r="U835" s="34" t="str">
        <f>IFERROR(_xlfn.XLOOKUP(E835,[1]EMPREENDIMENTO!C:C,[1]EMPREENDIMENTO!D:D),"")</f>
        <v>8406DCF1-C5AA-E711-8E92-009C02B0CB58</v>
      </c>
    </row>
    <row r="836" spans="1:21" hidden="1" x14ac:dyDescent="0.35">
      <c r="A836" s="28" t="str">
        <f>IFERROR(_xlfn.XLOOKUP(C836,[1]DIRETORIA!C:C,[1]DIRETORIA!A:A),"-")</f>
        <v>DIR. COM E CRED SUL</v>
      </c>
      <c r="B836" s="28" t="str">
        <f>IFERROR(_xlfn.XLOOKUP(C836,[1]DIRETORIA!C:C,[1]DIRETORIA!B:B),"-")</f>
        <v>GST. COM SC</v>
      </c>
      <c r="C836" s="28" t="str">
        <f>IFERROR(_xlfn.XLOOKUP(E836,[1]EMPREENDIMENTO!C:C,[1]EMPREENDIMENTO!A:A),"-")</f>
        <v>JOINVILLE</v>
      </c>
      <c r="D836" s="28" t="s">
        <v>29</v>
      </c>
      <c r="E836" s="28" t="s">
        <v>1563</v>
      </c>
      <c r="F836" s="28" t="s">
        <v>42</v>
      </c>
      <c r="G836" s="28" t="s">
        <v>1564</v>
      </c>
      <c r="H836" s="28">
        <v>50467</v>
      </c>
      <c r="I836" s="29">
        <f>IFERROR(_xlfn.XLOOKUP(E836,[1]EMPREENDIMENTO!C:C,[1]EMPREENDIMENTO!E:E),"0")</f>
        <v>176</v>
      </c>
      <c r="J836" s="30"/>
      <c r="K836" s="28" t="s">
        <v>33</v>
      </c>
      <c r="L836" s="31">
        <v>46223</v>
      </c>
      <c r="M836" s="32">
        <v>42905680</v>
      </c>
      <c r="N836" s="32">
        <v>44457680</v>
      </c>
      <c r="O836" s="32">
        <v>44070800</v>
      </c>
      <c r="P836" s="28" t="s">
        <v>34</v>
      </c>
      <c r="Q836" s="28" t="s">
        <v>1565</v>
      </c>
      <c r="R836" s="30">
        <v>46225</v>
      </c>
      <c r="S836" s="30">
        <v>46224</v>
      </c>
      <c r="T836" s="33"/>
      <c r="U836" s="34" t="str">
        <f>IFERROR(_xlfn.XLOOKUP(E836,[1]EMPREENDIMENTO!C:C,[1]EMPREENDIMENTO!D:D),"")</f>
        <v>1cd083b7-3f7a-ed11-98d9-009c02b0cb58</v>
      </c>
    </row>
    <row r="837" spans="1:21" hidden="1" x14ac:dyDescent="0.35">
      <c r="A837" s="28" t="str">
        <f>IFERROR(_xlfn.XLOOKUP(C837,[1]DIRETORIA!C:C,[1]DIRETORIA!A:A),"-")</f>
        <v>DIR. COM E CRED NE</v>
      </c>
      <c r="B837" s="28" t="str">
        <f>IFERROR(_xlfn.XLOOKUP(C837,[1]DIRETORIA!C:C,[1]DIRETORIA!B:B),"-")</f>
        <v>GST. COM NE5 (RN+PB)</v>
      </c>
      <c r="C837" s="28" t="str">
        <f>IFERROR(_xlfn.XLOOKUP(E837,[1]EMPREENDIMENTO!C:C,[1]EMPREENDIMENTO!A:A),"-")</f>
        <v>NATAL</v>
      </c>
      <c r="D837" s="28" t="s">
        <v>85</v>
      </c>
      <c r="E837" s="28" t="s">
        <v>1566</v>
      </c>
      <c r="F837" s="28" t="s">
        <v>42</v>
      </c>
      <c r="G837" s="28" t="s">
        <v>1567</v>
      </c>
      <c r="H837" s="28">
        <v>45670</v>
      </c>
      <c r="I837" s="29">
        <f>IFERROR(_xlfn.XLOOKUP(E837,[1]EMPREENDIMENTO!C:C,[1]EMPREENDIMENTO!E:E),"0")</f>
        <v>432</v>
      </c>
      <c r="J837" s="30"/>
      <c r="K837" s="28" t="s">
        <v>33</v>
      </c>
      <c r="L837" s="31">
        <v>46203</v>
      </c>
      <c r="M837" s="32">
        <v>172040000</v>
      </c>
      <c r="N837" s="32">
        <v>192964479</v>
      </c>
      <c r="O837" s="32">
        <v>180677200</v>
      </c>
      <c r="P837" s="28" t="s">
        <v>34</v>
      </c>
      <c r="Q837" s="28">
        <v>847670</v>
      </c>
      <c r="R837" s="30">
        <v>46225</v>
      </c>
      <c r="S837" s="30"/>
      <c r="T837" s="33"/>
      <c r="U837" s="34" t="str">
        <f>IFERROR(_xlfn.XLOOKUP(E837,[1]EMPREENDIMENTO!C:C,[1]EMPREENDIMENTO!D:D),"")</f>
        <v>D3809BAF-9E5F-ED11-9E0C-005056856875</v>
      </c>
    </row>
    <row r="838" spans="1:21" hidden="1" x14ac:dyDescent="0.35">
      <c r="A838" s="28" t="str">
        <f>IFERROR(_xlfn.XLOOKUP(C838,[1]DIRETORIA!C:C,[1]DIRETORIA!A:A),"-")</f>
        <v>DIR. COM E CRED CO E AM</v>
      </c>
      <c r="B838" s="28" t="str">
        <f>IFERROR(_xlfn.XLOOKUP(C838,[1]DIRETORIA!C:C,[1]DIRETORIA!B:B),"-")</f>
        <v>GST. COM DF</v>
      </c>
      <c r="C838" s="28" t="str">
        <f>IFERROR(_xlfn.XLOOKUP(E838,[1]EMPREENDIMENTO!C:C,[1]EMPREENDIMENTO!A:A),"-")</f>
        <v>CEILÂNDIA</v>
      </c>
      <c r="D838" s="28" t="s">
        <v>29</v>
      </c>
      <c r="E838" s="28" t="s">
        <v>1568</v>
      </c>
      <c r="F838" s="28" t="s">
        <v>31</v>
      </c>
      <c r="G838" s="28" t="s">
        <v>1569</v>
      </c>
      <c r="H838" s="28">
        <v>51515</v>
      </c>
      <c r="I838" s="29">
        <f>IFERROR(_xlfn.XLOOKUP(E838,[1]EMPREENDIMENTO!C:C,[1]EMPREENDIMENTO!E:E),"0")</f>
        <v>192</v>
      </c>
      <c r="J838" s="30"/>
      <c r="K838" s="28" t="s">
        <v>33</v>
      </c>
      <c r="L838" s="31">
        <v>46212</v>
      </c>
      <c r="M838" s="32">
        <v>54519000</v>
      </c>
      <c r="N838" s="32">
        <v>58359000</v>
      </c>
      <c r="O838" s="32">
        <v>57143560</v>
      </c>
      <c r="P838" s="28" t="s">
        <v>34</v>
      </c>
      <c r="Q838" s="28" t="s">
        <v>1570</v>
      </c>
      <c r="R838" s="30">
        <v>46223</v>
      </c>
      <c r="S838" s="30">
        <v>46213</v>
      </c>
      <c r="T838" s="33"/>
      <c r="U838" s="34" t="str">
        <f>IFERROR(_xlfn.XLOOKUP(E838,[1]EMPREENDIMENTO!C:C,[1]EMPREENDIMENTO!D:D),"")</f>
        <v>b3243bf2-ea5d-ec11-b2fe-005056895191</v>
      </c>
    </row>
    <row r="839" spans="1:21" hidden="1" x14ac:dyDescent="0.35">
      <c r="A839" s="28" t="str">
        <f>IFERROR(_xlfn.XLOOKUP(C839,[1]DIRETORIA!C:C,[1]DIRETORIA!A:A),"-")</f>
        <v>DIR. COM E CRED CO E AM</v>
      </c>
      <c r="B839" s="28" t="str">
        <f>IFERROR(_xlfn.XLOOKUP(C839,[1]DIRETORIA!C:C,[1]DIRETORIA!B:B),"-")</f>
        <v>GST. COM DF</v>
      </c>
      <c r="C839" s="28" t="str">
        <f>IFERROR(_xlfn.XLOOKUP(E839,[1]EMPREENDIMENTO!C:C,[1]EMPREENDIMENTO!A:A),"-")</f>
        <v>CEILÂNDIA</v>
      </c>
      <c r="D839" s="28" t="s">
        <v>29</v>
      </c>
      <c r="E839" s="28" t="s">
        <v>1568</v>
      </c>
      <c r="F839" s="28" t="s">
        <v>36</v>
      </c>
      <c r="G839" s="28" t="s">
        <v>1571</v>
      </c>
      <c r="H839" s="28">
        <v>54321</v>
      </c>
      <c r="I839" s="29">
        <f>IFERROR(_xlfn.XLOOKUP(E839,[1]EMPREENDIMENTO!C:C,[1]EMPREENDIMENTO!E:E),"0")</f>
        <v>192</v>
      </c>
      <c r="J839" s="30"/>
      <c r="K839" s="28" t="s">
        <v>33</v>
      </c>
      <c r="L839" s="31">
        <v>46212</v>
      </c>
      <c r="M839" s="32">
        <v>54519000</v>
      </c>
      <c r="N839" s="32">
        <v>58359000</v>
      </c>
      <c r="O839" s="32">
        <v>57143560</v>
      </c>
      <c r="P839" s="28" t="s">
        <v>34</v>
      </c>
      <c r="Q839" s="28" t="s">
        <v>1570</v>
      </c>
      <c r="R839" s="30">
        <v>46223</v>
      </c>
      <c r="S839" s="30">
        <v>46213</v>
      </c>
      <c r="T839" s="33"/>
      <c r="U839" s="34" t="str">
        <f>IFERROR(_xlfn.XLOOKUP(E839,[1]EMPREENDIMENTO!C:C,[1]EMPREENDIMENTO!D:D),"")</f>
        <v>b3243bf2-ea5d-ec11-b2fe-005056895191</v>
      </c>
    </row>
    <row r="840" spans="1:21" hidden="1" x14ac:dyDescent="0.35">
      <c r="A840" s="28" t="str">
        <f>IFERROR(_xlfn.XLOOKUP(C840,[1]DIRETORIA!C:C,[1]DIRETORIA!A:A),"-")</f>
        <v>DIR. COM E CRED SP E VL</v>
      </c>
      <c r="B840" s="28" t="str">
        <f>IFERROR(_xlfn.XLOOKUP(C840,[1]DIRETORIA!C:C,[1]DIRETORIA!B:B),"-")</f>
        <v>GST. COM SP2</v>
      </c>
      <c r="C840" s="28" t="str">
        <f>IFERROR(_xlfn.XLOOKUP(E840,[1]EMPREENDIMENTO!C:C,[1]EMPREENDIMENTO!A:A),"-")</f>
        <v>SÃO PAULO</v>
      </c>
      <c r="D840" s="28" t="s">
        <v>29</v>
      </c>
      <c r="E840" s="28" t="s">
        <v>1572</v>
      </c>
      <c r="F840" s="28" t="s">
        <v>31</v>
      </c>
      <c r="G840" s="28" t="s">
        <v>1573</v>
      </c>
      <c r="H840" s="28">
        <v>36693</v>
      </c>
      <c r="I840" s="29">
        <f>IFERROR(_xlfn.XLOOKUP(E840,[1]EMPREENDIMENTO!C:C,[1]EMPREENDIMENTO!E:E),"0")</f>
        <v>712</v>
      </c>
      <c r="J840" s="30"/>
      <c r="K840" s="28" t="s">
        <v>33</v>
      </c>
      <c r="L840" s="31">
        <v>46057</v>
      </c>
      <c r="M840" s="32">
        <v>182912464</v>
      </c>
      <c r="N840" s="32">
        <v>204783701</v>
      </c>
      <c r="O840" s="32">
        <v>189744000</v>
      </c>
      <c r="P840" s="28" t="s">
        <v>34</v>
      </c>
      <c r="Q840" s="28" t="s">
        <v>1574</v>
      </c>
      <c r="R840" s="30">
        <v>46076</v>
      </c>
      <c r="S840" s="30">
        <v>46057</v>
      </c>
      <c r="T840" s="33"/>
      <c r="U840" s="34" t="str">
        <f>IFERROR(_xlfn.XLOOKUP(E840,[1]EMPREENDIMENTO!C:C,[1]EMPREENDIMENTO!D:D),"")</f>
        <v>efd5657c-fd76-e711-91b2-80c16e075108</v>
      </c>
    </row>
    <row r="841" spans="1:21" hidden="1" x14ac:dyDescent="0.35">
      <c r="A841" s="28" t="str">
        <f>IFERROR(_xlfn.XLOOKUP(C841,[1]DIRETORIA!C:C,[1]DIRETORIA!A:A),"-")</f>
        <v>DIR. COM E CRED SP E VL</v>
      </c>
      <c r="B841" s="28" t="str">
        <f>IFERROR(_xlfn.XLOOKUP(C841,[1]DIRETORIA!C:C,[1]DIRETORIA!B:B),"-")</f>
        <v>GST. COM SP2</v>
      </c>
      <c r="C841" s="28" t="str">
        <f>IFERROR(_xlfn.XLOOKUP(E841,[1]EMPREENDIMENTO!C:C,[1]EMPREENDIMENTO!A:A),"-")</f>
        <v>SÃO PAULO</v>
      </c>
      <c r="D841" s="28" t="s">
        <v>29</v>
      </c>
      <c r="E841" s="28" t="s">
        <v>1572</v>
      </c>
      <c r="F841" s="28" t="s">
        <v>36</v>
      </c>
      <c r="G841" s="28" t="s">
        <v>1575</v>
      </c>
      <c r="H841" s="28">
        <v>53118</v>
      </c>
      <c r="I841" s="29">
        <f>IFERROR(_xlfn.XLOOKUP(E841,[1]EMPREENDIMENTO!C:C,[1]EMPREENDIMENTO!E:E),"0")</f>
        <v>712</v>
      </c>
      <c r="J841" s="30"/>
      <c r="K841" s="28" t="s">
        <v>33</v>
      </c>
      <c r="L841" s="31">
        <v>46057</v>
      </c>
      <c r="M841" s="32">
        <v>182912464</v>
      </c>
      <c r="N841" s="32">
        <v>204783701</v>
      </c>
      <c r="O841" s="32">
        <v>189744000</v>
      </c>
      <c r="P841" s="28" t="s">
        <v>34</v>
      </c>
      <c r="Q841" s="28" t="s">
        <v>1574</v>
      </c>
      <c r="R841" s="30">
        <v>46076</v>
      </c>
      <c r="S841" s="30">
        <v>46057</v>
      </c>
      <c r="T841" s="33"/>
      <c r="U841" s="34" t="str">
        <f>IFERROR(_xlfn.XLOOKUP(E841,[1]EMPREENDIMENTO!C:C,[1]EMPREENDIMENTO!D:D),"")</f>
        <v>efd5657c-fd76-e711-91b2-80c16e075108</v>
      </c>
    </row>
    <row r="842" spans="1:21" hidden="1" x14ac:dyDescent="0.35">
      <c r="A842" s="28" t="str">
        <f>IFERROR(_xlfn.XLOOKUP(C842,[1]DIRETORIA!C:C,[1]DIRETORIA!A:A),"-")</f>
        <v>DIR. COM E CRED SP E VL</v>
      </c>
      <c r="B842" s="28" t="str">
        <f>IFERROR(_xlfn.XLOOKUP(C842,[1]DIRETORIA!C:C,[1]DIRETORIA!B:B),"-")</f>
        <v>GST. COM SP2</v>
      </c>
      <c r="C842" s="28" t="str">
        <f>IFERROR(_xlfn.XLOOKUP(E842,[1]EMPREENDIMENTO!C:C,[1]EMPREENDIMENTO!A:A),"-")</f>
        <v>SÃO PAULO</v>
      </c>
      <c r="D842" s="28" t="s">
        <v>85</v>
      </c>
      <c r="E842" s="28" t="s">
        <v>1572</v>
      </c>
      <c r="F842" s="28" t="s">
        <v>39</v>
      </c>
      <c r="G842" s="28" t="s">
        <v>268</v>
      </c>
      <c r="H842" s="28">
        <v>53120</v>
      </c>
      <c r="I842" s="29">
        <f>IFERROR(_xlfn.XLOOKUP(E842,[1]EMPREENDIMENTO!C:C,[1]EMPREENDIMENTO!E:E),"0")</f>
        <v>712</v>
      </c>
      <c r="J842" s="30"/>
      <c r="K842" s="28" t="s">
        <v>33</v>
      </c>
      <c r="L842" s="31">
        <v>46057</v>
      </c>
      <c r="M842" s="32">
        <v>182912464</v>
      </c>
      <c r="N842" s="32">
        <v>204783701</v>
      </c>
      <c r="O842" s="32">
        <v>189744000</v>
      </c>
      <c r="P842" s="28" t="s">
        <v>34</v>
      </c>
      <c r="Q842" s="28" t="s">
        <v>1574</v>
      </c>
      <c r="R842" s="30">
        <v>46076</v>
      </c>
      <c r="S842" s="30">
        <v>46057</v>
      </c>
      <c r="T842" s="33"/>
      <c r="U842" s="34" t="str">
        <f>IFERROR(_xlfn.XLOOKUP(E842,[1]EMPREENDIMENTO!C:C,[1]EMPREENDIMENTO!D:D),"")</f>
        <v>efd5657c-fd76-e711-91b2-80c16e075108</v>
      </c>
    </row>
    <row r="843" spans="1:21" hidden="1" x14ac:dyDescent="0.35">
      <c r="A843" s="28" t="str">
        <f>IFERROR(_xlfn.XLOOKUP(C843,[1]DIRETORIA!C:C,[1]DIRETORIA!A:A),"-")</f>
        <v>DIR. COM E CRED RJ</v>
      </c>
      <c r="B843" s="28" t="str">
        <f>IFERROR(_xlfn.XLOOKUP(C843,[1]DIRETORIA!C:C,[1]DIRETORIA!B:B),"-")</f>
        <v>GST. COM RJ2</v>
      </c>
      <c r="C843" s="28" t="str">
        <f>IFERROR(_xlfn.XLOOKUP(E843,[1]EMPREENDIMENTO!C:C,[1]EMPREENDIMENTO!A:A),"-")</f>
        <v>DUQUE DE CAXIAS</v>
      </c>
      <c r="D843" s="28" t="s">
        <v>85</v>
      </c>
      <c r="E843" s="28" t="s">
        <v>1576</v>
      </c>
      <c r="F843" s="28" t="s">
        <v>42</v>
      </c>
      <c r="G843" s="28" t="s">
        <v>1577</v>
      </c>
      <c r="H843" s="28">
        <v>12428</v>
      </c>
      <c r="I843" s="29">
        <f>IFERROR(_xlfn.XLOOKUP(E843,[1]EMPREENDIMENTO!C:C,[1]EMPREENDIMENTO!E:E),"0")</f>
        <v>336</v>
      </c>
      <c r="J843" s="30">
        <v>46112</v>
      </c>
      <c r="K843" s="28" t="s">
        <v>33</v>
      </c>
      <c r="L843" s="31">
        <v>45583</v>
      </c>
      <c r="M843" s="32">
        <v>97299527</v>
      </c>
      <c r="N843" s="32">
        <v>97299527</v>
      </c>
      <c r="O843" s="32">
        <v>94141174</v>
      </c>
      <c r="P843" s="28" t="s">
        <v>34</v>
      </c>
      <c r="Q843" s="28"/>
      <c r="R843" s="30"/>
      <c r="S843" s="30">
        <v>45586</v>
      </c>
      <c r="T843" s="33"/>
      <c r="U843" s="34" t="str">
        <f>IFERROR(_xlfn.XLOOKUP(E843,[1]EMPREENDIMENTO!C:C,[1]EMPREENDIMENTO!D:D),"")</f>
        <v>BD2E43BC-0244-E811-A00D-009C02B0CB58</v>
      </c>
    </row>
    <row r="844" spans="1:21" x14ac:dyDescent="0.35">
      <c r="A844" s="28" t="str">
        <f>IFERROR(_xlfn.XLOOKUP(C844,[1]DIRETORIA!C:C,[1]DIRETORIA!A:A),"-")</f>
        <v>DIR. COM E CRED SPI</v>
      </c>
      <c r="B844" s="28" t="str">
        <f>IFERROR(_xlfn.XLOOKUP(C844,[1]DIRETORIA!C:C,[1]DIRETORIA!B:B),"-")</f>
        <v>GST. COM OP 2</v>
      </c>
      <c r="C844" s="28" t="str">
        <f>IFERROR(_xlfn.XLOOKUP(E844,[1]EMPREENDIMENTO!C:C,[1]EMPREENDIMENTO!A:A),"-")</f>
        <v>MARÍLIA</v>
      </c>
      <c r="D844" s="28" t="s">
        <v>85</v>
      </c>
      <c r="E844" s="28" t="s">
        <v>1578</v>
      </c>
      <c r="F844" s="28" t="s">
        <v>42</v>
      </c>
      <c r="G844" s="28" t="s">
        <v>1579</v>
      </c>
      <c r="H844" s="28">
        <v>51278</v>
      </c>
      <c r="I844" s="29">
        <f>IFERROR(_xlfn.XLOOKUP(E844,[1]EMPREENDIMENTO!C:C,[1]EMPREENDIMENTO!E:E),"0")</f>
        <v>384</v>
      </c>
      <c r="J844" s="30"/>
      <c r="K844" s="28" t="s">
        <v>33</v>
      </c>
      <c r="L844" s="31">
        <v>46259</v>
      </c>
      <c r="M844" s="32">
        <v>91222956</v>
      </c>
      <c r="N844" s="32">
        <v>95670744</v>
      </c>
      <c r="O844" s="32">
        <v>92376864</v>
      </c>
      <c r="P844" s="28" t="s">
        <v>34</v>
      </c>
      <c r="Q844" s="28">
        <v>642828</v>
      </c>
      <c r="R844" s="30">
        <v>45779</v>
      </c>
      <c r="S844" s="30">
        <v>45758</v>
      </c>
      <c r="T844" s="33"/>
      <c r="U844" s="34" t="str">
        <f>IFERROR(_xlfn.XLOOKUP(E844,[1]EMPREENDIMENTO!C:C,[1]EMPREENDIMENTO!D:D),"")</f>
        <v>503EBFD1-8C3D-EC11-B501-005056856B6C</v>
      </c>
    </row>
    <row r="845" spans="1:21" hidden="1" x14ac:dyDescent="0.35">
      <c r="A845" s="28" t="str">
        <f>IFERROR(_xlfn.XLOOKUP(C845,[1]DIRETORIA!C:C,[1]DIRETORIA!A:A),"-")</f>
        <v>DIR. COM E CRED SP E VL</v>
      </c>
      <c r="B845" s="28" t="str">
        <f>IFERROR(_xlfn.XLOOKUP(C845,[1]DIRETORIA!C:C,[1]DIRETORIA!B:B),"-")</f>
        <v>GST. COM VL2</v>
      </c>
      <c r="C845" s="28" t="str">
        <f>IFERROR(_xlfn.XLOOKUP(E845,[1]EMPREENDIMENTO!C:C,[1]EMPREENDIMENTO!A:A),"-")</f>
        <v>GUARULHOS</v>
      </c>
      <c r="D845" s="28" t="s">
        <v>85</v>
      </c>
      <c r="E845" s="28" t="s">
        <v>1580</v>
      </c>
      <c r="F845" s="28" t="s">
        <v>42</v>
      </c>
      <c r="G845" s="28" t="s">
        <v>1581</v>
      </c>
      <c r="H845" s="28">
        <v>35473</v>
      </c>
      <c r="I845" s="29">
        <f>IFERROR(_xlfn.XLOOKUP(E845,[1]EMPREENDIMENTO!C:C,[1]EMPREENDIMENTO!E:E),"0")</f>
        <v>0</v>
      </c>
      <c r="J845" s="30"/>
      <c r="K845" s="28" t="s">
        <v>33</v>
      </c>
      <c r="L845" s="31">
        <v>46049</v>
      </c>
      <c r="M845" s="32">
        <v>299194814</v>
      </c>
      <c r="N845" s="32">
        <v>352537861</v>
      </c>
      <c r="O845" s="32">
        <v>339920439</v>
      </c>
      <c r="P845" s="28" t="s">
        <v>34</v>
      </c>
      <c r="Q845" s="28"/>
      <c r="R845" s="30"/>
      <c r="S845" s="30">
        <v>46049</v>
      </c>
      <c r="T845" s="33"/>
      <c r="U845" s="34" t="str">
        <f>IFERROR(_xlfn.XLOOKUP(E845,[1]EMPREENDIMENTO!C:C,[1]EMPREENDIMENTO!D:D),"")</f>
        <v>23287909-84C5-EC11-B1AD-005056856875</v>
      </c>
    </row>
    <row r="846" spans="1:21" hidden="1" x14ac:dyDescent="0.35">
      <c r="A846" s="28" t="str">
        <f>IFERROR(_xlfn.XLOOKUP(C846,[1]DIRETORIA!C:C,[1]DIRETORIA!A:A),"-")</f>
        <v>DIR. COM E CRED SP E VL</v>
      </c>
      <c r="B846" s="28" t="str">
        <f>IFERROR(_xlfn.XLOOKUP(C846,[1]DIRETORIA!C:C,[1]DIRETORIA!B:B),"-")</f>
        <v>GST. COM SP2</v>
      </c>
      <c r="C846" s="28" t="str">
        <f>IFERROR(_xlfn.XLOOKUP(E846,[1]EMPREENDIMENTO!C:C,[1]EMPREENDIMENTO!A:A),"-")</f>
        <v>SÃO PAULO</v>
      </c>
      <c r="D846" s="28" t="s">
        <v>29</v>
      </c>
      <c r="E846" s="28" t="s">
        <v>1582</v>
      </c>
      <c r="F846" s="28" t="s">
        <v>31</v>
      </c>
      <c r="G846" s="28" t="s">
        <v>1583</v>
      </c>
      <c r="H846" s="28">
        <v>51120</v>
      </c>
      <c r="I846" s="29">
        <f>IFERROR(_xlfn.XLOOKUP(E846,[1]EMPREENDIMENTO!C:C,[1]EMPREENDIMENTO!E:E),"0")</f>
        <v>200</v>
      </c>
      <c r="J846" s="30"/>
      <c r="K846" s="28" t="s">
        <v>164</v>
      </c>
      <c r="L846" s="31">
        <v>46150</v>
      </c>
      <c r="M846" s="32">
        <v>77951655</v>
      </c>
      <c r="N846" s="32">
        <v>85089448</v>
      </c>
      <c r="O846" s="32">
        <v>80012000</v>
      </c>
      <c r="P846" s="28" t="s">
        <v>34</v>
      </c>
      <c r="Q846" s="28" t="s">
        <v>1584</v>
      </c>
      <c r="R846" s="30">
        <v>46160</v>
      </c>
      <c r="S846" s="30">
        <v>46150</v>
      </c>
      <c r="T846" s="33"/>
      <c r="U846" s="34" t="str">
        <f>IFERROR(_xlfn.XLOOKUP(E846,[1]EMPREENDIMENTO!C:C,[1]EMPREENDIMENTO!D:D),"")</f>
        <v>d119abcb-6b62-eb11-aa45-005056856875</v>
      </c>
    </row>
    <row r="847" spans="1:21" hidden="1" x14ac:dyDescent="0.35">
      <c r="A847" s="28" t="str">
        <f>IFERROR(_xlfn.XLOOKUP(C847,[1]DIRETORIA!C:C,[1]DIRETORIA!A:A),"-")</f>
        <v>DIR. COM E CRED SP E VL</v>
      </c>
      <c r="B847" s="28" t="str">
        <f>IFERROR(_xlfn.XLOOKUP(C847,[1]DIRETORIA!C:C,[1]DIRETORIA!B:B),"-")</f>
        <v>GST. COM SP2</v>
      </c>
      <c r="C847" s="28" t="str">
        <f>IFERROR(_xlfn.XLOOKUP(E847,[1]EMPREENDIMENTO!C:C,[1]EMPREENDIMENTO!A:A),"-")</f>
        <v>SÃO PAULO</v>
      </c>
      <c r="D847" s="28" t="s">
        <v>29</v>
      </c>
      <c r="E847" s="28" t="s">
        <v>1582</v>
      </c>
      <c r="F847" s="28" t="s">
        <v>36</v>
      </c>
      <c r="G847" s="28" t="s">
        <v>1585</v>
      </c>
      <c r="H847" s="28">
        <v>54283</v>
      </c>
      <c r="I847" s="29">
        <f>IFERROR(_xlfn.XLOOKUP(E847,[1]EMPREENDIMENTO!C:C,[1]EMPREENDIMENTO!E:E),"0")</f>
        <v>200</v>
      </c>
      <c r="J847" s="30"/>
      <c r="K847" s="28" t="s">
        <v>164</v>
      </c>
      <c r="L847" s="31">
        <v>46150</v>
      </c>
      <c r="M847" s="32">
        <v>77951655</v>
      </c>
      <c r="N847" s="32">
        <v>85089448</v>
      </c>
      <c r="O847" s="32">
        <v>80012000</v>
      </c>
      <c r="P847" s="28" t="s">
        <v>34</v>
      </c>
      <c r="Q847" s="28" t="s">
        <v>1584</v>
      </c>
      <c r="R847" s="30">
        <v>46160</v>
      </c>
      <c r="S847" s="30">
        <v>46150</v>
      </c>
      <c r="T847" s="33"/>
      <c r="U847" s="34" t="str">
        <f>IFERROR(_xlfn.XLOOKUP(E847,[1]EMPREENDIMENTO!C:C,[1]EMPREENDIMENTO!D:D),"")</f>
        <v>d119abcb-6b62-eb11-aa45-005056856875</v>
      </c>
    </row>
    <row r="848" spans="1:21" hidden="1" x14ac:dyDescent="0.35">
      <c r="A848" s="28" t="str">
        <f>IFERROR(_xlfn.XLOOKUP(C848,[1]DIRETORIA!C:C,[1]DIRETORIA!A:A),"-")</f>
        <v>DIR. COM E CRED SUL</v>
      </c>
      <c r="B848" s="28" t="str">
        <f>IFERROR(_xlfn.XLOOKUP(C848,[1]DIRETORIA!C:C,[1]DIRETORIA!B:B),"-")</f>
        <v>GST. COM CURITIBA</v>
      </c>
      <c r="C848" s="28" t="str">
        <f>IFERROR(_xlfn.XLOOKUP(E848,[1]EMPREENDIMENTO!C:C,[1]EMPREENDIMENTO!A:A),"-")</f>
        <v>CURITIBA</v>
      </c>
      <c r="D848" s="28" t="s">
        <v>29</v>
      </c>
      <c r="E848" s="28" t="s">
        <v>1586</v>
      </c>
      <c r="F848" s="28" t="s">
        <v>31</v>
      </c>
      <c r="G848" s="28" t="s">
        <v>1587</v>
      </c>
      <c r="H848" s="28">
        <v>51333</v>
      </c>
      <c r="I848" s="29">
        <f>IFERROR(_xlfn.XLOOKUP(E848,[1]EMPREENDIMENTO!C:C,[1]EMPREENDIMENTO!E:E),"0")</f>
        <v>360</v>
      </c>
      <c r="J848" s="30"/>
      <c r="K848" s="28" t="s">
        <v>33</v>
      </c>
      <c r="L848" s="31">
        <v>45968</v>
      </c>
      <c r="M848" s="32">
        <v>130829870</v>
      </c>
      <c r="N848" s="32">
        <v>132618599</v>
      </c>
      <c r="O848" s="32">
        <v>132618599</v>
      </c>
      <c r="P848" s="28" t="s">
        <v>34</v>
      </c>
      <c r="Q848" s="28" t="s">
        <v>1588</v>
      </c>
      <c r="R848" s="30">
        <v>45994</v>
      </c>
      <c r="S848" s="30">
        <v>45971</v>
      </c>
      <c r="T848" s="33"/>
      <c r="U848" s="34" t="str">
        <f>IFERROR(_xlfn.XLOOKUP(E848,[1]EMPREENDIMENTO!C:C,[1]EMPREENDIMENTO!D:D),"")</f>
        <v>4b72aa30-9dde-eb11-930a-0050568aa20f</v>
      </c>
    </row>
    <row r="849" spans="1:21" hidden="1" x14ac:dyDescent="0.35">
      <c r="A849" s="28" t="str">
        <f>IFERROR(_xlfn.XLOOKUP(C849,[1]DIRETORIA!C:C,[1]DIRETORIA!A:A),"-")</f>
        <v>DIR. COM E CRED SUL</v>
      </c>
      <c r="B849" s="28" t="str">
        <f>IFERROR(_xlfn.XLOOKUP(C849,[1]DIRETORIA!C:C,[1]DIRETORIA!B:B),"-")</f>
        <v>GST. COM CURITIBA</v>
      </c>
      <c r="C849" s="28" t="str">
        <f>IFERROR(_xlfn.XLOOKUP(E849,[1]EMPREENDIMENTO!C:C,[1]EMPREENDIMENTO!A:A),"-")</f>
        <v>CURITIBA</v>
      </c>
      <c r="D849" s="28" t="s">
        <v>29</v>
      </c>
      <c r="E849" s="28" t="s">
        <v>1586</v>
      </c>
      <c r="F849" s="28" t="s">
        <v>36</v>
      </c>
      <c r="G849" s="28" t="s">
        <v>1589</v>
      </c>
      <c r="H849" s="28">
        <v>53664</v>
      </c>
      <c r="I849" s="29">
        <f>IFERROR(_xlfn.XLOOKUP(E849,[1]EMPREENDIMENTO!C:C,[1]EMPREENDIMENTO!E:E),"0")</f>
        <v>360</v>
      </c>
      <c r="J849" s="30"/>
      <c r="K849" s="28" t="s">
        <v>33</v>
      </c>
      <c r="L849" s="31">
        <v>45968</v>
      </c>
      <c r="M849" s="32">
        <v>130829870</v>
      </c>
      <c r="N849" s="32">
        <v>132618599</v>
      </c>
      <c r="O849" s="32">
        <v>132618599</v>
      </c>
      <c r="P849" s="28" t="s">
        <v>34</v>
      </c>
      <c r="Q849" s="28" t="s">
        <v>1588</v>
      </c>
      <c r="R849" s="30">
        <v>45994</v>
      </c>
      <c r="S849" s="30">
        <v>45971</v>
      </c>
      <c r="T849" s="33"/>
      <c r="U849" s="34" t="str">
        <f>IFERROR(_xlfn.XLOOKUP(E849,[1]EMPREENDIMENTO!C:C,[1]EMPREENDIMENTO!D:D),"")</f>
        <v>4b72aa30-9dde-eb11-930a-0050568aa20f</v>
      </c>
    </row>
    <row r="850" spans="1:21" x14ac:dyDescent="0.35">
      <c r="A850" s="28" t="str">
        <f>IFERROR(_xlfn.XLOOKUP(C850,[1]DIRETORIA!C:C,[1]DIRETORIA!A:A),"-")</f>
        <v>DIR. COM E CRED SPI CP</v>
      </c>
      <c r="B850" s="28" t="str">
        <f>IFERROR(_xlfn.XLOOKUP(C850,[1]DIRETORIA!C:C,[1]DIRETORIA!B:B),"-")</f>
        <v>GST. COM CP3</v>
      </c>
      <c r="C850" s="28" t="str">
        <f>IFERROR(_xlfn.XLOOKUP(E850,[1]EMPREENDIMENTO!C:C,[1]EMPREENDIMENTO!A:A),"-")</f>
        <v>LIMEIRA</v>
      </c>
      <c r="D850" s="28" t="s">
        <v>29</v>
      </c>
      <c r="E850" s="28" t="s">
        <v>1590</v>
      </c>
      <c r="F850" s="28" t="s">
        <v>31</v>
      </c>
      <c r="G850" s="28" t="s">
        <v>1591</v>
      </c>
      <c r="H850" s="28">
        <v>29349</v>
      </c>
      <c r="I850" s="29">
        <f>IFERROR(_xlfn.XLOOKUP(E850,[1]EMPREENDIMENTO!C:C,[1]EMPREENDIMENTO!E:E),"0")</f>
        <v>496</v>
      </c>
      <c r="J850" s="30"/>
      <c r="K850" s="28" t="s">
        <v>33</v>
      </c>
      <c r="L850" s="31">
        <v>46168</v>
      </c>
      <c r="M850" s="32">
        <v>165136800</v>
      </c>
      <c r="N850" s="32">
        <v>178667100</v>
      </c>
      <c r="O850" s="32">
        <v>172334100</v>
      </c>
      <c r="P850" s="28" t="s">
        <v>34</v>
      </c>
      <c r="Q850" s="28" t="s">
        <v>1592</v>
      </c>
      <c r="R850" s="30">
        <v>46188</v>
      </c>
      <c r="S850" s="30">
        <v>46168</v>
      </c>
      <c r="T850" s="33"/>
      <c r="U850" s="34" t="str">
        <f>IFERROR(_xlfn.XLOOKUP(E850,[1]EMPREENDIMENTO!C:C,[1]EMPREENDIMENTO!D:D),"")</f>
        <v>c413daed-b7b4-ea11-88c0-0050568aa20f</v>
      </c>
    </row>
    <row r="851" spans="1:21" x14ac:dyDescent="0.35">
      <c r="A851" s="28" t="str">
        <f>IFERROR(_xlfn.XLOOKUP(C851,[1]DIRETORIA!C:C,[1]DIRETORIA!A:A),"-")</f>
        <v>DIR. COM E CRED SPI CP</v>
      </c>
      <c r="B851" s="28" t="str">
        <f>IFERROR(_xlfn.XLOOKUP(C851,[1]DIRETORIA!C:C,[1]DIRETORIA!B:B),"-")</f>
        <v>GST. COM CP3</v>
      </c>
      <c r="C851" s="28" t="str">
        <f>IFERROR(_xlfn.XLOOKUP(E851,[1]EMPREENDIMENTO!C:C,[1]EMPREENDIMENTO!A:A),"-")</f>
        <v>LIMEIRA</v>
      </c>
      <c r="D851" s="28" t="s">
        <v>29</v>
      </c>
      <c r="E851" s="28" t="s">
        <v>1590</v>
      </c>
      <c r="F851" s="28" t="s">
        <v>36</v>
      </c>
      <c r="G851" s="28" t="s">
        <v>1593</v>
      </c>
      <c r="H851" s="28">
        <v>59480</v>
      </c>
      <c r="I851" s="29">
        <f>IFERROR(_xlfn.XLOOKUP(E851,[1]EMPREENDIMENTO!C:C,[1]EMPREENDIMENTO!E:E),"0")</f>
        <v>496</v>
      </c>
      <c r="J851" s="30"/>
      <c r="K851" s="28" t="s">
        <v>33</v>
      </c>
      <c r="L851" s="31">
        <v>46168</v>
      </c>
      <c r="M851" s="32">
        <v>165136800</v>
      </c>
      <c r="N851" s="32">
        <v>178667100</v>
      </c>
      <c r="O851" s="32">
        <v>172334100</v>
      </c>
      <c r="P851" s="28" t="s">
        <v>34</v>
      </c>
      <c r="Q851" s="28" t="s">
        <v>1592</v>
      </c>
      <c r="R851" s="30">
        <v>46188</v>
      </c>
      <c r="S851" s="30">
        <v>46168</v>
      </c>
      <c r="T851" s="33"/>
      <c r="U851" s="34" t="str">
        <f>IFERROR(_xlfn.XLOOKUP(E851,[1]EMPREENDIMENTO!C:C,[1]EMPREENDIMENTO!D:D),"")</f>
        <v>c413daed-b7b4-ea11-88c0-0050568aa20f</v>
      </c>
    </row>
    <row r="852" spans="1:21" x14ac:dyDescent="0.35">
      <c r="A852" s="28" t="str">
        <f>IFERROR(_xlfn.XLOOKUP(C852,[1]DIRETORIA!C:C,[1]DIRETORIA!A:A),"-")</f>
        <v>DIR. COM E CRED SPI CP</v>
      </c>
      <c r="B852" s="28" t="str">
        <f>IFERROR(_xlfn.XLOOKUP(C852,[1]DIRETORIA!C:C,[1]DIRETORIA!B:B),"-")</f>
        <v>GST. COM CP3</v>
      </c>
      <c r="C852" s="28" t="str">
        <f>IFERROR(_xlfn.XLOOKUP(E852,[1]EMPREENDIMENTO!C:C,[1]EMPREENDIMENTO!A:A),"-")</f>
        <v>LIMEIRA</v>
      </c>
      <c r="D852" s="28" t="s">
        <v>29</v>
      </c>
      <c r="E852" s="28" t="s">
        <v>1590</v>
      </c>
      <c r="F852" s="28" t="s">
        <v>39</v>
      </c>
      <c r="G852" s="28" t="s">
        <v>1594</v>
      </c>
      <c r="H852" s="28">
        <v>60860</v>
      </c>
      <c r="I852" s="29">
        <f>IFERROR(_xlfn.XLOOKUP(E852,[1]EMPREENDIMENTO!C:C,[1]EMPREENDIMENTO!E:E),"0")</f>
        <v>496</v>
      </c>
      <c r="J852" s="30"/>
      <c r="K852" s="28" t="s">
        <v>33</v>
      </c>
      <c r="L852" s="31">
        <v>46168</v>
      </c>
      <c r="M852" s="32">
        <v>165136800</v>
      </c>
      <c r="N852" s="32">
        <v>178667100</v>
      </c>
      <c r="O852" s="32">
        <v>172334100</v>
      </c>
      <c r="P852" s="28" t="s">
        <v>34</v>
      </c>
      <c r="Q852" s="28" t="s">
        <v>1592</v>
      </c>
      <c r="R852" s="30">
        <v>46188</v>
      </c>
      <c r="S852" s="30">
        <v>46168</v>
      </c>
      <c r="T852" s="33"/>
      <c r="U852" s="34" t="str">
        <f>IFERROR(_xlfn.XLOOKUP(E852,[1]EMPREENDIMENTO!C:C,[1]EMPREENDIMENTO!D:D),"")</f>
        <v>c413daed-b7b4-ea11-88c0-0050568aa20f</v>
      </c>
    </row>
    <row r="853" spans="1:21" x14ac:dyDescent="0.35">
      <c r="A853" s="28" t="str">
        <f>IFERROR(_xlfn.XLOOKUP(C853,[1]DIRETORIA!C:C,[1]DIRETORIA!A:A),"-")</f>
        <v>DIR. COM E CRED SPI CP</v>
      </c>
      <c r="B853" s="28" t="str">
        <f>IFERROR(_xlfn.XLOOKUP(C853,[1]DIRETORIA!C:C,[1]DIRETORIA!B:B),"-")</f>
        <v>GST. COM CP3</v>
      </c>
      <c r="C853" s="28" t="str">
        <f>IFERROR(_xlfn.XLOOKUP(E853,[1]EMPREENDIMENTO!C:C,[1]EMPREENDIMENTO!A:A),"-")</f>
        <v>LIMEIRA</v>
      </c>
      <c r="D853" s="28" t="s">
        <v>29</v>
      </c>
      <c r="E853" s="28" t="s">
        <v>1590</v>
      </c>
      <c r="F853" s="28" t="s">
        <v>50</v>
      </c>
      <c r="G853" s="28" t="s">
        <v>1595</v>
      </c>
      <c r="H853" s="28">
        <v>61753</v>
      </c>
      <c r="I853" s="29">
        <f>IFERROR(_xlfn.XLOOKUP(E853,[1]EMPREENDIMENTO!C:C,[1]EMPREENDIMENTO!E:E),"0")</f>
        <v>496</v>
      </c>
      <c r="J853" s="30"/>
      <c r="K853" s="28" t="s">
        <v>33</v>
      </c>
      <c r="L853" s="31">
        <v>46168</v>
      </c>
      <c r="M853" s="32">
        <v>165136800</v>
      </c>
      <c r="N853" s="32">
        <v>178667100</v>
      </c>
      <c r="O853" s="32">
        <v>172334100</v>
      </c>
      <c r="P853" s="28" t="s">
        <v>34</v>
      </c>
      <c r="Q853" s="28" t="s">
        <v>1592</v>
      </c>
      <c r="R853" s="30">
        <v>46188</v>
      </c>
      <c r="S853" s="30">
        <v>46168</v>
      </c>
      <c r="T853" s="33"/>
      <c r="U853" s="34" t="str">
        <f>IFERROR(_xlfn.XLOOKUP(E853,[1]EMPREENDIMENTO!C:C,[1]EMPREENDIMENTO!D:D),"")</f>
        <v>c413daed-b7b4-ea11-88c0-0050568aa20f</v>
      </c>
    </row>
    <row r="854" spans="1:21" hidden="1" x14ac:dyDescent="0.35">
      <c r="A854" s="28" t="str">
        <f>IFERROR(_xlfn.XLOOKUP(C854,[1]DIRETORIA!C:C,[1]DIRETORIA!A:A),"-")</f>
        <v>DIR. COM E CRED NE</v>
      </c>
      <c r="B854" s="28" t="str">
        <f>IFERROR(_xlfn.XLOOKUP(C854,[1]DIRETORIA!C:C,[1]DIRETORIA!B:B),"-")</f>
        <v>GST. COM NE1 (BA 1)</v>
      </c>
      <c r="C854" s="28" t="str">
        <f>IFERROR(_xlfn.XLOOKUP(E854,[1]EMPREENDIMENTO!C:C,[1]EMPREENDIMENTO!A:A),"-")</f>
        <v>CAMAÇARI</v>
      </c>
      <c r="D854" s="28" t="s">
        <v>29</v>
      </c>
      <c r="E854" s="28" t="s">
        <v>1596</v>
      </c>
      <c r="F854" s="28" t="s">
        <v>31</v>
      </c>
      <c r="G854" s="28" t="s">
        <v>1597</v>
      </c>
      <c r="H854" s="28">
        <v>30805</v>
      </c>
      <c r="I854" s="29">
        <f>IFERROR(_xlfn.XLOOKUP(E854,[1]EMPREENDIMENTO!C:C,[1]EMPREENDIMENTO!E:E),"0")</f>
        <v>420</v>
      </c>
      <c r="J854" s="30"/>
      <c r="K854" s="28" t="s">
        <v>164</v>
      </c>
      <c r="L854" s="31">
        <v>46258</v>
      </c>
      <c r="M854" s="32">
        <v>104509096</v>
      </c>
      <c r="N854" s="32">
        <v>111538345.00000001</v>
      </c>
      <c r="O854" s="32">
        <v>106143500</v>
      </c>
      <c r="P854" s="28" t="s">
        <v>34</v>
      </c>
      <c r="Q854" s="28" t="s">
        <v>1598</v>
      </c>
      <c r="R854" s="30">
        <v>46258</v>
      </c>
      <c r="S854" s="30">
        <v>46258</v>
      </c>
      <c r="T854" s="33"/>
      <c r="U854" s="34" t="str">
        <f>IFERROR(_xlfn.XLOOKUP(E854,[1]EMPREENDIMENTO!C:C,[1]EMPREENDIMENTO!D:D),"")</f>
        <v>8934b18b-aaba-e811-a4f5-80c16e075108</v>
      </c>
    </row>
    <row r="855" spans="1:21" hidden="1" x14ac:dyDescent="0.35">
      <c r="A855" s="28" t="str">
        <f>IFERROR(_xlfn.XLOOKUP(C855,[1]DIRETORIA!C:C,[1]DIRETORIA!A:A),"-")</f>
        <v>DIR. COM E CRED NE</v>
      </c>
      <c r="B855" s="28" t="str">
        <f>IFERROR(_xlfn.XLOOKUP(C855,[1]DIRETORIA!C:C,[1]DIRETORIA!B:B),"-")</f>
        <v>GST. COM NE1 (BA 1)</v>
      </c>
      <c r="C855" s="28" t="str">
        <f>IFERROR(_xlfn.XLOOKUP(E855,[1]EMPREENDIMENTO!C:C,[1]EMPREENDIMENTO!A:A),"-")</f>
        <v>CAMAÇARI</v>
      </c>
      <c r="D855" s="28" t="s">
        <v>29</v>
      </c>
      <c r="E855" s="28" t="s">
        <v>1596</v>
      </c>
      <c r="F855" s="28" t="s">
        <v>36</v>
      </c>
      <c r="G855" s="28" t="s">
        <v>1599</v>
      </c>
      <c r="H855" s="28">
        <v>58843</v>
      </c>
      <c r="I855" s="29">
        <f>IFERROR(_xlfn.XLOOKUP(E855,[1]EMPREENDIMENTO!C:C,[1]EMPREENDIMENTO!E:E),"0")</f>
        <v>420</v>
      </c>
      <c r="J855" s="30"/>
      <c r="K855" s="28" t="s">
        <v>164</v>
      </c>
      <c r="L855" s="31">
        <v>46258</v>
      </c>
      <c r="M855" s="32">
        <v>104509096</v>
      </c>
      <c r="N855" s="32">
        <v>111538345.00000001</v>
      </c>
      <c r="O855" s="32">
        <v>106143500</v>
      </c>
      <c r="P855" s="28" t="s">
        <v>34</v>
      </c>
      <c r="Q855" s="28" t="s">
        <v>1598</v>
      </c>
      <c r="R855" s="30">
        <v>46258</v>
      </c>
      <c r="S855" s="30">
        <v>46258</v>
      </c>
      <c r="T855" s="33"/>
      <c r="U855" s="34" t="str">
        <f>IFERROR(_xlfn.XLOOKUP(E855,[1]EMPREENDIMENTO!C:C,[1]EMPREENDIMENTO!D:D),"")</f>
        <v>8934b18b-aaba-e811-a4f5-80c16e075108</v>
      </c>
    </row>
    <row r="856" spans="1:21" hidden="1" x14ac:dyDescent="0.35">
      <c r="A856" s="28" t="str">
        <f>IFERROR(_xlfn.XLOOKUP(C856,[1]DIRETORIA!C:C,[1]DIRETORIA!A:A),"-")</f>
        <v>DIR. COM E CRED NE</v>
      </c>
      <c r="B856" s="28" t="str">
        <f>IFERROR(_xlfn.XLOOKUP(C856,[1]DIRETORIA!C:C,[1]DIRETORIA!B:B),"-")</f>
        <v>GST. COM NE1 (BA 1)</v>
      </c>
      <c r="C856" s="28" t="str">
        <f>IFERROR(_xlfn.XLOOKUP(E856,[1]EMPREENDIMENTO!C:C,[1]EMPREENDIMENTO!A:A),"-")</f>
        <v>CAMAÇARI</v>
      </c>
      <c r="D856" s="28" t="s">
        <v>29</v>
      </c>
      <c r="E856" s="28" t="s">
        <v>1596</v>
      </c>
      <c r="F856" s="28" t="s">
        <v>39</v>
      </c>
      <c r="G856" s="28" t="s">
        <v>1600</v>
      </c>
      <c r="H856" s="28">
        <v>60602</v>
      </c>
      <c r="I856" s="29">
        <f>IFERROR(_xlfn.XLOOKUP(E856,[1]EMPREENDIMENTO!C:C,[1]EMPREENDIMENTO!E:E),"0")</f>
        <v>420</v>
      </c>
      <c r="J856" s="30"/>
      <c r="K856" s="28" t="s">
        <v>164</v>
      </c>
      <c r="L856" s="31">
        <v>46258</v>
      </c>
      <c r="M856" s="32">
        <v>104509096</v>
      </c>
      <c r="N856" s="32">
        <v>111538345.00000001</v>
      </c>
      <c r="O856" s="32">
        <v>106143500</v>
      </c>
      <c r="P856" s="28" t="s">
        <v>34</v>
      </c>
      <c r="Q856" s="28" t="s">
        <v>1598</v>
      </c>
      <c r="R856" s="30">
        <v>46258</v>
      </c>
      <c r="S856" s="30">
        <v>46258</v>
      </c>
      <c r="T856" s="33"/>
      <c r="U856" s="34" t="str">
        <f>IFERROR(_xlfn.XLOOKUP(E856,[1]EMPREENDIMENTO!C:C,[1]EMPREENDIMENTO!D:D),"")</f>
        <v>8934b18b-aaba-e811-a4f5-80c16e075108</v>
      </c>
    </row>
    <row r="857" spans="1:21" hidden="1" x14ac:dyDescent="0.35">
      <c r="A857" s="28" t="str">
        <f>IFERROR(_xlfn.XLOOKUP(C857,[1]DIRETORIA!C:C,[1]DIRETORIA!A:A),"-")</f>
        <v>DIR. COM E CRED SP E VL</v>
      </c>
      <c r="B857" s="28" t="str">
        <f>IFERROR(_xlfn.XLOOKUP(C857,[1]DIRETORIA!C:C,[1]DIRETORIA!B:B),"-")</f>
        <v>GST. COM SP2</v>
      </c>
      <c r="C857" s="28" t="str">
        <f>IFERROR(_xlfn.XLOOKUP(E857,[1]EMPREENDIMENTO!C:C,[1]EMPREENDIMENTO!A:A),"-")</f>
        <v>SÃO PAULO</v>
      </c>
      <c r="D857" s="28" t="s">
        <v>29</v>
      </c>
      <c r="E857" s="28" t="s">
        <v>1601</v>
      </c>
      <c r="F857" s="28" t="s">
        <v>42</v>
      </c>
      <c r="G857" s="28" t="s">
        <v>1602</v>
      </c>
      <c r="H857" s="28">
        <v>51288</v>
      </c>
      <c r="I857" s="29">
        <f>IFERROR(_xlfn.XLOOKUP(E857,[1]EMPREENDIMENTO!C:C,[1]EMPREENDIMENTO!E:E),"0")</f>
        <v>283</v>
      </c>
      <c r="J857" s="30"/>
      <c r="K857" s="28" t="s">
        <v>33</v>
      </c>
      <c r="L857" s="31">
        <v>45791</v>
      </c>
      <c r="M857" s="32">
        <v>93133326</v>
      </c>
      <c r="N857" s="32">
        <v>93133326</v>
      </c>
      <c r="O857" s="32">
        <v>90494400</v>
      </c>
      <c r="P857" s="28" t="s">
        <v>34</v>
      </c>
      <c r="Q857" s="28"/>
      <c r="R857" s="30"/>
      <c r="S857" s="30">
        <v>45791</v>
      </c>
      <c r="T857" s="33"/>
      <c r="U857" s="34" t="str">
        <f>IFERROR(_xlfn.XLOOKUP(E857,[1]EMPREENDIMENTO!C:C,[1]EMPREENDIMENTO!D:D),"")</f>
        <v>ae8599cb-a1cd-ed11-98d9-009c02b0cb58</v>
      </c>
    </row>
    <row r="858" spans="1:21" hidden="1" x14ac:dyDescent="0.35">
      <c r="A858" s="28" t="str">
        <f>IFERROR(_xlfn.XLOOKUP(C858,[1]DIRETORIA!C:C,[1]DIRETORIA!A:A),"-")</f>
        <v>DIR. COM E CRED RJ</v>
      </c>
      <c r="B858" s="28" t="str">
        <f>IFERROR(_xlfn.XLOOKUP(C858,[1]DIRETORIA!C:C,[1]DIRETORIA!B:B),"-")</f>
        <v>GST. COM RJ1</v>
      </c>
      <c r="C858" s="28" t="str">
        <f>IFERROR(_xlfn.XLOOKUP(E858,[1]EMPREENDIMENTO!C:C,[1]EMPREENDIMENTO!A:A),"-")</f>
        <v>RIO DE JANEIRO</v>
      </c>
      <c r="D858" s="28" t="s">
        <v>29</v>
      </c>
      <c r="E858" s="28" t="s">
        <v>1603</v>
      </c>
      <c r="F858" s="28" t="s">
        <v>31</v>
      </c>
      <c r="G858" s="28" t="s">
        <v>1604</v>
      </c>
      <c r="H858" s="28">
        <v>46147</v>
      </c>
      <c r="I858" s="29">
        <f>IFERROR(_xlfn.XLOOKUP(E858,[1]EMPREENDIMENTO!C:C,[1]EMPREENDIMENTO!E:E),"0")</f>
        <v>432</v>
      </c>
      <c r="J858" s="30"/>
      <c r="K858" s="28" t="s">
        <v>164</v>
      </c>
      <c r="L858" s="31">
        <v>46198</v>
      </c>
      <c r="M858" s="32">
        <v>121898297</v>
      </c>
      <c r="N858" s="32">
        <v>131752356</v>
      </c>
      <c r="O858" s="32">
        <v>131748109</v>
      </c>
      <c r="P858" s="28" t="s">
        <v>34</v>
      </c>
      <c r="Q858" s="28" t="s">
        <v>1605</v>
      </c>
      <c r="R858" s="30">
        <v>46202</v>
      </c>
      <c r="S858" s="30">
        <v>46199</v>
      </c>
      <c r="T858" s="33"/>
      <c r="U858" s="34" t="str">
        <f>IFERROR(_xlfn.XLOOKUP(E858,[1]EMPREENDIMENTO!C:C,[1]EMPREENDIMENTO!D:D),"")</f>
        <v>d8931935-6347-ee11-9510-005056856875</v>
      </c>
    </row>
    <row r="859" spans="1:21" hidden="1" x14ac:dyDescent="0.35">
      <c r="A859" s="28" t="str">
        <f>IFERROR(_xlfn.XLOOKUP(C859,[1]DIRETORIA!C:C,[1]DIRETORIA!A:A),"-")</f>
        <v>DIR. COM E CRED RJ</v>
      </c>
      <c r="B859" s="28" t="str">
        <f>IFERROR(_xlfn.XLOOKUP(C859,[1]DIRETORIA!C:C,[1]DIRETORIA!B:B),"-")</f>
        <v>GST. COM RJ1</v>
      </c>
      <c r="C859" s="28" t="str">
        <f>IFERROR(_xlfn.XLOOKUP(E859,[1]EMPREENDIMENTO!C:C,[1]EMPREENDIMENTO!A:A),"-")</f>
        <v>RIO DE JANEIRO</v>
      </c>
      <c r="D859" s="28" t="s">
        <v>85</v>
      </c>
      <c r="E859" s="28" t="s">
        <v>1603</v>
      </c>
      <c r="F859" s="28" t="s">
        <v>36</v>
      </c>
      <c r="G859" s="28" t="s">
        <v>268</v>
      </c>
      <c r="H859" s="28" t="s">
        <v>268</v>
      </c>
      <c r="I859" s="29">
        <f>IFERROR(_xlfn.XLOOKUP(E859,[1]EMPREENDIMENTO!C:C,[1]EMPREENDIMENTO!E:E),"0")</f>
        <v>432</v>
      </c>
      <c r="J859" s="30"/>
      <c r="K859" s="28" t="s">
        <v>164</v>
      </c>
      <c r="L859" s="31">
        <v>46198</v>
      </c>
      <c r="M859" s="32">
        <v>121898297</v>
      </c>
      <c r="N859" s="32">
        <v>131752356</v>
      </c>
      <c r="O859" s="32">
        <v>131748109</v>
      </c>
      <c r="P859" s="28" t="s">
        <v>34</v>
      </c>
      <c r="Q859" s="28" t="s">
        <v>1605</v>
      </c>
      <c r="R859" s="30">
        <v>46202</v>
      </c>
      <c r="S859" s="30">
        <v>46199</v>
      </c>
      <c r="T859" s="33"/>
      <c r="U859" s="34" t="str">
        <f>IFERROR(_xlfn.XLOOKUP(E859,[1]EMPREENDIMENTO!C:C,[1]EMPREENDIMENTO!D:D),"")</f>
        <v>d8931935-6347-ee11-9510-005056856875</v>
      </c>
    </row>
    <row r="860" spans="1:21" hidden="1" x14ac:dyDescent="0.35">
      <c r="A860" s="28" t="str">
        <f>IFERROR(_xlfn.XLOOKUP(C860,[1]DIRETORIA!C:C,[1]DIRETORIA!A:A),"-")</f>
        <v>DIR. COM E CRED MG E ES</v>
      </c>
      <c r="B860" s="28" t="str">
        <f>IFERROR(_xlfn.XLOOKUP(C860,[1]DIRETORIA!C:C,[1]DIRETORIA!B:B),"-")</f>
        <v>GST. COM BH E INT</v>
      </c>
      <c r="C860" s="28" t="str">
        <f>IFERROR(_xlfn.XLOOKUP(E860,[1]EMPREENDIMENTO!C:C,[1]EMPREENDIMENTO!A:A),"-")</f>
        <v>BELO HORIZONTE</v>
      </c>
      <c r="D860" s="28" t="s">
        <v>29</v>
      </c>
      <c r="E860" s="28" t="s">
        <v>1606</v>
      </c>
      <c r="F860" s="28" t="s">
        <v>42</v>
      </c>
      <c r="G860" s="28" t="s">
        <v>1607</v>
      </c>
      <c r="H860" s="28">
        <v>51749</v>
      </c>
      <c r="I860" s="29">
        <f>IFERROR(_xlfn.XLOOKUP(E860,[1]EMPREENDIMENTO!C:C,[1]EMPREENDIMENTO!E:E),"0")</f>
        <v>96</v>
      </c>
      <c r="J860" s="30"/>
      <c r="K860" s="28" t="s">
        <v>33</v>
      </c>
      <c r="L860" s="31">
        <v>46211</v>
      </c>
      <c r="M860" s="32">
        <v>39282286.679999992</v>
      </c>
      <c r="N860" s="32">
        <v>45218071</v>
      </c>
      <c r="O860" s="32">
        <v>41882570</v>
      </c>
      <c r="P860" s="28" t="s">
        <v>34</v>
      </c>
      <c r="Q860" s="28" t="s">
        <v>1608</v>
      </c>
      <c r="R860" s="30">
        <v>46213</v>
      </c>
      <c r="S860" s="30">
        <v>46211</v>
      </c>
      <c r="T860" s="33" t="s">
        <v>1609</v>
      </c>
      <c r="U860" s="34" t="str">
        <f>IFERROR(_xlfn.XLOOKUP(E860,[1]EMPREENDIMENTO!C:C,[1]EMPREENDIMENTO!D:D),"")</f>
        <v>b054da8a-3b28-ec11-b501-005056856b6c</v>
      </c>
    </row>
    <row r="861" spans="1:21" x14ac:dyDescent="0.35">
      <c r="A861" s="28" t="str">
        <f>IFERROR(_xlfn.XLOOKUP(C861,[1]DIRETORIA!C:C,[1]DIRETORIA!A:A),"-")</f>
        <v>DIR. COM E CRED SPI</v>
      </c>
      <c r="B861" s="28" t="str">
        <f>IFERROR(_xlfn.XLOOKUP(C861,[1]DIRETORIA!C:C,[1]DIRETORIA!B:B),"-")</f>
        <v>GST. COM RP 2</v>
      </c>
      <c r="C861" s="28" t="str">
        <f>IFERROR(_xlfn.XLOOKUP(E861,[1]EMPREENDIMENTO!C:C,[1]EMPREENDIMENTO!A:A),"-")</f>
        <v>ARARAQUARA</v>
      </c>
      <c r="D861" s="28" t="s">
        <v>85</v>
      </c>
      <c r="E861" s="28" t="s">
        <v>1610</v>
      </c>
      <c r="F861" s="28" t="s">
        <v>42</v>
      </c>
      <c r="G861" s="28" t="s">
        <v>1611</v>
      </c>
      <c r="H861" s="28">
        <v>52089</v>
      </c>
      <c r="I861" s="29">
        <f>IFERROR(_xlfn.XLOOKUP(E861,[1]EMPREENDIMENTO!C:C,[1]EMPREENDIMENTO!E:E),"0")</f>
        <v>320</v>
      </c>
      <c r="J861" s="30"/>
      <c r="K861" s="28" t="s">
        <v>33</v>
      </c>
      <c r="L861" s="31">
        <v>46209</v>
      </c>
      <c r="M861" s="32">
        <v>82291583</v>
      </c>
      <c r="N861" s="32">
        <v>90193535</v>
      </c>
      <c r="O861" s="32">
        <v>85252000</v>
      </c>
      <c r="P861" s="28" t="s">
        <v>34</v>
      </c>
      <c r="Q861" s="28"/>
      <c r="R861" s="30"/>
      <c r="S861" s="30">
        <v>45868</v>
      </c>
      <c r="T861" s="33"/>
      <c r="U861" s="34" t="str">
        <f>IFERROR(_xlfn.XLOOKUP(E861,[1]EMPREENDIMENTO!C:C,[1]EMPREENDIMENTO!D:D),"")</f>
        <v>FFBA3C73-ED44-ED11-985B-009C02B0CB58</v>
      </c>
    </row>
    <row r="862" spans="1:21" hidden="1" x14ac:dyDescent="0.35">
      <c r="A862" s="28" t="str">
        <f>IFERROR(_xlfn.XLOOKUP(C862,[1]DIRETORIA!C:C,[1]DIRETORIA!A:A),"-")</f>
        <v>DIR. COM E CRED NE</v>
      </c>
      <c r="B862" s="28" t="str">
        <f>IFERROR(_xlfn.XLOOKUP(C862,[1]DIRETORIA!C:C,[1]DIRETORIA!B:B),"-")</f>
        <v>GST. COM NE4 (CE)</v>
      </c>
      <c r="C862" s="28" t="str">
        <f>IFERROR(_xlfn.XLOOKUP(E862,[1]EMPREENDIMENTO!C:C,[1]EMPREENDIMENTO!A:A),"-")</f>
        <v>CAUCAIA</v>
      </c>
      <c r="D862" s="28" t="s">
        <v>29</v>
      </c>
      <c r="E862" s="28" t="s">
        <v>1612</v>
      </c>
      <c r="F862" s="28" t="s">
        <v>42</v>
      </c>
      <c r="G862" s="28" t="s">
        <v>1613</v>
      </c>
      <c r="H862" s="28">
        <v>50796</v>
      </c>
      <c r="I862" s="29">
        <f>IFERROR(_xlfn.XLOOKUP(E862,[1]EMPREENDIMENTO!C:C,[1]EMPREENDIMENTO!E:E),"0")</f>
        <v>320</v>
      </c>
      <c r="J862" s="30"/>
      <c r="K862" s="28" t="s">
        <v>33</v>
      </c>
      <c r="L862" s="31">
        <v>46259</v>
      </c>
      <c r="M862" s="32">
        <v>74876535</v>
      </c>
      <c r="N862" s="32">
        <v>82245968</v>
      </c>
      <c r="O862" s="32">
        <v>76680716</v>
      </c>
      <c r="P862" s="28" t="s">
        <v>34</v>
      </c>
      <c r="Q862" s="28" t="s">
        <v>1614</v>
      </c>
      <c r="R862" s="30">
        <v>46258</v>
      </c>
      <c r="S862" s="30">
        <v>46259</v>
      </c>
      <c r="T862" s="33"/>
      <c r="U862" s="34" t="str">
        <f>IFERROR(_xlfn.XLOOKUP(E862,[1]EMPREENDIMENTO!C:C,[1]EMPREENDIMENTO!D:D),"")</f>
        <v>7594f197-685d-ee11-8acd-80c16e075108</v>
      </c>
    </row>
    <row r="863" spans="1:21" hidden="1" x14ac:dyDescent="0.35">
      <c r="A863" s="28" t="str">
        <f>IFERROR(_xlfn.XLOOKUP(C863,[1]DIRETORIA!C:C,[1]DIRETORIA!A:A),"-")</f>
        <v>DIR. COM E CRED SP E VL</v>
      </c>
      <c r="B863" s="28" t="str">
        <f>IFERROR(_xlfn.XLOOKUP(C863,[1]DIRETORIA!C:C,[1]DIRETORIA!B:B),"-")</f>
        <v>GST. COM SP2</v>
      </c>
      <c r="C863" s="28" t="str">
        <f>IFERROR(_xlfn.XLOOKUP(E863,[1]EMPREENDIMENTO!C:C,[1]EMPREENDIMENTO!A:A),"-")</f>
        <v>SÃO PAULO</v>
      </c>
      <c r="D863" s="28" t="s">
        <v>29</v>
      </c>
      <c r="E863" s="28" t="s">
        <v>1615</v>
      </c>
      <c r="F863" s="28" t="s">
        <v>31</v>
      </c>
      <c r="G863" s="28" t="s">
        <v>1616</v>
      </c>
      <c r="H863" s="28">
        <v>37982</v>
      </c>
      <c r="I863" s="29">
        <f>IFERROR(_xlfn.XLOOKUP(E863,[1]EMPREENDIMENTO!C:C,[1]EMPREENDIMENTO!E:E),"0")</f>
        <v>432</v>
      </c>
      <c r="J863" s="30"/>
      <c r="K863" s="28" t="s">
        <v>33</v>
      </c>
      <c r="L863" s="31">
        <v>45608</v>
      </c>
      <c r="M863" s="32">
        <v>128967542</v>
      </c>
      <c r="N863" s="32">
        <v>131677367</v>
      </c>
      <c r="O863" s="32">
        <v>131602367</v>
      </c>
      <c r="P863" s="28" t="s">
        <v>34</v>
      </c>
      <c r="Q863" s="28"/>
      <c r="R863" s="30"/>
      <c r="S863" s="30">
        <v>45860</v>
      </c>
      <c r="T863" s="33"/>
      <c r="U863" s="34" t="str">
        <f>IFERROR(_xlfn.XLOOKUP(E863,[1]EMPREENDIMENTO!C:C,[1]EMPREENDIMENTO!D:D),"")</f>
        <v>809d74aa-9a78-ec11-a871-005056895191</v>
      </c>
    </row>
    <row r="864" spans="1:21" hidden="1" x14ac:dyDescent="0.35">
      <c r="A864" s="28" t="str">
        <f>IFERROR(_xlfn.XLOOKUP(C864,[1]DIRETORIA!C:C,[1]DIRETORIA!A:A),"-")</f>
        <v>DIR. COM E CRED SP E VL</v>
      </c>
      <c r="B864" s="28" t="str">
        <f>IFERROR(_xlfn.XLOOKUP(C864,[1]DIRETORIA!C:C,[1]DIRETORIA!B:B),"-")</f>
        <v>GST. COM SP2</v>
      </c>
      <c r="C864" s="28" t="str">
        <f>IFERROR(_xlfn.XLOOKUP(E864,[1]EMPREENDIMENTO!C:C,[1]EMPREENDIMENTO!A:A),"-")</f>
        <v>SÃO PAULO</v>
      </c>
      <c r="D864" s="28" t="s">
        <v>85</v>
      </c>
      <c r="E864" s="28" t="s">
        <v>1615</v>
      </c>
      <c r="F864" s="28" t="s">
        <v>36</v>
      </c>
      <c r="G864" s="28" t="s">
        <v>268</v>
      </c>
      <c r="H864" s="28" t="s">
        <v>268</v>
      </c>
      <c r="I864" s="29">
        <f>IFERROR(_xlfn.XLOOKUP(E864,[1]EMPREENDIMENTO!C:C,[1]EMPREENDIMENTO!E:E),"0")</f>
        <v>432</v>
      </c>
      <c r="J864" s="30"/>
      <c r="K864" s="28" t="s">
        <v>33</v>
      </c>
      <c r="L864" s="31">
        <v>45608</v>
      </c>
      <c r="M864" s="32">
        <v>128967542</v>
      </c>
      <c r="N864" s="32">
        <v>131677367</v>
      </c>
      <c r="O864" s="32">
        <v>131602367</v>
      </c>
      <c r="P864" s="28" t="s">
        <v>34</v>
      </c>
      <c r="Q864" s="28"/>
      <c r="R864" s="30"/>
      <c r="S864" s="30">
        <v>45860</v>
      </c>
      <c r="T864" s="33"/>
      <c r="U864" s="34" t="str">
        <f>IFERROR(_xlfn.XLOOKUP(E864,[1]EMPREENDIMENTO!C:C,[1]EMPREENDIMENTO!D:D),"")</f>
        <v>809d74aa-9a78-ec11-a871-005056895191</v>
      </c>
    </row>
    <row r="865" spans="1:21" hidden="1" x14ac:dyDescent="0.35">
      <c r="A865" s="28" t="str">
        <f>IFERROR(_xlfn.XLOOKUP(C865,[1]DIRETORIA!C:C,[1]DIRETORIA!A:A),"-")</f>
        <v>DIR. COM E CRED SUL</v>
      </c>
      <c r="B865" s="28" t="str">
        <f>IFERROR(_xlfn.XLOOKUP(C865,[1]DIRETORIA!C:C,[1]DIRETORIA!B:B),"-")</f>
        <v>GST. COM SC</v>
      </c>
      <c r="C865" s="28" t="str">
        <f>IFERROR(_xlfn.XLOOKUP(E865,[1]EMPREENDIMENTO!C:C,[1]EMPREENDIMENTO!A:A),"-")</f>
        <v>SÃO JOSÉ</v>
      </c>
      <c r="D865" s="28" t="s">
        <v>29</v>
      </c>
      <c r="E865" s="28" t="s">
        <v>1617</v>
      </c>
      <c r="F865" s="28" t="s">
        <v>31</v>
      </c>
      <c r="G865" s="28" t="s">
        <v>1618</v>
      </c>
      <c r="H865" s="28">
        <v>51648</v>
      </c>
      <c r="I865" s="29">
        <f>IFERROR(_xlfn.XLOOKUP(E865,[1]EMPREENDIMENTO!C:C,[1]EMPREENDIMENTO!E:E),"0")</f>
        <v>288</v>
      </c>
      <c r="J865" s="30"/>
      <c r="K865" s="28" t="s">
        <v>33</v>
      </c>
      <c r="L865" s="31">
        <v>46219</v>
      </c>
      <c r="M865" s="32">
        <v>86061000</v>
      </c>
      <c r="N865" s="32">
        <v>88204526</v>
      </c>
      <c r="O865" s="32">
        <v>86916400</v>
      </c>
      <c r="P865" s="28" t="s">
        <v>34</v>
      </c>
      <c r="Q865" s="28" t="s">
        <v>1619</v>
      </c>
      <c r="R865" s="30">
        <v>46223</v>
      </c>
      <c r="S865" s="30">
        <v>46220</v>
      </c>
      <c r="T865" s="33"/>
      <c r="U865" s="34" t="str">
        <f>IFERROR(_xlfn.XLOOKUP(E865,[1]EMPREENDIMENTO!C:C,[1]EMPREENDIMENTO!D:D),"")</f>
        <v>ea6416a9-edbf-ec11-ba45-005056890018</v>
      </c>
    </row>
    <row r="866" spans="1:21" hidden="1" x14ac:dyDescent="0.35">
      <c r="A866" s="28" t="str">
        <f>IFERROR(_xlfn.XLOOKUP(C866,[1]DIRETORIA!C:C,[1]DIRETORIA!A:A),"-")</f>
        <v>DIR. COM E CRED SUL</v>
      </c>
      <c r="B866" s="28" t="str">
        <f>IFERROR(_xlfn.XLOOKUP(C866,[1]DIRETORIA!C:C,[1]DIRETORIA!B:B),"-")</f>
        <v>GST. COM SC</v>
      </c>
      <c r="C866" s="28" t="str">
        <f>IFERROR(_xlfn.XLOOKUP(E866,[1]EMPREENDIMENTO!C:C,[1]EMPREENDIMENTO!A:A),"-")</f>
        <v>SÃO JOSÉ</v>
      </c>
      <c r="D866" s="28" t="s">
        <v>29</v>
      </c>
      <c r="E866" s="28" t="s">
        <v>1617</v>
      </c>
      <c r="F866" s="28" t="s">
        <v>36</v>
      </c>
      <c r="G866" s="28" t="s">
        <v>1620</v>
      </c>
      <c r="H866" s="28">
        <v>56604</v>
      </c>
      <c r="I866" s="29">
        <f>IFERROR(_xlfn.XLOOKUP(E866,[1]EMPREENDIMENTO!C:C,[1]EMPREENDIMENTO!E:E),"0")</f>
        <v>288</v>
      </c>
      <c r="J866" s="30"/>
      <c r="K866" s="28" t="s">
        <v>33</v>
      </c>
      <c r="L866" s="31">
        <v>46219</v>
      </c>
      <c r="M866" s="32">
        <v>86061000</v>
      </c>
      <c r="N866" s="32">
        <v>88204526</v>
      </c>
      <c r="O866" s="32">
        <v>86916400</v>
      </c>
      <c r="P866" s="28" t="s">
        <v>34</v>
      </c>
      <c r="Q866" s="28" t="s">
        <v>1619</v>
      </c>
      <c r="R866" s="30">
        <v>46223</v>
      </c>
      <c r="S866" s="30">
        <v>46220</v>
      </c>
      <c r="T866" s="33"/>
      <c r="U866" s="34" t="str">
        <f>IFERROR(_xlfn.XLOOKUP(E866,[1]EMPREENDIMENTO!C:C,[1]EMPREENDIMENTO!D:D),"")</f>
        <v>ea6416a9-edbf-ec11-ba45-005056890018</v>
      </c>
    </row>
    <row r="867" spans="1:21" hidden="1" x14ac:dyDescent="0.35">
      <c r="A867" s="28" t="str">
        <f>IFERROR(_xlfn.XLOOKUP(C867,[1]DIRETORIA!C:C,[1]DIRETORIA!A:A),"-")</f>
        <v>DIR. COM E CRED NE</v>
      </c>
      <c r="B867" s="28" t="str">
        <f>IFERROR(_xlfn.XLOOKUP(C867,[1]DIRETORIA!C:C,[1]DIRETORIA!B:B),"-")</f>
        <v>GST. COM NE4 (CE)</v>
      </c>
      <c r="C867" s="28" t="str">
        <f>IFERROR(_xlfn.XLOOKUP(E867,[1]EMPREENDIMENTO!C:C,[1]EMPREENDIMENTO!A:A),"-")</f>
        <v>FORTALEZA</v>
      </c>
      <c r="D867" s="28" t="s">
        <v>29</v>
      </c>
      <c r="E867" s="28" t="s">
        <v>1621</v>
      </c>
      <c r="F867" s="28" t="s">
        <v>42</v>
      </c>
      <c r="G867" s="28" t="s">
        <v>1622</v>
      </c>
      <c r="H867" s="28">
        <v>51835</v>
      </c>
      <c r="I867" s="29">
        <f>IFERROR(_xlfn.XLOOKUP(E867,[1]EMPREENDIMENTO!C:C,[1]EMPREENDIMENTO!E:E),"0")</f>
        <v>240</v>
      </c>
      <c r="J867" s="30"/>
      <c r="K867" s="28" t="s">
        <v>33</v>
      </c>
      <c r="L867" s="31">
        <v>46227</v>
      </c>
      <c r="M867" s="32">
        <v>56049700</v>
      </c>
      <c r="N867" s="32">
        <v>62907077</v>
      </c>
      <c r="O867" s="32">
        <v>58177700</v>
      </c>
      <c r="P867" s="28" t="s">
        <v>34</v>
      </c>
      <c r="Q867" s="28" t="s">
        <v>1623</v>
      </c>
      <c r="R867" s="30">
        <v>46230</v>
      </c>
      <c r="S867" s="30">
        <v>46227</v>
      </c>
      <c r="T867" s="33"/>
      <c r="U867" s="34" t="str">
        <f>IFERROR(_xlfn.XLOOKUP(E867,[1]EMPREENDIMENTO!C:C,[1]EMPREENDIMENTO!D:D),"")</f>
        <v>643a6adf-2be6-ee11-9143-80c16e075108</v>
      </c>
    </row>
    <row r="868" spans="1:21" hidden="1" x14ac:dyDescent="0.35">
      <c r="A868" s="28" t="str">
        <f>IFERROR(_xlfn.XLOOKUP(C868,[1]DIRETORIA!C:C,[1]DIRETORIA!A:A),"-")</f>
        <v>DIR. COM E CRED SUL</v>
      </c>
      <c r="B868" s="28" t="str">
        <f>IFERROR(_xlfn.XLOOKUP(C868,[1]DIRETORIA!C:C,[1]DIRETORIA!B:B),"-")</f>
        <v>GST. COM RS NORTE</v>
      </c>
      <c r="C868" s="28" t="str">
        <f>IFERROR(_xlfn.XLOOKUP(E868,[1]EMPREENDIMENTO!C:C,[1]EMPREENDIMENTO!A:A),"-")</f>
        <v>CANOAS</v>
      </c>
      <c r="D868" s="28" t="s">
        <v>29</v>
      </c>
      <c r="E868" s="28" t="s">
        <v>1624</v>
      </c>
      <c r="F868" s="28" t="s">
        <v>31</v>
      </c>
      <c r="G868" s="28" t="s">
        <v>1625</v>
      </c>
      <c r="H868" s="28">
        <v>50279</v>
      </c>
      <c r="I868" s="29">
        <f>IFERROR(_xlfn.XLOOKUP(E868,[1]EMPREENDIMENTO!C:C,[1]EMPREENDIMENTO!E:E),"0")</f>
        <v>240</v>
      </c>
      <c r="J868" s="30"/>
      <c r="K868" s="28" t="s">
        <v>33</v>
      </c>
      <c r="L868" s="31">
        <v>46232</v>
      </c>
      <c r="M868" s="32">
        <v>55570000</v>
      </c>
      <c r="N868" s="32">
        <v>58904200</v>
      </c>
      <c r="O868" s="32">
        <v>56387000</v>
      </c>
      <c r="P868" s="28" t="s">
        <v>34</v>
      </c>
      <c r="Q868" s="28" t="s">
        <v>1626</v>
      </c>
      <c r="R868" s="30">
        <v>46233</v>
      </c>
      <c r="S868" s="30">
        <v>46232</v>
      </c>
      <c r="T868" s="33"/>
      <c r="U868" s="34" t="str">
        <f>IFERROR(_xlfn.XLOOKUP(E868,[1]EMPREENDIMENTO!C:C,[1]EMPREENDIMENTO!D:D),"")</f>
        <v>01074705-F8A0-EE11-A95E-005056856875</v>
      </c>
    </row>
    <row r="869" spans="1:21" hidden="1" x14ac:dyDescent="0.35">
      <c r="A869" s="28" t="str">
        <f>IFERROR(_xlfn.XLOOKUP(C869,[1]DIRETORIA!C:C,[1]DIRETORIA!A:A),"-")</f>
        <v>DIR. COM E CRED SUL</v>
      </c>
      <c r="B869" s="28" t="str">
        <f>IFERROR(_xlfn.XLOOKUP(C869,[1]DIRETORIA!C:C,[1]DIRETORIA!B:B),"-")</f>
        <v>GST. COM RS NORTE</v>
      </c>
      <c r="C869" s="28" t="str">
        <f>IFERROR(_xlfn.XLOOKUP(E869,[1]EMPREENDIMENTO!C:C,[1]EMPREENDIMENTO!A:A),"-")</f>
        <v>CANOAS</v>
      </c>
      <c r="D869" s="28" t="s">
        <v>85</v>
      </c>
      <c r="E869" s="28" t="s">
        <v>1624</v>
      </c>
      <c r="F869" s="28" t="s">
        <v>36</v>
      </c>
      <c r="G869" s="28" t="s">
        <v>1627</v>
      </c>
      <c r="H869" s="28">
        <v>56607</v>
      </c>
      <c r="I869" s="29">
        <f>IFERROR(_xlfn.XLOOKUP(E869,[1]EMPREENDIMENTO!C:C,[1]EMPREENDIMENTO!E:E),"0")</f>
        <v>240</v>
      </c>
      <c r="J869" s="30"/>
      <c r="K869" s="28" t="s">
        <v>33</v>
      </c>
      <c r="L869" s="31">
        <v>46232</v>
      </c>
      <c r="M869" s="32">
        <v>55570000</v>
      </c>
      <c r="N869" s="32">
        <v>58904200</v>
      </c>
      <c r="O869" s="32">
        <v>56387000</v>
      </c>
      <c r="P869" s="28" t="s">
        <v>34</v>
      </c>
      <c r="Q869" s="28" t="s">
        <v>1626</v>
      </c>
      <c r="R869" s="30">
        <v>46233</v>
      </c>
      <c r="S869" s="30">
        <v>46232</v>
      </c>
      <c r="T869" s="33"/>
      <c r="U869" s="34" t="str">
        <f>IFERROR(_xlfn.XLOOKUP(E869,[1]EMPREENDIMENTO!C:C,[1]EMPREENDIMENTO!D:D),"")</f>
        <v>01074705-F8A0-EE11-A95E-005056856875</v>
      </c>
    </row>
    <row r="870" spans="1:21" hidden="1" x14ac:dyDescent="0.35">
      <c r="A870" s="28" t="str">
        <f>IFERROR(_xlfn.XLOOKUP(C870,[1]DIRETORIA!C:C,[1]DIRETORIA!A:A),"-")</f>
        <v>DIR. COM E CRED NE</v>
      </c>
      <c r="B870" s="28" t="str">
        <f>IFERROR(_xlfn.XLOOKUP(C870,[1]DIRETORIA!C:C,[1]DIRETORIA!B:B),"-")</f>
        <v>GST. COM NE 3 (SE+AL)</v>
      </c>
      <c r="C870" s="28" t="str">
        <f>IFERROR(_xlfn.XLOOKUP(E870,[1]EMPREENDIMENTO!C:C,[1]EMPREENDIMENTO!A:A),"-")</f>
        <v>MACEIÓ</v>
      </c>
      <c r="D870" s="28" t="s">
        <v>29</v>
      </c>
      <c r="E870" s="28" t="s">
        <v>1628</v>
      </c>
      <c r="F870" s="28" t="s">
        <v>42</v>
      </c>
      <c r="G870" s="28" t="s">
        <v>1629</v>
      </c>
      <c r="H870" s="28">
        <v>52071</v>
      </c>
      <c r="I870" s="29">
        <f>IFERROR(_xlfn.XLOOKUP(E870,[1]EMPREENDIMENTO!C:C,[1]EMPREENDIMENTO!E:E),"0")</f>
        <v>280</v>
      </c>
      <c r="J870" s="30"/>
      <c r="K870" s="28" t="s">
        <v>33</v>
      </c>
      <c r="L870" s="31">
        <v>46199</v>
      </c>
      <c r="M870" s="32">
        <v>76355086</v>
      </c>
      <c r="N870" s="32">
        <v>87416974</v>
      </c>
      <c r="O870" s="32">
        <v>79791498</v>
      </c>
      <c r="P870" s="28" t="s">
        <v>34</v>
      </c>
      <c r="Q870" s="28" t="s">
        <v>1630</v>
      </c>
      <c r="R870" s="30">
        <v>46220</v>
      </c>
      <c r="S870" s="30">
        <v>46196</v>
      </c>
      <c r="T870" s="33"/>
      <c r="U870" s="34" t="str">
        <f>IFERROR(_xlfn.XLOOKUP(E870,[1]EMPREENDIMENTO!C:C,[1]EMPREENDIMENTO!D:D),"")</f>
        <v>661379e2-2899-ee11-8acd-80c16e075108</v>
      </c>
    </row>
    <row r="871" spans="1:21" hidden="1" x14ac:dyDescent="0.35">
      <c r="A871" s="28" t="str">
        <f>IFERROR(_xlfn.XLOOKUP(C871,[1]DIRETORIA!C:C,[1]DIRETORIA!A:A),"-")</f>
        <v>DIR. COM E CRED NE</v>
      </c>
      <c r="B871" s="28" t="str">
        <f>IFERROR(_xlfn.XLOOKUP(C871,[1]DIRETORIA!C:C,[1]DIRETORIA!B:B),"-")</f>
        <v>GST. COM NE5 (RN+PB)</v>
      </c>
      <c r="C871" s="28" t="str">
        <f>IFERROR(_xlfn.XLOOKUP(E871,[1]EMPREENDIMENTO!C:C,[1]EMPREENDIMENTO!A:A),"-")</f>
        <v>JOÃO PESSOA</v>
      </c>
      <c r="D871" s="28" t="s">
        <v>29</v>
      </c>
      <c r="E871" s="28" t="s">
        <v>1631</v>
      </c>
      <c r="F871" s="28" t="s">
        <v>31</v>
      </c>
      <c r="G871" s="28" t="s">
        <v>1632</v>
      </c>
      <c r="H871" s="28">
        <v>26950</v>
      </c>
      <c r="I871" s="29">
        <f>IFERROR(_xlfn.XLOOKUP(E871,[1]EMPREENDIMENTO!C:C,[1]EMPREENDIMENTO!E:E),"0")</f>
        <v>2096</v>
      </c>
      <c r="J871" s="30"/>
      <c r="K871" s="28" t="s">
        <v>33</v>
      </c>
      <c r="L871" s="31">
        <v>45615</v>
      </c>
      <c r="M871" s="32">
        <v>144623956</v>
      </c>
      <c r="N871" s="32">
        <v>144623956</v>
      </c>
      <c r="O871" s="32">
        <v>132903000</v>
      </c>
      <c r="P871" s="28" t="s">
        <v>34</v>
      </c>
      <c r="Q871" s="28"/>
      <c r="R871" s="30"/>
      <c r="S871" s="30">
        <v>45617</v>
      </c>
      <c r="T871" s="33"/>
      <c r="U871" s="34" t="str">
        <f>IFERROR(_xlfn.XLOOKUP(E871,[1]EMPREENDIMENTO!C:C,[1]EMPREENDIMENTO!D:D),"")</f>
        <v>35db2c97-6a22-e111-b3c4-001f2909e810</v>
      </c>
    </row>
    <row r="872" spans="1:21" hidden="1" x14ac:dyDescent="0.35">
      <c r="A872" s="28" t="str">
        <f>IFERROR(_xlfn.XLOOKUP(C872,[1]DIRETORIA!C:C,[1]DIRETORIA!A:A),"-")</f>
        <v>DIR. COM E CRED NE</v>
      </c>
      <c r="B872" s="28" t="str">
        <f>IFERROR(_xlfn.XLOOKUP(C872,[1]DIRETORIA!C:C,[1]DIRETORIA!B:B),"-")</f>
        <v>GST. COM NE5 (RN+PB)</v>
      </c>
      <c r="C872" s="28" t="str">
        <f>IFERROR(_xlfn.XLOOKUP(E872,[1]EMPREENDIMENTO!C:C,[1]EMPREENDIMENTO!A:A),"-")</f>
        <v>JOÃO PESSOA</v>
      </c>
      <c r="D872" s="28" t="s">
        <v>85</v>
      </c>
      <c r="E872" s="28" t="s">
        <v>1631</v>
      </c>
      <c r="F872" s="28" t="s">
        <v>36</v>
      </c>
      <c r="G872" s="28" t="s">
        <v>268</v>
      </c>
      <c r="H872" s="28" t="s">
        <v>268</v>
      </c>
      <c r="I872" s="29">
        <f>IFERROR(_xlfn.XLOOKUP(E872,[1]EMPREENDIMENTO!C:C,[1]EMPREENDIMENTO!E:E),"0")</f>
        <v>2096</v>
      </c>
      <c r="J872" s="30"/>
      <c r="K872" s="28" t="s">
        <v>33</v>
      </c>
      <c r="L872" s="31">
        <v>45615</v>
      </c>
      <c r="M872" s="32">
        <v>144623956</v>
      </c>
      <c r="N872" s="32">
        <v>144623956</v>
      </c>
      <c r="O872" s="32">
        <v>132903000</v>
      </c>
      <c r="P872" s="28" t="s">
        <v>34</v>
      </c>
      <c r="Q872" s="28"/>
      <c r="R872" s="30"/>
      <c r="S872" s="30">
        <v>45617</v>
      </c>
      <c r="T872" s="33"/>
      <c r="U872" s="34" t="str">
        <f>IFERROR(_xlfn.XLOOKUP(E872,[1]EMPREENDIMENTO!C:C,[1]EMPREENDIMENTO!D:D),"")</f>
        <v>35db2c97-6a22-e111-b3c4-001f2909e810</v>
      </c>
    </row>
    <row r="873" spans="1:21" hidden="1" x14ac:dyDescent="0.35">
      <c r="A873" s="28" t="str">
        <f>IFERROR(_xlfn.XLOOKUP(C873,[1]DIRETORIA!C:C,[1]DIRETORIA!A:A),"-")</f>
        <v>DIR. COM E CRED NE</v>
      </c>
      <c r="B873" s="28" t="str">
        <f>IFERROR(_xlfn.XLOOKUP(C873,[1]DIRETORIA!C:C,[1]DIRETORIA!B:B),"-")</f>
        <v>GST. COM NE5 (RN+PB)</v>
      </c>
      <c r="C873" s="28" t="str">
        <f>IFERROR(_xlfn.XLOOKUP(E873,[1]EMPREENDIMENTO!C:C,[1]EMPREENDIMENTO!A:A),"-")</f>
        <v>JOÃO PESSOA</v>
      </c>
      <c r="D873" s="28" t="s">
        <v>85</v>
      </c>
      <c r="E873" s="28" t="s">
        <v>1631</v>
      </c>
      <c r="F873" s="28" t="s">
        <v>39</v>
      </c>
      <c r="G873" s="28" t="s">
        <v>268</v>
      </c>
      <c r="H873" s="28" t="s">
        <v>268</v>
      </c>
      <c r="I873" s="29">
        <f>IFERROR(_xlfn.XLOOKUP(E873,[1]EMPREENDIMENTO!C:C,[1]EMPREENDIMENTO!E:E),"0")</f>
        <v>2096</v>
      </c>
      <c r="J873" s="30"/>
      <c r="K873" s="28" t="s">
        <v>33</v>
      </c>
      <c r="L873" s="31">
        <v>45615</v>
      </c>
      <c r="M873" s="32">
        <v>144623956</v>
      </c>
      <c r="N873" s="32">
        <v>144623956</v>
      </c>
      <c r="O873" s="32">
        <v>132903000</v>
      </c>
      <c r="P873" s="28" t="s">
        <v>34</v>
      </c>
      <c r="Q873" s="28"/>
      <c r="R873" s="30"/>
      <c r="S873" s="30">
        <v>45617</v>
      </c>
      <c r="T873" s="33"/>
      <c r="U873" s="34" t="str">
        <f>IFERROR(_xlfn.XLOOKUP(E873,[1]EMPREENDIMENTO!C:C,[1]EMPREENDIMENTO!D:D),"")</f>
        <v>35db2c97-6a22-e111-b3c4-001f2909e810</v>
      </c>
    </row>
    <row r="874" spans="1:21" hidden="1" x14ac:dyDescent="0.35">
      <c r="A874" s="28" t="str">
        <f>IFERROR(_xlfn.XLOOKUP(C874,[1]DIRETORIA!C:C,[1]DIRETORIA!A:A),"-")</f>
        <v>DIR. COM E CRED NE</v>
      </c>
      <c r="B874" s="28" t="str">
        <f>IFERROR(_xlfn.XLOOKUP(C874,[1]DIRETORIA!C:C,[1]DIRETORIA!B:B),"-")</f>
        <v>GST. COM NE5 (RN+PB)</v>
      </c>
      <c r="C874" s="28" t="str">
        <f>IFERROR(_xlfn.XLOOKUP(E874,[1]EMPREENDIMENTO!C:C,[1]EMPREENDIMENTO!A:A),"-")</f>
        <v>JOÃO PESSOA</v>
      </c>
      <c r="D874" s="28" t="s">
        <v>85</v>
      </c>
      <c r="E874" s="28" t="s">
        <v>1631</v>
      </c>
      <c r="F874" s="28" t="s">
        <v>50</v>
      </c>
      <c r="G874" s="28" t="s">
        <v>268</v>
      </c>
      <c r="H874" s="28" t="s">
        <v>268</v>
      </c>
      <c r="I874" s="29">
        <f>IFERROR(_xlfn.XLOOKUP(E874,[1]EMPREENDIMENTO!C:C,[1]EMPREENDIMENTO!E:E),"0")</f>
        <v>2096</v>
      </c>
      <c r="J874" s="30"/>
      <c r="K874" s="28" t="s">
        <v>33</v>
      </c>
      <c r="L874" s="31">
        <v>45615</v>
      </c>
      <c r="M874" s="32">
        <v>144623956</v>
      </c>
      <c r="N874" s="32">
        <v>144623956</v>
      </c>
      <c r="O874" s="32">
        <v>132903000</v>
      </c>
      <c r="P874" s="28" t="s">
        <v>34</v>
      </c>
      <c r="Q874" s="28"/>
      <c r="R874" s="30"/>
      <c r="S874" s="30">
        <v>45617</v>
      </c>
      <c r="T874" s="33"/>
      <c r="U874" s="34" t="str">
        <f>IFERROR(_xlfn.XLOOKUP(E874,[1]EMPREENDIMENTO!C:C,[1]EMPREENDIMENTO!D:D),"")</f>
        <v>35db2c97-6a22-e111-b3c4-001f2909e810</v>
      </c>
    </row>
    <row r="875" spans="1:21" hidden="1" x14ac:dyDescent="0.35">
      <c r="A875" s="28" t="str">
        <f>IFERROR(_xlfn.XLOOKUP(C875,[1]DIRETORIA!C:C,[1]DIRETORIA!A:A),"-")</f>
        <v>DIR. COM E CRED NE</v>
      </c>
      <c r="B875" s="28" t="str">
        <f>IFERROR(_xlfn.XLOOKUP(C875,[1]DIRETORIA!C:C,[1]DIRETORIA!B:B),"-")</f>
        <v>GST. COM NE5 (RN+PB)</v>
      </c>
      <c r="C875" s="28" t="str">
        <f>IFERROR(_xlfn.XLOOKUP(E875,[1]EMPREENDIMENTO!C:C,[1]EMPREENDIMENTO!A:A),"-")</f>
        <v>JOÃO PESSOA</v>
      </c>
      <c r="D875" s="28" t="s">
        <v>85</v>
      </c>
      <c r="E875" s="28" t="s">
        <v>1631</v>
      </c>
      <c r="F875" s="28" t="s">
        <v>57</v>
      </c>
      <c r="G875" s="28" t="s">
        <v>268</v>
      </c>
      <c r="H875" s="28" t="s">
        <v>268</v>
      </c>
      <c r="I875" s="29">
        <f>IFERROR(_xlfn.XLOOKUP(E875,[1]EMPREENDIMENTO!C:C,[1]EMPREENDIMENTO!E:E),"0")</f>
        <v>2096</v>
      </c>
      <c r="J875" s="30"/>
      <c r="K875" s="28" t="s">
        <v>33</v>
      </c>
      <c r="L875" s="31">
        <v>45615</v>
      </c>
      <c r="M875" s="32">
        <v>144623956</v>
      </c>
      <c r="N875" s="32">
        <v>144623956</v>
      </c>
      <c r="O875" s="32">
        <v>132903000</v>
      </c>
      <c r="P875" s="28" t="s">
        <v>34</v>
      </c>
      <c r="Q875" s="28"/>
      <c r="R875" s="30"/>
      <c r="S875" s="30">
        <v>45617</v>
      </c>
      <c r="T875" s="33"/>
      <c r="U875" s="34" t="str">
        <f>IFERROR(_xlfn.XLOOKUP(E875,[1]EMPREENDIMENTO!C:C,[1]EMPREENDIMENTO!D:D),"")</f>
        <v>35db2c97-6a22-e111-b3c4-001f2909e810</v>
      </c>
    </row>
    <row r="876" spans="1:21" hidden="1" x14ac:dyDescent="0.35">
      <c r="A876" s="28" t="str">
        <f>IFERROR(_xlfn.XLOOKUP(C876,[1]DIRETORIA!C:C,[1]DIRETORIA!A:A),"-")</f>
        <v>DIR. COM E CRED NE</v>
      </c>
      <c r="B876" s="28" t="str">
        <f>IFERROR(_xlfn.XLOOKUP(C876,[1]DIRETORIA!C:C,[1]DIRETORIA!B:B),"-")</f>
        <v>GST. COM NE5 (RN+PB)</v>
      </c>
      <c r="C876" s="28" t="str">
        <f>IFERROR(_xlfn.XLOOKUP(E876,[1]EMPREENDIMENTO!C:C,[1]EMPREENDIMENTO!A:A),"-")</f>
        <v>JOÃO PESSOA</v>
      </c>
      <c r="D876" s="28" t="s">
        <v>85</v>
      </c>
      <c r="E876" s="28" t="s">
        <v>1631</v>
      </c>
      <c r="F876" s="28" t="s">
        <v>360</v>
      </c>
      <c r="G876" s="28" t="s">
        <v>268</v>
      </c>
      <c r="H876" s="28" t="s">
        <v>268</v>
      </c>
      <c r="I876" s="29">
        <f>IFERROR(_xlfn.XLOOKUP(E876,[1]EMPREENDIMENTO!C:C,[1]EMPREENDIMENTO!E:E),"0")</f>
        <v>2096</v>
      </c>
      <c r="J876" s="30"/>
      <c r="K876" s="28" t="s">
        <v>33</v>
      </c>
      <c r="L876" s="31">
        <v>45615</v>
      </c>
      <c r="M876" s="32">
        <v>144623956</v>
      </c>
      <c r="N876" s="32">
        <v>144623956</v>
      </c>
      <c r="O876" s="32">
        <v>132903000</v>
      </c>
      <c r="P876" s="28" t="s">
        <v>34</v>
      </c>
      <c r="Q876" s="28"/>
      <c r="R876" s="30"/>
      <c r="S876" s="30">
        <v>45617</v>
      </c>
      <c r="T876" s="33"/>
      <c r="U876" s="34" t="str">
        <f>IFERROR(_xlfn.XLOOKUP(E876,[1]EMPREENDIMENTO!C:C,[1]EMPREENDIMENTO!D:D),"")</f>
        <v>35db2c97-6a22-e111-b3c4-001f2909e810</v>
      </c>
    </row>
    <row r="877" spans="1:21" hidden="1" x14ac:dyDescent="0.35">
      <c r="A877" s="28" t="str">
        <f>IFERROR(_xlfn.XLOOKUP(C877,[1]DIRETORIA!C:C,[1]DIRETORIA!A:A),"-")</f>
        <v>DIR. COM E CRED NE</v>
      </c>
      <c r="B877" s="28" t="str">
        <f>IFERROR(_xlfn.XLOOKUP(C877,[1]DIRETORIA!C:C,[1]DIRETORIA!B:B),"-")</f>
        <v>GST. COM NE5 (RN+PB)</v>
      </c>
      <c r="C877" s="28" t="str">
        <f>IFERROR(_xlfn.XLOOKUP(E877,[1]EMPREENDIMENTO!C:C,[1]EMPREENDIMENTO!A:A),"-")</f>
        <v>JOÃO PESSOA</v>
      </c>
      <c r="D877" s="28" t="s">
        <v>85</v>
      </c>
      <c r="E877" s="28" t="s">
        <v>1631</v>
      </c>
      <c r="F877" s="28" t="s">
        <v>1633</v>
      </c>
      <c r="G877" s="28" t="s">
        <v>268</v>
      </c>
      <c r="H877" s="28" t="s">
        <v>268</v>
      </c>
      <c r="I877" s="29">
        <f>IFERROR(_xlfn.XLOOKUP(E877,[1]EMPREENDIMENTO!C:C,[1]EMPREENDIMENTO!E:E),"0")</f>
        <v>2096</v>
      </c>
      <c r="J877" s="30"/>
      <c r="K877" s="28" t="s">
        <v>33</v>
      </c>
      <c r="L877" s="31">
        <v>45615</v>
      </c>
      <c r="M877" s="32">
        <v>144623956</v>
      </c>
      <c r="N877" s="32">
        <v>144623956</v>
      </c>
      <c r="O877" s="32">
        <v>132903000</v>
      </c>
      <c r="P877" s="28" t="s">
        <v>34</v>
      </c>
      <c r="Q877" s="28"/>
      <c r="R877" s="30"/>
      <c r="S877" s="30">
        <v>45617</v>
      </c>
      <c r="T877" s="33"/>
      <c r="U877" s="34" t="str">
        <f>IFERROR(_xlfn.XLOOKUP(E877,[1]EMPREENDIMENTO!C:C,[1]EMPREENDIMENTO!D:D),"")</f>
        <v>35db2c97-6a22-e111-b3c4-001f2909e810</v>
      </c>
    </row>
    <row r="878" spans="1:21" hidden="1" x14ac:dyDescent="0.35">
      <c r="A878" s="28" t="str">
        <f>IFERROR(_xlfn.XLOOKUP(C878,[1]DIRETORIA!C:C,[1]DIRETORIA!A:A),"-")</f>
        <v>DIR. COM E CRED NE</v>
      </c>
      <c r="B878" s="28" t="str">
        <f>IFERROR(_xlfn.XLOOKUP(C878,[1]DIRETORIA!C:C,[1]DIRETORIA!B:B),"-")</f>
        <v>GST. COM NE5 (RN+PB)</v>
      </c>
      <c r="C878" s="28" t="str">
        <f>IFERROR(_xlfn.XLOOKUP(E878,[1]EMPREENDIMENTO!C:C,[1]EMPREENDIMENTO!A:A),"-")</f>
        <v>JOÃO PESSOA</v>
      </c>
      <c r="D878" s="28" t="s">
        <v>85</v>
      </c>
      <c r="E878" s="28" t="s">
        <v>1631</v>
      </c>
      <c r="F878" s="28" t="s">
        <v>1634</v>
      </c>
      <c r="G878" s="28" t="s">
        <v>268</v>
      </c>
      <c r="H878" s="28" t="s">
        <v>268</v>
      </c>
      <c r="I878" s="29">
        <f>IFERROR(_xlfn.XLOOKUP(E878,[1]EMPREENDIMENTO!C:C,[1]EMPREENDIMENTO!E:E),"0")</f>
        <v>2096</v>
      </c>
      <c r="J878" s="30"/>
      <c r="K878" s="28" t="s">
        <v>33</v>
      </c>
      <c r="L878" s="31">
        <v>45615</v>
      </c>
      <c r="M878" s="32">
        <v>144623956</v>
      </c>
      <c r="N878" s="32">
        <v>144623956</v>
      </c>
      <c r="O878" s="32">
        <v>132903000</v>
      </c>
      <c r="P878" s="28" t="s">
        <v>34</v>
      </c>
      <c r="Q878" s="28"/>
      <c r="R878" s="30"/>
      <c r="S878" s="30">
        <v>45617</v>
      </c>
      <c r="T878" s="33"/>
      <c r="U878" s="34" t="str">
        <f>IFERROR(_xlfn.XLOOKUP(E878,[1]EMPREENDIMENTO!C:C,[1]EMPREENDIMENTO!D:D),"")</f>
        <v>35db2c97-6a22-e111-b3c4-001f2909e810</v>
      </c>
    </row>
    <row r="879" spans="1:21" hidden="1" x14ac:dyDescent="0.35">
      <c r="A879" s="28" t="str">
        <f>IFERROR(_xlfn.XLOOKUP(C879,[1]DIRETORIA!C:C,[1]DIRETORIA!A:A),"-")</f>
        <v>DIR. COM E CRED NE</v>
      </c>
      <c r="B879" s="28" t="str">
        <f>IFERROR(_xlfn.XLOOKUP(C879,[1]DIRETORIA!C:C,[1]DIRETORIA!B:B),"-")</f>
        <v>GST. COM NE5 (RN+PB)</v>
      </c>
      <c r="C879" s="28" t="str">
        <f>IFERROR(_xlfn.XLOOKUP(E879,[1]EMPREENDIMENTO!C:C,[1]EMPREENDIMENTO!A:A),"-")</f>
        <v>JOÃO PESSOA</v>
      </c>
      <c r="D879" s="28" t="s">
        <v>85</v>
      </c>
      <c r="E879" s="28" t="s">
        <v>1631</v>
      </c>
      <c r="F879" s="28" t="s">
        <v>1635</v>
      </c>
      <c r="G879" s="28" t="s">
        <v>268</v>
      </c>
      <c r="H879" s="28" t="s">
        <v>268</v>
      </c>
      <c r="I879" s="29">
        <f>IFERROR(_xlfn.XLOOKUP(E879,[1]EMPREENDIMENTO!C:C,[1]EMPREENDIMENTO!E:E),"0")</f>
        <v>2096</v>
      </c>
      <c r="J879" s="30"/>
      <c r="K879" s="28" t="s">
        <v>33</v>
      </c>
      <c r="L879" s="31">
        <v>45615</v>
      </c>
      <c r="M879" s="32">
        <v>144623956</v>
      </c>
      <c r="N879" s="32">
        <v>144623956</v>
      </c>
      <c r="O879" s="32">
        <v>132903000</v>
      </c>
      <c r="P879" s="28" t="s">
        <v>34</v>
      </c>
      <c r="Q879" s="28"/>
      <c r="R879" s="30"/>
      <c r="S879" s="30">
        <v>45617</v>
      </c>
      <c r="T879" s="33"/>
      <c r="U879" s="34" t="str">
        <f>IFERROR(_xlfn.XLOOKUP(E879,[1]EMPREENDIMENTO!C:C,[1]EMPREENDIMENTO!D:D),"")</f>
        <v>35db2c97-6a22-e111-b3c4-001f2909e810</v>
      </c>
    </row>
    <row r="880" spans="1:21" hidden="1" x14ac:dyDescent="0.35">
      <c r="A880" s="28" t="str">
        <f>IFERROR(_xlfn.XLOOKUP(C880,[1]DIRETORIA!C:C,[1]DIRETORIA!A:A),"-")</f>
        <v>DIR. COM E CRED NE</v>
      </c>
      <c r="B880" s="28" t="str">
        <f>IFERROR(_xlfn.XLOOKUP(C880,[1]DIRETORIA!C:C,[1]DIRETORIA!B:B),"-")</f>
        <v>GST. COM NE5 (RN+PB)</v>
      </c>
      <c r="C880" s="28" t="str">
        <f>IFERROR(_xlfn.XLOOKUP(E880,[1]EMPREENDIMENTO!C:C,[1]EMPREENDIMENTO!A:A),"-")</f>
        <v>JOÃO PESSOA</v>
      </c>
      <c r="D880" s="28" t="s">
        <v>85</v>
      </c>
      <c r="E880" s="28" t="s">
        <v>1631</v>
      </c>
      <c r="F880" s="28" t="s">
        <v>1636</v>
      </c>
      <c r="G880" s="28" t="s">
        <v>268</v>
      </c>
      <c r="H880" s="28" t="s">
        <v>268</v>
      </c>
      <c r="I880" s="29">
        <f>IFERROR(_xlfn.XLOOKUP(E880,[1]EMPREENDIMENTO!C:C,[1]EMPREENDIMENTO!E:E),"0")</f>
        <v>2096</v>
      </c>
      <c r="J880" s="30"/>
      <c r="K880" s="28" t="s">
        <v>33</v>
      </c>
      <c r="L880" s="31">
        <v>45615</v>
      </c>
      <c r="M880" s="32">
        <v>144623956</v>
      </c>
      <c r="N880" s="32">
        <v>144623956</v>
      </c>
      <c r="O880" s="32">
        <v>132903000</v>
      </c>
      <c r="P880" s="28" t="s">
        <v>34</v>
      </c>
      <c r="Q880" s="28"/>
      <c r="R880" s="30"/>
      <c r="S880" s="30">
        <v>45617</v>
      </c>
      <c r="T880" s="33"/>
      <c r="U880" s="34" t="str">
        <f>IFERROR(_xlfn.XLOOKUP(E880,[1]EMPREENDIMENTO!C:C,[1]EMPREENDIMENTO!D:D),"")</f>
        <v>35db2c97-6a22-e111-b3c4-001f2909e810</v>
      </c>
    </row>
    <row r="881" spans="1:21" hidden="1" x14ac:dyDescent="0.35">
      <c r="A881" s="28" t="str">
        <f>IFERROR(_xlfn.XLOOKUP(C881,[1]DIRETORIA!C:C,[1]DIRETORIA!A:A),"-")</f>
        <v>DIR. COM E CRED NE</v>
      </c>
      <c r="B881" s="28" t="str">
        <f>IFERROR(_xlfn.XLOOKUP(C881,[1]DIRETORIA!C:C,[1]DIRETORIA!B:B),"-")</f>
        <v>GST. COM NE5 (RN+PB)</v>
      </c>
      <c r="C881" s="28" t="str">
        <f>IFERROR(_xlfn.XLOOKUP(E881,[1]EMPREENDIMENTO!C:C,[1]EMPREENDIMENTO!A:A),"-")</f>
        <v>JOÃO PESSOA</v>
      </c>
      <c r="D881" s="28" t="s">
        <v>85</v>
      </c>
      <c r="E881" s="28" t="s">
        <v>1631</v>
      </c>
      <c r="F881" s="28" t="s">
        <v>1637</v>
      </c>
      <c r="G881" s="28" t="s">
        <v>268</v>
      </c>
      <c r="H881" s="28" t="s">
        <v>268</v>
      </c>
      <c r="I881" s="29">
        <f>IFERROR(_xlfn.XLOOKUP(E881,[1]EMPREENDIMENTO!C:C,[1]EMPREENDIMENTO!E:E),"0")</f>
        <v>2096</v>
      </c>
      <c r="J881" s="30"/>
      <c r="K881" s="28" t="s">
        <v>33</v>
      </c>
      <c r="L881" s="31">
        <v>45615</v>
      </c>
      <c r="M881" s="32">
        <v>144623956</v>
      </c>
      <c r="N881" s="32">
        <v>144623956</v>
      </c>
      <c r="O881" s="32">
        <v>132903000</v>
      </c>
      <c r="P881" s="28" t="s">
        <v>34</v>
      </c>
      <c r="Q881" s="28"/>
      <c r="R881" s="30"/>
      <c r="S881" s="30">
        <v>45617</v>
      </c>
      <c r="T881" s="33"/>
      <c r="U881" s="34" t="str">
        <f>IFERROR(_xlfn.XLOOKUP(E881,[1]EMPREENDIMENTO!C:C,[1]EMPREENDIMENTO!D:D),"")</f>
        <v>35db2c97-6a22-e111-b3c4-001f2909e810</v>
      </c>
    </row>
    <row r="882" spans="1:21" hidden="1" x14ac:dyDescent="0.35">
      <c r="A882" s="28" t="str">
        <f>IFERROR(_xlfn.XLOOKUP(C882,[1]DIRETORIA!C:C,[1]DIRETORIA!A:A),"-")</f>
        <v>DIR. COM E CRED NE</v>
      </c>
      <c r="B882" s="28" t="str">
        <f>IFERROR(_xlfn.XLOOKUP(C882,[1]DIRETORIA!C:C,[1]DIRETORIA!B:B),"-")</f>
        <v>GST. COM NE5 (RN+PB)</v>
      </c>
      <c r="C882" s="28" t="str">
        <f>IFERROR(_xlfn.XLOOKUP(E882,[1]EMPREENDIMENTO!C:C,[1]EMPREENDIMENTO!A:A),"-")</f>
        <v>JOÃO PESSOA</v>
      </c>
      <c r="D882" s="28" t="s">
        <v>85</v>
      </c>
      <c r="E882" s="28" t="s">
        <v>1631</v>
      </c>
      <c r="F882" s="28" t="s">
        <v>1638</v>
      </c>
      <c r="G882" s="28" t="s">
        <v>268</v>
      </c>
      <c r="H882" s="28" t="s">
        <v>268</v>
      </c>
      <c r="I882" s="29">
        <f>IFERROR(_xlfn.XLOOKUP(E882,[1]EMPREENDIMENTO!C:C,[1]EMPREENDIMENTO!E:E),"0")</f>
        <v>2096</v>
      </c>
      <c r="J882" s="30"/>
      <c r="K882" s="28" t="s">
        <v>33</v>
      </c>
      <c r="L882" s="31">
        <v>45615</v>
      </c>
      <c r="M882" s="32">
        <v>144623956</v>
      </c>
      <c r="N882" s="32">
        <v>144623956</v>
      </c>
      <c r="O882" s="32">
        <v>132903000</v>
      </c>
      <c r="P882" s="28" t="s">
        <v>34</v>
      </c>
      <c r="Q882" s="28"/>
      <c r="R882" s="30"/>
      <c r="S882" s="30">
        <v>45617</v>
      </c>
      <c r="T882" s="33"/>
      <c r="U882" s="34" t="str">
        <f>IFERROR(_xlfn.XLOOKUP(E882,[1]EMPREENDIMENTO!C:C,[1]EMPREENDIMENTO!D:D),"")</f>
        <v>35db2c97-6a22-e111-b3c4-001f2909e810</v>
      </c>
    </row>
    <row r="883" spans="1:21" hidden="1" x14ac:dyDescent="0.35">
      <c r="A883" s="28" t="str">
        <f>IFERROR(_xlfn.XLOOKUP(C883,[1]DIRETORIA!C:C,[1]DIRETORIA!A:A),"-")</f>
        <v>DIR. COM E CRED SP E VL</v>
      </c>
      <c r="B883" s="28" t="str">
        <f>IFERROR(_xlfn.XLOOKUP(C883,[1]DIRETORIA!C:C,[1]DIRETORIA!B:B),"-")</f>
        <v>GST. COM VL1</v>
      </c>
      <c r="C883" s="28" t="str">
        <f>IFERROR(_xlfn.XLOOKUP(E883,[1]EMPREENDIMENTO!C:C,[1]EMPREENDIMENTO!A:A),"-")</f>
        <v>SÃO JOSÉ DOS CAMPOS</v>
      </c>
      <c r="D883" s="28" t="s">
        <v>29</v>
      </c>
      <c r="E883" s="28" t="s">
        <v>1639</v>
      </c>
      <c r="F883" s="28" t="s">
        <v>42</v>
      </c>
      <c r="G883" s="28" t="s">
        <v>1640</v>
      </c>
      <c r="H883" s="28">
        <v>51911</v>
      </c>
      <c r="I883" s="29">
        <f>IFERROR(_xlfn.XLOOKUP(E883,[1]EMPREENDIMENTO!C:C,[1]EMPREENDIMENTO!E:E),"0")</f>
        <v>288</v>
      </c>
      <c r="J883" s="30"/>
      <c r="K883" s="28" t="s">
        <v>33</v>
      </c>
      <c r="L883" s="31">
        <v>45846</v>
      </c>
      <c r="M883" s="32">
        <v>84031700</v>
      </c>
      <c r="N883" s="32">
        <v>92737600</v>
      </c>
      <c r="O883" s="32">
        <v>92268600</v>
      </c>
      <c r="P883" s="28" t="s">
        <v>34</v>
      </c>
      <c r="Q883" s="28" t="s">
        <v>1641</v>
      </c>
      <c r="R883" s="30">
        <v>46069</v>
      </c>
      <c r="S883" s="30">
        <v>46065</v>
      </c>
      <c r="T883" s="33"/>
      <c r="U883" s="34" t="str">
        <f>IFERROR(_xlfn.XLOOKUP(E883,[1]EMPREENDIMENTO!C:C,[1]EMPREENDIMENTO!D:D),"")</f>
        <v>68619d08-c973-df11-ad89-001b78b9d994</v>
      </c>
    </row>
    <row r="884" spans="1:21" hidden="1" x14ac:dyDescent="0.35">
      <c r="A884" s="28" t="str">
        <f>IFERROR(_xlfn.XLOOKUP(C884,[1]DIRETORIA!C:C,[1]DIRETORIA!A:A),"-")</f>
        <v>DIR. COM E CRED MG E ES</v>
      </c>
      <c r="B884" s="28" t="str">
        <f>IFERROR(_xlfn.XLOOKUP(C884,[1]DIRETORIA!C:C,[1]DIRETORIA!B:B),"-")</f>
        <v>GST. COM BH E INT</v>
      </c>
      <c r="C884" s="28" t="str">
        <f>IFERROR(_xlfn.XLOOKUP(E884,[1]EMPREENDIMENTO!C:C,[1]EMPREENDIMENTO!A:A),"-")</f>
        <v>BELO HORIZONTE</v>
      </c>
      <c r="D884" s="28" t="s">
        <v>29</v>
      </c>
      <c r="E884" s="28" t="s">
        <v>1642</v>
      </c>
      <c r="F884" s="28" t="s">
        <v>42</v>
      </c>
      <c r="G884" s="28" t="s">
        <v>1643</v>
      </c>
      <c r="H884" s="28">
        <v>51756</v>
      </c>
      <c r="I884" s="29">
        <f>IFERROR(_xlfn.XLOOKUP(E884,[1]EMPREENDIMENTO!C:C,[1]EMPREENDIMENTO!E:E),"0")</f>
        <v>160</v>
      </c>
      <c r="J884" s="30"/>
      <c r="K884" s="28" t="s">
        <v>33</v>
      </c>
      <c r="L884" s="31">
        <v>46258</v>
      </c>
      <c r="M884" s="32">
        <v>60902100</v>
      </c>
      <c r="N884" s="32">
        <v>70107814</v>
      </c>
      <c r="O884" s="32">
        <v>62108912</v>
      </c>
      <c r="P884" s="28" t="s">
        <v>3</v>
      </c>
      <c r="Q884" s="28" t="s">
        <v>1644</v>
      </c>
      <c r="R884" s="30">
        <v>46290</v>
      </c>
      <c r="S884" s="30"/>
      <c r="T884" s="33"/>
      <c r="U884" s="34" t="str">
        <f>IFERROR(_xlfn.XLOOKUP(E884,[1]EMPREENDIMENTO!C:C,[1]EMPREENDIMENTO!D:D),"")</f>
        <v>1dcd9df5-57fd-ec11-ba45-005056890018</v>
      </c>
    </row>
    <row r="885" spans="1:21" hidden="1" x14ac:dyDescent="0.35">
      <c r="A885" s="28" t="str">
        <f>IFERROR(_xlfn.XLOOKUP(C885,[1]DIRETORIA!C:C,[1]DIRETORIA!A:A),"-")</f>
        <v>DIR. COM E CRED NE</v>
      </c>
      <c r="B885" s="28" t="str">
        <f>IFERROR(_xlfn.XLOOKUP(C885,[1]DIRETORIA!C:C,[1]DIRETORIA!B:B),"-")</f>
        <v>GST. COM NE2 (PE)</v>
      </c>
      <c r="C885" s="28" t="str">
        <f>IFERROR(_xlfn.XLOOKUP(E885,[1]EMPREENDIMENTO!C:C,[1]EMPREENDIMENTO!A:A),"-")</f>
        <v>JABOATÃO DOS GUARARAPES</v>
      </c>
      <c r="D885" s="28" t="s">
        <v>29</v>
      </c>
      <c r="E885" s="28" t="s">
        <v>1645</v>
      </c>
      <c r="F885" s="28" t="s">
        <v>31</v>
      </c>
      <c r="G885" s="28" t="s">
        <v>1646</v>
      </c>
      <c r="H885" s="28">
        <v>28781</v>
      </c>
      <c r="I885" s="29">
        <f>IFERROR(_xlfn.XLOOKUP(E885,[1]EMPREENDIMENTO!C:C,[1]EMPREENDIMENTO!E:E),"0")</f>
        <v>280</v>
      </c>
      <c r="J885" s="30"/>
      <c r="K885" s="28" t="s">
        <v>33</v>
      </c>
      <c r="L885" s="31">
        <v>46153</v>
      </c>
      <c r="M885" s="32">
        <v>69392643</v>
      </c>
      <c r="N885" s="32">
        <v>74587952</v>
      </c>
      <c r="O885" s="32">
        <v>73030322</v>
      </c>
      <c r="P885" s="28" t="s">
        <v>34</v>
      </c>
      <c r="Q885" s="28" t="s">
        <v>1647</v>
      </c>
      <c r="R885" s="30">
        <v>46130</v>
      </c>
      <c r="S885" s="30">
        <v>46153</v>
      </c>
      <c r="T885" s="33"/>
      <c r="U885" s="34" t="str">
        <f>IFERROR(_xlfn.XLOOKUP(E885,[1]EMPREENDIMENTO!C:C,[1]EMPREENDIMENTO!D:D),"")</f>
        <v>ad0ed60b-3a78-ea11-aed6-0050568aa20f</v>
      </c>
    </row>
    <row r="886" spans="1:21" hidden="1" x14ac:dyDescent="0.35">
      <c r="A886" s="28" t="str">
        <f>IFERROR(_xlfn.XLOOKUP(C886,[1]DIRETORIA!C:C,[1]DIRETORIA!A:A),"-")</f>
        <v>DIR. COM E CRED NE</v>
      </c>
      <c r="B886" s="28" t="str">
        <f>IFERROR(_xlfn.XLOOKUP(C886,[1]DIRETORIA!C:C,[1]DIRETORIA!B:B),"-")</f>
        <v>GST. COM NE2 (PE)</v>
      </c>
      <c r="C886" s="28" t="str">
        <f>IFERROR(_xlfn.XLOOKUP(E886,[1]EMPREENDIMENTO!C:C,[1]EMPREENDIMENTO!A:A),"-")</f>
        <v>JABOATÃO DOS GUARARAPES</v>
      </c>
      <c r="D886" s="28" t="s">
        <v>29</v>
      </c>
      <c r="E886" s="28" t="s">
        <v>1645</v>
      </c>
      <c r="F886" s="28" t="s">
        <v>36</v>
      </c>
      <c r="G886" s="28" t="s">
        <v>1648</v>
      </c>
      <c r="H886" s="28">
        <v>56912</v>
      </c>
      <c r="I886" s="29">
        <f>IFERROR(_xlfn.XLOOKUP(E886,[1]EMPREENDIMENTO!C:C,[1]EMPREENDIMENTO!E:E),"0")</f>
        <v>280</v>
      </c>
      <c r="J886" s="30"/>
      <c r="K886" s="28" t="s">
        <v>33</v>
      </c>
      <c r="L886" s="31">
        <v>46153</v>
      </c>
      <c r="M886" s="32">
        <v>69392643</v>
      </c>
      <c r="N886" s="32">
        <v>74587952</v>
      </c>
      <c r="O886" s="32">
        <v>73030322</v>
      </c>
      <c r="P886" s="28" t="s">
        <v>34</v>
      </c>
      <c r="Q886" s="28" t="s">
        <v>1647</v>
      </c>
      <c r="R886" s="30">
        <v>46130</v>
      </c>
      <c r="S886" s="30">
        <v>46153</v>
      </c>
      <c r="T886" s="33"/>
      <c r="U886" s="34" t="str">
        <f>IFERROR(_xlfn.XLOOKUP(E886,[1]EMPREENDIMENTO!C:C,[1]EMPREENDIMENTO!D:D),"")</f>
        <v>ad0ed60b-3a78-ea11-aed6-0050568aa20f</v>
      </c>
    </row>
    <row r="887" spans="1:21" hidden="1" x14ac:dyDescent="0.35">
      <c r="A887" s="28" t="str">
        <f>IFERROR(_xlfn.XLOOKUP(C887,[1]DIRETORIA!C:C,[1]DIRETORIA!A:A),"-")</f>
        <v>DIR. COM E CRED CO E AM</v>
      </c>
      <c r="B887" s="28" t="str">
        <f>IFERROR(_xlfn.XLOOKUP(C887,[1]DIRETORIA!C:C,[1]DIRETORIA!B:B),"-")</f>
        <v>GST. COM GO</v>
      </c>
      <c r="C887" s="28" t="str">
        <f>IFERROR(_xlfn.XLOOKUP(E887,[1]EMPREENDIMENTO!C:C,[1]EMPREENDIMENTO!A:A),"-")</f>
        <v>GOIÂNIA</v>
      </c>
      <c r="D887" s="28" t="s">
        <v>29</v>
      </c>
      <c r="E887" s="28" t="s">
        <v>1649</v>
      </c>
      <c r="F887" s="28" t="s">
        <v>31</v>
      </c>
      <c r="G887" s="28" t="s">
        <v>1650</v>
      </c>
      <c r="H887" s="28">
        <v>33274</v>
      </c>
      <c r="I887" s="29">
        <f>IFERROR(_xlfn.XLOOKUP(E887,[1]EMPREENDIMENTO!C:C,[1]EMPREENDIMENTO!E:E),"0")</f>
        <v>560</v>
      </c>
      <c r="J887" s="30"/>
      <c r="K887" s="28" t="s">
        <v>33</v>
      </c>
      <c r="L887" s="31">
        <v>46078</v>
      </c>
      <c r="M887" s="32">
        <v>178691500</v>
      </c>
      <c r="N887" s="32">
        <v>196784679</v>
      </c>
      <c r="O887" s="32">
        <v>193799580</v>
      </c>
      <c r="P887" s="28" t="s">
        <v>2</v>
      </c>
      <c r="Q887" s="28" t="s">
        <v>1651</v>
      </c>
      <c r="R887" s="30">
        <v>46293</v>
      </c>
      <c r="S887" s="30"/>
      <c r="T887" s="33"/>
      <c r="U887" s="34" t="str">
        <f>IFERROR(_xlfn.XLOOKUP(E887,[1]EMPREENDIMENTO!C:C,[1]EMPREENDIMENTO!D:D),"")</f>
        <v>9e525e2f-6802-e211-9e30-001f2909e810</v>
      </c>
    </row>
    <row r="888" spans="1:21" hidden="1" x14ac:dyDescent="0.35">
      <c r="A888" s="28" t="str">
        <f>IFERROR(_xlfn.XLOOKUP(C888,[1]DIRETORIA!C:C,[1]DIRETORIA!A:A),"-")</f>
        <v>DIR. COM E CRED CO E AM</v>
      </c>
      <c r="B888" s="28" t="str">
        <f>IFERROR(_xlfn.XLOOKUP(C888,[1]DIRETORIA!C:C,[1]DIRETORIA!B:B),"-")</f>
        <v>GST. COM GO</v>
      </c>
      <c r="C888" s="28" t="str">
        <f>IFERROR(_xlfn.XLOOKUP(E888,[1]EMPREENDIMENTO!C:C,[1]EMPREENDIMENTO!A:A),"-")</f>
        <v>GOIÂNIA</v>
      </c>
      <c r="D888" s="28" t="s">
        <v>29</v>
      </c>
      <c r="E888" s="28" t="s">
        <v>1649</v>
      </c>
      <c r="F888" s="28" t="s">
        <v>36</v>
      </c>
      <c r="G888" s="28" t="s">
        <v>1652</v>
      </c>
      <c r="H888" s="28">
        <v>56602</v>
      </c>
      <c r="I888" s="29">
        <f>IFERROR(_xlfn.XLOOKUP(E888,[1]EMPREENDIMENTO!C:C,[1]EMPREENDIMENTO!E:E),"0")</f>
        <v>560</v>
      </c>
      <c r="J888" s="30"/>
      <c r="K888" s="28" t="s">
        <v>33</v>
      </c>
      <c r="L888" s="31">
        <v>46078</v>
      </c>
      <c r="M888" s="32">
        <v>178691500</v>
      </c>
      <c r="N888" s="32">
        <v>196784679</v>
      </c>
      <c r="O888" s="32">
        <v>193799580</v>
      </c>
      <c r="P888" s="28" t="s">
        <v>2</v>
      </c>
      <c r="Q888" s="28" t="s">
        <v>1651</v>
      </c>
      <c r="R888" s="30">
        <v>46293</v>
      </c>
      <c r="S888" s="30"/>
      <c r="T888" s="33"/>
      <c r="U888" s="34" t="str">
        <f>IFERROR(_xlfn.XLOOKUP(E888,[1]EMPREENDIMENTO!C:C,[1]EMPREENDIMENTO!D:D),"")</f>
        <v>9e525e2f-6802-e211-9e30-001f2909e810</v>
      </c>
    </row>
    <row r="889" spans="1:21" hidden="1" x14ac:dyDescent="0.35">
      <c r="A889" s="28" t="str">
        <f>IFERROR(_xlfn.XLOOKUP(C889,[1]DIRETORIA!C:C,[1]DIRETORIA!A:A),"-")</f>
        <v>DIR. COM E CRED CO E AM</v>
      </c>
      <c r="B889" s="28" t="str">
        <f>IFERROR(_xlfn.XLOOKUP(C889,[1]DIRETORIA!C:C,[1]DIRETORIA!B:B),"-")</f>
        <v>GST. COM GO</v>
      </c>
      <c r="C889" s="28" t="str">
        <f>IFERROR(_xlfn.XLOOKUP(E889,[1]EMPREENDIMENTO!C:C,[1]EMPREENDIMENTO!A:A),"-")</f>
        <v>GOIÂNIA</v>
      </c>
      <c r="D889" s="28" t="s">
        <v>85</v>
      </c>
      <c r="E889" s="28" t="s">
        <v>1649</v>
      </c>
      <c r="F889" s="28" t="s">
        <v>39</v>
      </c>
      <c r="G889" s="28" t="s">
        <v>1653</v>
      </c>
      <c r="H889" s="28">
        <v>60320</v>
      </c>
      <c r="I889" s="29">
        <f>IFERROR(_xlfn.XLOOKUP(E889,[1]EMPREENDIMENTO!C:C,[1]EMPREENDIMENTO!E:E),"0")</f>
        <v>560</v>
      </c>
      <c r="J889" s="30"/>
      <c r="K889" s="28" t="s">
        <v>33</v>
      </c>
      <c r="L889" s="31">
        <v>46078</v>
      </c>
      <c r="M889" s="32">
        <v>178691500</v>
      </c>
      <c r="N889" s="32">
        <v>196784679</v>
      </c>
      <c r="O889" s="32">
        <v>193799580</v>
      </c>
      <c r="P889" s="28" t="s">
        <v>2</v>
      </c>
      <c r="Q889" s="28" t="s">
        <v>1651</v>
      </c>
      <c r="R889" s="30">
        <v>46293</v>
      </c>
      <c r="S889" s="30"/>
      <c r="T889" s="33"/>
      <c r="U889" s="34" t="str">
        <f>IFERROR(_xlfn.XLOOKUP(E889,[1]EMPREENDIMENTO!C:C,[1]EMPREENDIMENTO!D:D),"")</f>
        <v>9e525e2f-6802-e211-9e30-001f2909e810</v>
      </c>
    </row>
    <row r="890" spans="1:21" hidden="1" x14ac:dyDescent="0.35">
      <c r="A890" s="28" t="str">
        <f>IFERROR(_xlfn.XLOOKUP(C890,[1]DIRETORIA!C:C,[1]DIRETORIA!A:A),"-")</f>
        <v>DIR. COM E CRED NE</v>
      </c>
      <c r="B890" s="28" t="str">
        <f>IFERROR(_xlfn.XLOOKUP(C890,[1]DIRETORIA!C:C,[1]DIRETORIA!B:B),"-")</f>
        <v>GST. COM NE1 (BA 1)</v>
      </c>
      <c r="C890" s="28" t="str">
        <f>IFERROR(_xlfn.XLOOKUP(E890,[1]EMPREENDIMENTO!C:C,[1]EMPREENDIMENTO!A:A),"-")</f>
        <v>SALVADOR</v>
      </c>
      <c r="D890" s="28" t="s">
        <v>29</v>
      </c>
      <c r="E890" s="28" t="s">
        <v>1654</v>
      </c>
      <c r="F890" s="28" t="s">
        <v>42</v>
      </c>
      <c r="G890" s="28" t="s">
        <v>1655</v>
      </c>
      <c r="H890" s="28">
        <v>45674</v>
      </c>
      <c r="I890" s="29">
        <f>IFERROR(_xlfn.XLOOKUP(E890,[1]EMPREENDIMENTO!C:C,[1]EMPREENDIMENTO!E:E),"0")</f>
        <v>288</v>
      </c>
      <c r="J890" s="30"/>
      <c r="K890" s="28" t="s">
        <v>164</v>
      </c>
      <c r="L890" s="31">
        <v>46174</v>
      </c>
      <c r="M890" s="32">
        <v>76039974</v>
      </c>
      <c r="N890" s="32">
        <v>86214124</v>
      </c>
      <c r="O890" s="32">
        <v>86104128</v>
      </c>
      <c r="P890" s="28" t="s">
        <v>34</v>
      </c>
      <c r="Q890" s="28" t="s">
        <v>1656</v>
      </c>
      <c r="R890" s="30">
        <v>46181</v>
      </c>
      <c r="S890" s="30">
        <v>46175</v>
      </c>
      <c r="T890" s="33"/>
      <c r="U890" s="34" t="str">
        <f>IFERROR(_xlfn.XLOOKUP(E890,[1]EMPREENDIMENTO!C:C,[1]EMPREENDIMENTO!D:D),"")</f>
        <v>9150E180-FDB9-EE11-8ACD-80C16E075108</v>
      </c>
    </row>
    <row r="891" spans="1:21" x14ac:dyDescent="0.35">
      <c r="A891" s="28" t="str">
        <f>IFERROR(_xlfn.XLOOKUP(C891,[1]DIRETORIA!C:C,[1]DIRETORIA!A:A),"-")</f>
        <v>DIR. COM E CRED SPI CP</v>
      </c>
      <c r="B891" s="28" t="str">
        <f>IFERROR(_xlfn.XLOOKUP(C891,[1]DIRETORIA!C:C,[1]DIRETORIA!B:B),"-")</f>
        <v>GST. COM CP1</v>
      </c>
      <c r="C891" s="28" t="str">
        <f>IFERROR(_xlfn.XLOOKUP(E891,[1]EMPREENDIMENTO!C:C,[1]EMPREENDIMENTO!A:A),"-")</f>
        <v>CAMPINAS</v>
      </c>
      <c r="D891" s="28" t="s">
        <v>29</v>
      </c>
      <c r="E891" s="28" t="s">
        <v>1657</v>
      </c>
      <c r="F891" s="28" t="s">
        <v>31</v>
      </c>
      <c r="G891" s="28" t="s">
        <v>1658</v>
      </c>
      <c r="H891" s="28">
        <v>52236</v>
      </c>
      <c r="I891" s="29">
        <f>IFERROR(_xlfn.XLOOKUP(E891,[1]EMPREENDIMENTO!C:C,[1]EMPREENDIMENTO!E:E),"0")</f>
        <v>528</v>
      </c>
      <c r="J891" s="30"/>
      <c r="K891" s="28" t="s">
        <v>164</v>
      </c>
      <c r="L891" s="31">
        <v>46119</v>
      </c>
      <c r="M891" s="32">
        <v>230077300</v>
      </c>
      <c r="N891" s="32">
        <v>245168068</v>
      </c>
      <c r="O891" s="32">
        <v>238537400</v>
      </c>
      <c r="P891" s="28" t="s">
        <v>34</v>
      </c>
      <c r="Q891" s="28" t="s">
        <v>1659</v>
      </c>
      <c r="R891" s="30">
        <v>46121</v>
      </c>
      <c r="S891" s="30">
        <v>46120</v>
      </c>
      <c r="T891" s="33"/>
      <c r="U891" s="34" t="str">
        <f>IFERROR(_xlfn.XLOOKUP(E891,[1]EMPREENDIMENTO!C:C,[1]EMPREENDIMENTO!D:D),"")</f>
        <v>d45748e2-7586-de11-9553-001f2909e83c</v>
      </c>
    </row>
    <row r="892" spans="1:21" x14ac:dyDescent="0.35">
      <c r="A892" s="28" t="str">
        <f>IFERROR(_xlfn.XLOOKUP(C892,[1]DIRETORIA!C:C,[1]DIRETORIA!A:A),"-")</f>
        <v>DIR. COM E CRED SPI CP</v>
      </c>
      <c r="B892" s="28" t="str">
        <f>IFERROR(_xlfn.XLOOKUP(C892,[1]DIRETORIA!C:C,[1]DIRETORIA!B:B),"-")</f>
        <v>GST. COM CP1</v>
      </c>
      <c r="C892" s="28" t="str">
        <f>IFERROR(_xlfn.XLOOKUP(E892,[1]EMPREENDIMENTO!C:C,[1]EMPREENDIMENTO!A:A),"-")</f>
        <v>CAMPINAS</v>
      </c>
      <c r="D892" s="28" t="s">
        <v>29</v>
      </c>
      <c r="E892" s="28" t="s">
        <v>1657</v>
      </c>
      <c r="F892" s="28" t="s">
        <v>36</v>
      </c>
      <c r="G892" s="28" t="s">
        <v>1660</v>
      </c>
      <c r="H892" s="28">
        <v>58746</v>
      </c>
      <c r="I892" s="29">
        <f>IFERROR(_xlfn.XLOOKUP(E892,[1]EMPREENDIMENTO!C:C,[1]EMPREENDIMENTO!E:E),"0")</f>
        <v>528</v>
      </c>
      <c r="J892" s="30"/>
      <c r="K892" s="28" t="s">
        <v>164</v>
      </c>
      <c r="L892" s="31">
        <v>46119</v>
      </c>
      <c r="M892" s="32">
        <v>230077300</v>
      </c>
      <c r="N892" s="32">
        <v>245168068</v>
      </c>
      <c r="O892" s="32">
        <v>238537400</v>
      </c>
      <c r="P892" s="28" t="s">
        <v>34</v>
      </c>
      <c r="Q892" s="28" t="s">
        <v>1659</v>
      </c>
      <c r="R892" s="30">
        <v>46121</v>
      </c>
      <c r="S892" s="30">
        <v>46120</v>
      </c>
      <c r="T892" s="33"/>
      <c r="U892" s="34" t="str">
        <f>IFERROR(_xlfn.XLOOKUP(E892,[1]EMPREENDIMENTO!C:C,[1]EMPREENDIMENTO!D:D),"")</f>
        <v>d45748e2-7586-de11-9553-001f2909e83c</v>
      </c>
    </row>
    <row r="893" spans="1:21" hidden="1" x14ac:dyDescent="0.35">
      <c r="A893" s="28" t="str">
        <f>IFERROR(_xlfn.XLOOKUP(C893,[1]DIRETORIA!C:C,[1]DIRETORIA!A:A),"-")</f>
        <v>DIR. COM E CRED SP E VL</v>
      </c>
      <c r="B893" s="28" t="str">
        <f>IFERROR(_xlfn.XLOOKUP(C893,[1]DIRETORIA!C:C,[1]DIRETORIA!B:B),"-")</f>
        <v>GST. COM VL2</v>
      </c>
      <c r="C893" s="28" t="str">
        <f>IFERROR(_xlfn.XLOOKUP(E893,[1]EMPREENDIMENTO!C:C,[1]EMPREENDIMENTO!A:A),"-")</f>
        <v>SUZANO</v>
      </c>
      <c r="D893" s="28" t="s">
        <v>29</v>
      </c>
      <c r="E893" s="28" t="s">
        <v>1661</v>
      </c>
      <c r="F893" s="28" t="s">
        <v>31</v>
      </c>
      <c r="G893" s="28" t="s">
        <v>1662</v>
      </c>
      <c r="H893" s="28">
        <v>41595</v>
      </c>
      <c r="I893" s="29">
        <f>IFERROR(_xlfn.XLOOKUP(E893,[1]EMPREENDIMENTO!C:C,[1]EMPREENDIMENTO!E:E),"0")</f>
        <v>960</v>
      </c>
      <c r="J893" s="30"/>
      <c r="K893" s="28" t="s">
        <v>33</v>
      </c>
      <c r="L893" s="31">
        <v>45845</v>
      </c>
      <c r="M893" s="32">
        <v>254279000</v>
      </c>
      <c r="N893" s="32">
        <v>254279000</v>
      </c>
      <c r="O893" s="32">
        <v>244967000</v>
      </c>
      <c r="P893" s="28" t="s">
        <v>34</v>
      </c>
      <c r="Q893" s="28" t="s">
        <v>1663</v>
      </c>
      <c r="R893" s="30">
        <v>46137</v>
      </c>
      <c r="S893" s="30">
        <v>46134</v>
      </c>
      <c r="T893" s="33" t="s">
        <v>1664</v>
      </c>
      <c r="U893" s="34" t="str">
        <f>IFERROR(_xlfn.XLOOKUP(E893,[1]EMPREENDIMENTO!C:C,[1]EMPREENDIMENTO!D:D),"")</f>
        <v>3659dc2b-8c6a-ed11-98d9-009c02b0cb58</v>
      </c>
    </row>
    <row r="894" spans="1:21" hidden="1" x14ac:dyDescent="0.35">
      <c r="A894" s="28" t="str">
        <f>IFERROR(_xlfn.XLOOKUP(C894,[1]DIRETORIA!C:C,[1]DIRETORIA!A:A),"-")</f>
        <v>DIR. COM E CRED SP E VL</v>
      </c>
      <c r="B894" s="28" t="str">
        <f>IFERROR(_xlfn.XLOOKUP(C894,[1]DIRETORIA!C:C,[1]DIRETORIA!B:B),"-")</f>
        <v>GST. COM VL2</v>
      </c>
      <c r="C894" s="28" t="str">
        <f>IFERROR(_xlfn.XLOOKUP(E894,[1]EMPREENDIMENTO!C:C,[1]EMPREENDIMENTO!A:A),"-")</f>
        <v>SUZANO</v>
      </c>
      <c r="D894" s="28" t="s">
        <v>29</v>
      </c>
      <c r="E894" s="28" t="s">
        <v>1661</v>
      </c>
      <c r="F894" s="28" t="s">
        <v>36</v>
      </c>
      <c r="G894" s="28" t="s">
        <v>1665</v>
      </c>
      <c r="H894" s="28">
        <v>60462</v>
      </c>
      <c r="I894" s="29">
        <f>IFERROR(_xlfn.XLOOKUP(E894,[1]EMPREENDIMENTO!C:C,[1]EMPREENDIMENTO!E:E),"0")</f>
        <v>960</v>
      </c>
      <c r="J894" s="30"/>
      <c r="K894" s="28" t="s">
        <v>33</v>
      </c>
      <c r="L894" s="31">
        <v>45845</v>
      </c>
      <c r="M894" s="32">
        <v>254279000</v>
      </c>
      <c r="N894" s="32">
        <v>254279000</v>
      </c>
      <c r="O894" s="32">
        <v>244967000</v>
      </c>
      <c r="P894" s="28" t="s">
        <v>34</v>
      </c>
      <c r="Q894" s="28" t="s">
        <v>1663</v>
      </c>
      <c r="R894" s="30">
        <v>46137</v>
      </c>
      <c r="S894" s="30">
        <v>46134</v>
      </c>
      <c r="T894" s="33" t="s">
        <v>1664</v>
      </c>
      <c r="U894" s="34" t="str">
        <f>IFERROR(_xlfn.XLOOKUP(E894,[1]EMPREENDIMENTO!C:C,[1]EMPREENDIMENTO!D:D),"")</f>
        <v>3659dc2b-8c6a-ed11-98d9-009c02b0cb58</v>
      </c>
    </row>
    <row r="895" spans="1:21" hidden="1" x14ac:dyDescent="0.35">
      <c r="A895" s="28" t="str">
        <f>IFERROR(_xlfn.XLOOKUP(C895,[1]DIRETORIA!C:C,[1]DIRETORIA!A:A),"-")</f>
        <v>DIR. COM E CRED CO E AM</v>
      </c>
      <c r="B895" s="28" t="str">
        <f>IFERROR(_xlfn.XLOOKUP(C895,[1]DIRETORIA!C:C,[1]DIRETORIA!B:B),"-")</f>
        <v>GST. COM GO</v>
      </c>
      <c r="C895" s="28" t="str">
        <f>IFERROR(_xlfn.XLOOKUP(E895,[1]EMPREENDIMENTO!C:C,[1]EMPREENDIMENTO!A:A),"-")</f>
        <v>APARECIDA DE GOIÂNIA</v>
      </c>
      <c r="D895" s="28" t="s">
        <v>29</v>
      </c>
      <c r="E895" s="28" t="s">
        <v>1666</v>
      </c>
      <c r="F895" s="28" t="s">
        <v>31</v>
      </c>
      <c r="G895" s="28" t="s">
        <v>1667</v>
      </c>
      <c r="H895" s="28">
        <v>52137</v>
      </c>
      <c r="I895" s="29">
        <f>IFERROR(_xlfn.XLOOKUP(E895,[1]EMPREENDIMENTO!C:C,[1]EMPREENDIMENTO!E:E),"0")</f>
        <v>416</v>
      </c>
      <c r="J895" s="30"/>
      <c r="K895" s="28" t="s">
        <v>164</v>
      </c>
      <c r="L895" s="31">
        <v>46006</v>
      </c>
      <c r="M895" s="32">
        <v>97995720</v>
      </c>
      <c r="N895" s="32">
        <v>107057692</v>
      </c>
      <c r="O895" s="32">
        <v>105481760</v>
      </c>
      <c r="P895" s="28" t="s">
        <v>34</v>
      </c>
      <c r="Q895" s="28" t="s">
        <v>1668</v>
      </c>
      <c r="R895" s="30">
        <v>46013</v>
      </c>
      <c r="S895" s="30">
        <v>46007</v>
      </c>
      <c r="T895" s="33"/>
      <c r="U895" s="34" t="str">
        <f>IFERROR(_xlfn.XLOOKUP(E895,[1]EMPREENDIMENTO!C:C,[1]EMPREENDIMENTO!D:D),"")</f>
        <v>b0807da7-3766-e711-8e92-009c02b0cb58</v>
      </c>
    </row>
    <row r="896" spans="1:21" hidden="1" x14ac:dyDescent="0.35">
      <c r="A896" s="28" t="str">
        <f>IFERROR(_xlfn.XLOOKUP(C896,[1]DIRETORIA!C:C,[1]DIRETORIA!A:A),"-")</f>
        <v>DIR. COM E CRED CO E AM</v>
      </c>
      <c r="B896" s="28" t="str">
        <f>IFERROR(_xlfn.XLOOKUP(C896,[1]DIRETORIA!C:C,[1]DIRETORIA!B:B),"-")</f>
        <v>GST. COM GO</v>
      </c>
      <c r="C896" s="28" t="str">
        <f>IFERROR(_xlfn.XLOOKUP(E896,[1]EMPREENDIMENTO!C:C,[1]EMPREENDIMENTO!A:A),"-")</f>
        <v>APARECIDA DE GOIÂNIA</v>
      </c>
      <c r="D896" s="28" t="s">
        <v>29</v>
      </c>
      <c r="E896" s="28" t="s">
        <v>1666</v>
      </c>
      <c r="F896" s="28" t="s">
        <v>36</v>
      </c>
      <c r="G896" s="28" t="s">
        <v>1669</v>
      </c>
      <c r="H896" s="28">
        <v>59147</v>
      </c>
      <c r="I896" s="29">
        <f>IFERROR(_xlfn.XLOOKUP(E896,[1]EMPREENDIMENTO!C:C,[1]EMPREENDIMENTO!E:E),"0")</f>
        <v>416</v>
      </c>
      <c r="J896" s="30"/>
      <c r="K896" s="28" t="s">
        <v>164</v>
      </c>
      <c r="L896" s="31">
        <v>46006</v>
      </c>
      <c r="M896" s="32">
        <v>97995720</v>
      </c>
      <c r="N896" s="32">
        <v>107057692</v>
      </c>
      <c r="O896" s="32">
        <v>105481760</v>
      </c>
      <c r="P896" s="28" t="s">
        <v>34</v>
      </c>
      <c r="Q896" s="28" t="s">
        <v>1668</v>
      </c>
      <c r="R896" s="30">
        <v>46013</v>
      </c>
      <c r="S896" s="30">
        <v>46007</v>
      </c>
      <c r="T896" s="33"/>
      <c r="U896" s="34" t="str">
        <f>IFERROR(_xlfn.XLOOKUP(E896,[1]EMPREENDIMENTO!C:C,[1]EMPREENDIMENTO!D:D),"")</f>
        <v>b0807da7-3766-e711-8e92-009c02b0cb58</v>
      </c>
    </row>
    <row r="897" spans="1:21" hidden="1" x14ac:dyDescent="0.35">
      <c r="A897" s="28" t="str">
        <f>IFERROR(_xlfn.XLOOKUP(C897,[1]DIRETORIA!C:C,[1]DIRETORIA!A:A),"-")</f>
        <v>DIR. COM E CRED CO E AM</v>
      </c>
      <c r="B897" s="28" t="str">
        <f>IFERROR(_xlfn.XLOOKUP(C897,[1]DIRETORIA!C:C,[1]DIRETORIA!B:B),"-")</f>
        <v>GST. COM GO</v>
      </c>
      <c r="C897" s="28" t="str">
        <f>IFERROR(_xlfn.XLOOKUP(E897,[1]EMPREENDIMENTO!C:C,[1]EMPREENDIMENTO!A:A),"-")</f>
        <v>APARECIDA DE GOIÂNIA</v>
      </c>
      <c r="D897" s="28" t="s">
        <v>29</v>
      </c>
      <c r="E897" s="28" t="s">
        <v>1666</v>
      </c>
      <c r="F897" s="28" t="s">
        <v>39</v>
      </c>
      <c r="G897" s="28" t="s">
        <v>1670</v>
      </c>
      <c r="H897" s="28">
        <v>60715</v>
      </c>
      <c r="I897" s="29">
        <f>IFERROR(_xlfn.XLOOKUP(E897,[1]EMPREENDIMENTO!C:C,[1]EMPREENDIMENTO!E:E),"0")</f>
        <v>416</v>
      </c>
      <c r="J897" s="30"/>
      <c r="K897" s="28" t="s">
        <v>164</v>
      </c>
      <c r="L897" s="31">
        <v>46006</v>
      </c>
      <c r="M897" s="32">
        <v>97995720</v>
      </c>
      <c r="N897" s="32">
        <v>107057692</v>
      </c>
      <c r="O897" s="32">
        <v>105481760</v>
      </c>
      <c r="P897" s="28" t="s">
        <v>34</v>
      </c>
      <c r="Q897" s="28" t="s">
        <v>1668</v>
      </c>
      <c r="R897" s="30">
        <v>46013</v>
      </c>
      <c r="S897" s="30">
        <v>46007</v>
      </c>
      <c r="T897" s="33"/>
      <c r="U897" s="34" t="str">
        <f>IFERROR(_xlfn.XLOOKUP(E897,[1]EMPREENDIMENTO!C:C,[1]EMPREENDIMENTO!D:D),"")</f>
        <v>b0807da7-3766-e711-8e92-009c02b0cb58</v>
      </c>
    </row>
    <row r="898" spans="1:21" hidden="1" x14ac:dyDescent="0.35">
      <c r="A898" s="28" t="str">
        <f>IFERROR(_xlfn.XLOOKUP(C898,[1]DIRETORIA!C:C,[1]DIRETORIA!A:A),"-")</f>
        <v>DIR. COM E CRED SUL</v>
      </c>
      <c r="B898" s="28" t="str">
        <f>IFERROR(_xlfn.XLOOKUP(C898,[1]DIRETORIA!C:C,[1]DIRETORIA!B:B),"-")</f>
        <v>GST. COM CURITIBA</v>
      </c>
      <c r="C898" s="28" t="str">
        <f>IFERROR(_xlfn.XLOOKUP(E898,[1]EMPREENDIMENTO!C:C,[1]EMPREENDIMENTO!A:A),"-")</f>
        <v>CURITIBA</v>
      </c>
      <c r="D898" s="28" t="s">
        <v>29</v>
      </c>
      <c r="E898" s="28" t="s">
        <v>1671</v>
      </c>
      <c r="F898" s="28" t="s">
        <v>31</v>
      </c>
      <c r="G898" s="28" t="s">
        <v>1672</v>
      </c>
      <c r="H898" s="28">
        <v>52100</v>
      </c>
      <c r="I898" s="29">
        <f>IFERROR(_xlfn.XLOOKUP(E898,[1]EMPREENDIMENTO!C:C,[1]EMPREENDIMENTO!E:E),"0")</f>
        <v>368</v>
      </c>
      <c r="J898" s="30"/>
      <c r="K898" s="28" t="s">
        <v>33</v>
      </c>
      <c r="L898" s="31">
        <v>45961</v>
      </c>
      <c r="M898" s="32">
        <v>88788458.810000002</v>
      </c>
      <c r="N898" s="32">
        <v>96769903.120000005</v>
      </c>
      <c r="O898" s="32">
        <v>96210318.810000002</v>
      </c>
      <c r="P898" s="28" t="s">
        <v>34</v>
      </c>
      <c r="Q898" s="28" t="s">
        <v>1673</v>
      </c>
      <c r="R898" s="30">
        <v>45985</v>
      </c>
      <c r="S898" s="30">
        <v>45964</v>
      </c>
      <c r="T898" s="33"/>
      <c r="U898" s="34" t="str">
        <f>IFERROR(_xlfn.XLOOKUP(E898,[1]EMPREENDIMENTO!C:C,[1]EMPREENDIMENTO!D:D),"")</f>
        <v>e433fd9d-bd15-ee11-ae6a-009c02b0cb58</v>
      </c>
    </row>
    <row r="899" spans="1:21" hidden="1" x14ac:dyDescent="0.35">
      <c r="A899" s="28" t="str">
        <f>IFERROR(_xlfn.XLOOKUP(C899,[1]DIRETORIA!C:C,[1]DIRETORIA!A:A),"-")</f>
        <v>DIR. COM E CRED SUL</v>
      </c>
      <c r="B899" s="28" t="str">
        <f>IFERROR(_xlfn.XLOOKUP(C899,[1]DIRETORIA!C:C,[1]DIRETORIA!B:B),"-")</f>
        <v>GST. COM CURITIBA</v>
      </c>
      <c r="C899" s="28" t="str">
        <f>IFERROR(_xlfn.XLOOKUP(E899,[1]EMPREENDIMENTO!C:C,[1]EMPREENDIMENTO!A:A),"-")</f>
        <v>CURITIBA</v>
      </c>
      <c r="D899" s="28" t="s">
        <v>29</v>
      </c>
      <c r="E899" s="28" t="s">
        <v>1671</v>
      </c>
      <c r="F899" s="28" t="s">
        <v>36</v>
      </c>
      <c r="G899" s="28" t="s">
        <v>1674</v>
      </c>
      <c r="H899" s="28">
        <v>60611</v>
      </c>
      <c r="I899" s="29">
        <f>IFERROR(_xlfn.XLOOKUP(E899,[1]EMPREENDIMENTO!C:C,[1]EMPREENDIMENTO!E:E),"0")</f>
        <v>368</v>
      </c>
      <c r="J899" s="30"/>
      <c r="K899" s="28" t="s">
        <v>33</v>
      </c>
      <c r="L899" s="31">
        <v>45961</v>
      </c>
      <c r="M899" s="32">
        <v>88788458.810000002</v>
      </c>
      <c r="N899" s="32">
        <v>96769903.120000005</v>
      </c>
      <c r="O899" s="32">
        <v>96210318.810000002</v>
      </c>
      <c r="P899" s="28" t="s">
        <v>34</v>
      </c>
      <c r="Q899" s="28" t="s">
        <v>1673</v>
      </c>
      <c r="R899" s="30">
        <v>45985</v>
      </c>
      <c r="S899" s="30">
        <v>45964</v>
      </c>
      <c r="T899" s="33"/>
      <c r="U899" s="34" t="str">
        <f>IFERROR(_xlfn.XLOOKUP(E899,[1]EMPREENDIMENTO!C:C,[1]EMPREENDIMENTO!D:D),"")</f>
        <v>e433fd9d-bd15-ee11-ae6a-009c02b0cb58</v>
      </c>
    </row>
    <row r="900" spans="1:21" hidden="1" x14ac:dyDescent="0.35">
      <c r="A900" s="28" t="str">
        <f>IFERROR(_xlfn.XLOOKUP(C900,[1]DIRETORIA!C:C,[1]DIRETORIA!A:A),"-")</f>
        <v>DIR. COM E CRED CO E AM</v>
      </c>
      <c r="B900" s="28" t="str">
        <f>IFERROR(_xlfn.XLOOKUP(C900,[1]DIRETORIA!C:C,[1]DIRETORIA!B:B),"-")</f>
        <v>GST. COM AM</v>
      </c>
      <c r="C900" s="28" t="str">
        <f>IFERROR(_xlfn.XLOOKUP(E900,[1]EMPREENDIMENTO!C:C,[1]EMPREENDIMENTO!A:A),"-")</f>
        <v>MANAUS</v>
      </c>
      <c r="D900" s="28" t="s">
        <v>29</v>
      </c>
      <c r="E900" s="28" t="s">
        <v>1675</v>
      </c>
      <c r="F900" s="28" t="s">
        <v>31</v>
      </c>
      <c r="G900" s="28" t="s">
        <v>1676</v>
      </c>
      <c r="H900" s="28">
        <v>38443</v>
      </c>
      <c r="I900" s="29">
        <f>IFERROR(_xlfn.XLOOKUP(E900,[1]EMPREENDIMENTO!C:C,[1]EMPREENDIMENTO!E:E),"0")</f>
        <v>320</v>
      </c>
      <c r="J900" s="30"/>
      <c r="K900" s="28" t="s">
        <v>33</v>
      </c>
      <c r="L900" s="31">
        <v>46265</v>
      </c>
      <c r="M900" s="32">
        <v>109422929</v>
      </c>
      <c r="N900" s="32">
        <v>117584460</v>
      </c>
      <c r="O900" s="32">
        <v>115220483</v>
      </c>
      <c r="P900" s="28" t="s">
        <v>6</v>
      </c>
      <c r="Q900" s="28" t="s">
        <v>1677</v>
      </c>
      <c r="R900" s="30">
        <v>46265</v>
      </c>
      <c r="S900" s="30">
        <v>46266</v>
      </c>
      <c r="T900" s="33"/>
      <c r="U900" s="34" t="str">
        <f>IFERROR(_xlfn.XLOOKUP(E900,[1]EMPREENDIMENTO!C:C,[1]EMPREENDIMENTO!D:D),"")</f>
        <v>e876f407-2518-ed11-b1ad-005056856875</v>
      </c>
    </row>
    <row r="901" spans="1:21" hidden="1" x14ac:dyDescent="0.35">
      <c r="A901" s="28" t="str">
        <f>IFERROR(_xlfn.XLOOKUP(C901,[1]DIRETORIA!C:C,[1]DIRETORIA!A:A),"-")</f>
        <v>DIR. COM E CRED CO E AM</v>
      </c>
      <c r="B901" s="28" t="str">
        <f>IFERROR(_xlfn.XLOOKUP(C901,[1]DIRETORIA!C:C,[1]DIRETORIA!B:B),"-")</f>
        <v>GST. COM AM</v>
      </c>
      <c r="C901" s="28" t="str">
        <f>IFERROR(_xlfn.XLOOKUP(E901,[1]EMPREENDIMENTO!C:C,[1]EMPREENDIMENTO!A:A),"-")</f>
        <v>MANAUS</v>
      </c>
      <c r="D901" s="28" t="s">
        <v>29</v>
      </c>
      <c r="E901" s="28" t="s">
        <v>1675</v>
      </c>
      <c r="F901" s="28" t="s">
        <v>36</v>
      </c>
      <c r="G901" s="28" t="s">
        <v>1678</v>
      </c>
      <c r="H901" s="28">
        <v>60276</v>
      </c>
      <c r="I901" s="29">
        <f>IFERROR(_xlfn.XLOOKUP(E901,[1]EMPREENDIMENTO!C:C,[1]EMPREENDIMENTO!E:E),"0")</f>
        <v>320</v>
      </c>
      <c r="J901" s="30"/>
      <c r="K901" s="28" t="s">
        <v>33</v>
      </c>
      <c r="L901" s="31">
        <v>46265</v>
      </c>
      <c r="M901" s="32">
        <v>109422929</v>
      </c>
      <c r="N901" s="32">
        <v>117584460</v>
      </c>
      <c r="O901" s="32">
        <v>115220483</v>
      </c>
      <c r="P901" s="28" t="s">
        <v>6</v>
      </c>
      <c r="Q901" s="28" t="s">
        <v>1677</v>
      </c>
      <c r="R901" s="30">
        <v>46265</v>
      </c>
      <c r="S901" s="30">
        <v>46266</v>
      </c>
      <c r="T901" s="33"/>
      <c r="U901" s="34" t="str">
        <f>IFERROR(_xlfn.XLOOKUP(E901,[1]EMPREENDIMENTO!C:C,[1]EMPREENDIMENTO!D:D),"")</f>
        <v>e876f407-2518-ed11-b1ad-005056856875</v>
      </c>
    </row>
    <row r="902" spans="1:21" hidden="1" x14ac:dyDescent="0.35">
      <c r="A902" s="28" t="str">
        <f>IFERROR(_xlfn.XLOOKUP(C902,[1]DIRETORIA!C:C,[1]DIRETORIA!A:A),"-")</f>
        <v>DIR. COM E CRED CO E AM</v>
      </c>
      <c r="B902" s="28" t="str">
        <f>IFERROR(_xlfn.XLOOKUP(C902,[1]DIRETORIA!C:C,[1]DIRETORIA!B:B),"-")</f>
        <v>GST. COM AM</v>
      </c>
      <c r="C902" s="28" t="str">
        <f>IFERROR(_xlfn.XLOOKUP(E902,[1]EMPREENDIMENTO!C:C,[1]EMPREENDIMENTO!A:A),"-")</f>
        <v>MANAUS</v>
      </c>
      <c r="D902" s="28" t="s">
        <v>85</v>
      </c>
      <c r="E902" s="28" t="s">
        <v>1675</v>
      </c>
      <c r="F902" s="28" t="s">
        <v>39</v>
      </c>
      <c r="G902" s="28" t="s">
        <v>268</v>
      </c>
      <c r="H902" s="28" t="s">
        <v>268</v>
      </c>
      <c r="I902" s="29">
        <f>IFERROR(_xlfn.XLOOKUP(E902,[1]EMPREENDIMENTO!C:C,[1]EMPREENDIMENTO!E:E),"0")</f>
        <v>320</v>
      </c>
      <c r="J902" s="30"/>
      <c r="K902" s="28" t="s">
        <v>33</v>
      </c>
      <c r="L902" s="31">
        <v>46265</v>
      </c>
      <c r="M902" s="32">
        <v>109422929</v>
      </c>
      <c r="N902" s="32">
        <v>117584460</v>
      </c>
      <c r="O902" s="32">
        <v>115220483</v>
      </c>
      <c r="P902" s="28" t="s">
        <v>6</v>
      </c>
      <c r="Q902" s="28" t="s">
        <v>1677</v>
      </c>
      <c r="R902" s="30">
        <v>46265</v>
      </c>
      <c r="S902" s="30">
        <v>46266</v>
      </c>
      <c r="T902" s="33"/>
      <c r="U902" s="34" t="str">
        <f>IFERROR(_xlfn.XLOOKUP(E902,[1]EMPREENDIMENTO!C:C,[1]EMPREENDIMENTO!D:D),"")</f>
        <v>e876f407-2518-ed11-b1ad-005056856875</v>
      </c>
    </row>
    <row r="903" spans="1:21" hidden="1" x14ac:dyDescent="0.35">
      <c r="A903" s="28" t="str">
        <f>IFERROR(_xlfn.XLOOKUP(C903,[1]DIRETORIA!C:C,[1]DIRETORIA!A:A),"-")</f>
        <v>DIR. COM E CRED SP E VL</v>
      </c>
      <c r="B903" s="28" t="str">
        <f>IFERROR(_xlfn.XLOOKUP(C903,[1]DIRETORIA!C:C,[1]DIRETORIA!B:B),"-")</f>
        <v>GST. COM VL2</v>
      </c>
      <c r="C903" s="28" t="str">
        <f>IFERROR(_xlfn.XLOOKUP(E903,[1]EMPREENDIMENTO!C:C,[1]EMPREENDIMENTO!A:A),"-")</f>
        <v>MOGI DAS CRUZES</v>
      </c>
      <c r="D903" s="28" t="s">
        <v>85</v>
      </c>
      <c r="E903" s="28" t="s">
        <v>1679</v>
      </c>
      <c r="F903" s="28" t="s">
        <v>42</v>
      </c>
      <c r="G903" s="28" t="s">
        <v>1680</v>
      </c>
      <c r="H903" s="28">
        <v>35803</v>
      </c>
      <c r="I903" s="29">
        <f>IFERROR(_xlfn.XLOOKUP(E903,[1]EMPREENDIMENTO!C:C,[1]EMPREENDIMENTO!E:E),"0")</f>
        <v>0</v>
      </c>
      <c r="J903" s="30"/>
      <c r="K903" s="28" t="s">
        <v>33</v>
      </c>
      <c r="L903" s="31">
        <v>45848</v>
      </c>
      <c r="M903" s="32">
        <v>88450500</v>
      </c>
      <c r="N903" s="32">
        <v>99148884</v>
      </c>
      <c r="O903" s="32">
        <v>94686000</v>
      </c>
      <c r="P903" s="28" t="s">
        <v>34</v>
      </c>
      <c r="Q903" s="28"/>
      <c r="R903" s="30"/>
      <c r="S903" s="30">
        <v>45849</v>
      </c>
      <c r="T903" s="33"/>
      <c r="U903" s="34" t="str">
        <f>IFERROR(_xlfn.XLOOKUP(E903,[1]EMPREENDIMENTO!C:C,[1]EMPREENDIMENTO!D:D),"")</f>
        <v>2F989A4F-D422-E811-9E99-009C02B0CB58</v>
      </c>
    </row>
    <row r="904" spans="1:21" hidden="1" x14ac:dyDescent="0.35">
      <c r="A904" s="28" t="str">
        <f>IFERROR(_xlfn.XLOOKUP(C904,[1]DIRETORIA!C:C,[1]DIRETORIA!A:A),"-")</f>
        <v>DIR. COM E CRED RJ</v>
      </c>
      <c r="B904" s="28" t="str">
        <f>IFERROR(_xlfn.XLOOKUP(C904,[1]DIRETORIA!C:C,[1]DIRETORIA!B:B),"-")</f>
        <v>GST. COM RJ2</v>
      </c>
      <c r="C904" s="28" t="str">
        <f>IFERROR(_xlfn.XLOOKUP(E904,[1]EMPREENDIMENTO!C:C,[1]EMPREENDIMENTO!A:A),"-")</f>
        <v>NOVA IGUAÇU</v>
      </c>
      <c r="D904" s="28" t="s">
        <v>29</v>
      </c>
      <c r="E904" s="28" t="s">
        <v>1681</v>
      </c>
      <c r="F904" s="28" t="s">
        <v>31</v>
      </c>
      <c r="G904" s="28" t="s">
        <v>1682</v>
      </c>
      <c r="H904" s="28">
        <v>52489</v>
      </c>
      <c r="I904" s="29">
        <f>IFERROR(_xlfn.XLOOKUP(E904,[1]EMPREENDIMENTO!C:C,[1]EMPREENDIMENTO!E:E),"0")</f>
        <v>432</v>
      </c>
      <c r="J904" s="30"/>
      <c r="K904" s="28" t="s">
        <v>33</v>
      </c>
      <c r="L904" s="31">
        <v>46234</v>
      </c>
      <c r="M904" s="32">
        <v>118204000</v>
      </c>
      <c r="N904" s="32">
        <v>129806219</v>
      </c>
      <c r="O904" s="32">
        <v>122691900</v>
      </c>
      <c r="P904" s="28" t="s">
        <v>34</v>
      </c>
      <c r="Q904" s="28" t="s">
        <v>1683</v>
      </c>
      <c r="R904" s="30">
        <v>46237</v>
      </c>
      <c r="S904" s="30">
        <v>46237</v>
      </c>
      <c r="T904" s="33"/>
      <c r="U904" s="34" t="str">
        <f>IFERROR(_xlfn.XLOOKUP(E904,[1]EMPREENDIMENTO!C:C,[1]EMPREENDIMENTO!D:D),"")</f>
        <v>4f62dced-548d-ee11-8e2d-009c02b0cb58</v>
      </c>
    </row>
    <row r="905" spans="1:21" hidden="1" x14ac:dyDescent="0.35">
      <c r="A905" s="28" t="str">
        <f>IFERROR(_xlfn.XLOOKUP(C905,[1]DIRETORIA!C:C,[1]DIRETORIA!A:A),"-")</f>
        <v>DIR. COM E CRED RJ</v>
      </c>
      <c r="B905" s="28" t="str">
        <f>IFERROR(_xlfn.XLOOKUP(C905,[1]DIRETORIA!C:C,[1]DIRETORIA!B:B),"-")</f>
        <v>GST. COM RJ2</v>
      </c>
      <c r="C905" s="28" t="str">
        <f>IFERROR(_xlfn.XLOOKUP(E905,[1]EMPREENDIMENTO!C:C,[1]EMPREENDIMENTO!A:A),"-")</f>
        <v>NOVA IGUAÇU</v>
      </c>
      <c r="D905" s="28" t="s">
        <v>85</v>
      </c>
      <c r="E905" s="28" t="s">
        <v>1681</v>
      </c>
      <c r="F905" s="28" t="s">
        <v>36</v>
      </c>
      <c r="G905" s="28" t="s">
        <v>268</v>
      </c>
      <c r="H905" s="28" t="s">
        <v>268</v>
      </c>
      <c r="I905" s="29">
        <f>IFERROR(_xlfn.XLOOKUP(E905,[1]EMPREENDIMENTO!C:C,[1]EMPREENDIMENTO!E:E),"0")</f>
        <v>432</v>
      </c>
      <c r="J905" s="30"/>
      <c r="K905" s="28" t="s">
        <v>33</v>
      </c>
      <c r="L905" s="31">
        <v>46234</v>
      </c>
      <c r="M905" s="32">
        <v>118204000</v>
      </c>
      <c r="N905" s="32">
        <v>129806219</v>
      </c>
      <c r="O905" s="32">
        <v>122691900</v>
      </c>
      <c r="P905" s="28" t="s">
        <v>34</v>
      </c>
      <c r="Q905" s="28" t="s">
        <v>1683</v>
      </c>
      <c r="R905" s="30">
        <v>46237</v>
      </c>
      <c r="S905" s="30">
        <v>46237</v>
      </c>
      <c r="T905" s="33"/>
      <c r="U905" s="34" t="str">
        <f>IFERROR(_xlfn.XLOOKUP(E905,[1]EMPREENDIMENTO!C:C,[1]EMPREENDIMENTO!D:D),"")</f>
        <v>4f62dced-548d-ee11-8e2d-009c02b0cb58</v>
      </c>
    </row>
    <row r="906" spans="1:21" hidden="1" x14ac:dyDescent="0.35">
      <c r="A906" s="28" t="str">
        <f>IFERROR(_xlfn.XLOOKUP(C906,[1]DIRETORIA!C:C,[1]DIRETORIA!A:A),"-")</f>
        <v>DIR. COM E CRED NE</v>
      </c>
      <c r="B906" s="28" t="str">
        <f>IFERROR(_xlfn.XLOOKUP(C906,[1]DIRETORIA!C:C,[1]DIRETORIA!B:B),"-")</f>
        <v>GST. COM NE1 (BA 1)</v>
      </c>
      <c r="C906" s="28" t="str">
        <f>IFERROR(_xlfn.XLOOKUP(E906,[1]EMPREENDIMENTO!C:C,[1]EMPREENDIMENTO!A:A),"-")</f>
        <v>SALVADOR</v>
      </c>
      <c r="D906" s="28" t="s">
        <v>29</v>
      </c>
      <c r="E906" s="28" t="s">
        <v>1684</v>
      </c>
      <c r="F906" s="28" t="s">
        <v>42</v>
      </c>
      <c r="G906" s="28" t="s">
        <v>1685</v>
      </c>
      <c r="H906" s="28">
        <v>51335</v>
      </c>
      <c r="I906" s="29">
        <f>IFERROR(_xlfn.XLOOKUP(E906,[1]EMPREENDIMENTO!C:C,[1]EMPREENDIMENTO!E:E),"0")</f>
        <v>576</v>
      </c>
      <c r="J906" s="30"/>
      <c r="K906" s="28" t="s">
        <v>164</v>
      </c>
      <c r="L906" s="31">
        <v>46176</v>
      </c>
      <c r="M906" s="32">
        <v>424433797</v>
      </c>
      <c r="N906" s="32">
        <v>466910667</v>
      </c>
      <c r="O906" s="32">
        <v>439876951</v>
      </c>
      <c r="P906" s="28" t="s">
        <v>34</v>
      </c>
      <c r="Q906" s="28" t="s">
        <v>1686</v>
      </c>
      <c r="R906" s="30">
        <v>46181</v>
      </c>
      <c r="S906" s="30"/>
      <c r="T906" s="33" t="s">
        <v>1687</v>
      </c>
      <c r="U906" s="34" t="str">
        <f>IFERROR(_xlfn.XLOOKUP(E906,[1]EMPREENDIMENTO!C:C,[1]EMPREENDIMENTO!D:D),"")</f>
        <v>bc6a216c-f614-ee11-ae6a-009c02b0cb58</v>
      </c>
    </row>
    <row r="907" spans="1:21" hidden="1" x14ac:dyDescent="0.35">
      <c r="A907" s="28" t="str">
        <f>IFERROR(_xlfn.XLOOKUP(C907,[1]DIRETORIA!C:C,[1]DIRETORIA!A:A),"-")</f>
        <v>DIR. COM E CRED NE</v>
      </c>
      <c r="B907" s="28" t="str">
        <f>IFERROR(_xlfn.XLOOKUP(C907,[1]DIRETORIA!C:C,[1]DIRETORIA!B:B),"-")</f>
        <v>GST. COM NE1 (BA 1)</v>
      </c>
      <c r="C907" s="28" t="str">
        <f>IFERROR(_xlfn.XLOOKUP(E907,[1]EMPREENDIMENTO!C:C,[1]EMPREENDIMENTO!A:A),"-")</f>
        <v>SALVADOR</v>
      </c>
      <c r="D907" s="28" t="s">
        <v>29</v>
      </c>
      <c r="E907" s="28" t="s">
        <v>1688</v>
      </c>
      <c r="F907" s="28" t="s">
        <v>42</v>
      </c>
      <c r="G907" s="28" t="s">
        <v>1689</v>
      </c>
      <c r="H907" s="28">
        <v>61335</v>
      </c>
      <c r="I907" s="29">
        <f>IFERROR(_xlfn.XLOOKUP(E907,[1]EMPREENDIMENTO!C:C,[1]EMPREENDIMENTO!E:E),"0")</f>
        <v>0</v>
      </c>
      <c r="J907" s="30"/>
      <c r="K907" s="28" t="s">
        <v>164</v>
      </c>
      <c r="L907" s="31">
        <v>46056</v>
      </c>
      <c r="M907" s="32">
        <v>410845909</v>
      </c>
      <c r="N907" s="32">
        <v>451077424</v>
      </c>
      <c r="O907" s="32">
        <v>424433797</v>
      </c>
      <c r="P907" s="28" t="s">
        <v>34</v>
      </c>
      <c r="Q907" s="28" t="s">
        <v>1690</v>
      </c>
      <c r="R907" s="30">
        <v>46073</v>
      </c>
      <c r="S907" s="30">
        <v>46056</v>
      </c>
      <c r="T907" s="33" t="s">
        <v>1687</v>
      </c>
      <c r="U907" s="34" t="str">
        <f>IFERROR(_xlfn.XLOOKUP(E907,[1]EMPREENDIMENTO!C:C,[1]EMPREENDIMENTO!D:D),"")</f>
        <v>50E42ECB-CBB3-EE11-8ACD-80C16E075108</v>
      </c>
    </row>
    <row r="908" spans="1:21" hidden="1" x14ac:dyDescent="0.35">
      <c r="A908" s="28" t="str">
        <f>IFERROR(_xlfn.XLOOKUP(C908,[1]DIRETORIA!C:C,[1]DIRETORIA!A:A),"-")</f>
        <v>DIR. COM E CRED NE</v>
      </c>
      <c r="B908" s="28" t="str">
        <f>IFERROR(_xlfn.XLOOKUP(C908,[1]DIRETORIA!C:C,[1]DIRETORIA!B:B),"-")</f>
        <v>GST. COM NE1 (BA 1)</v>
      </c>
      <c r="C908" s="28" t="str">
        <f>IFERROR(_xlfn.XLOOKUP(E908,[1]EMPREENDIMENTO!C:C,[1]EMPREENDIMENTO!A:A),"-")</f>
        <v>SALVADOR</v>
      </c>
      <c r="D908" s="28" t="s">
        <v>85</v>
      </c>
      <c r="E908" s="28" t="s">
        <v>1691</v>
      </c>
      <c r="F908" s="28" t="s">
        <v>42</v>
      </c>
      <c r="G908" s="28" t="s">
        <v>1692</v>
      </c>
      <c r="H908" s="28">
        <v>68344</v>
      </c>
      <c r="I908" s="29">
        <f>IFERROR(_xlfn.XLOOKUP(E908,[1]EMPREENDIMENTO!C:C,[1]EMPREENDIMENTO!E:E),"0")</f>
        <v>0</v>
      </c>
      <c r="J908" s="30"/>
      <c r="K908" s="28" t="s">
        <v>164</v>
      </c>
      <c r="L908" s="31">
        <v>46056</v>
      </c>
      <c r="M908" s="32">
        <v>410845909</v>
      </c>
      <c r="N908" s="32">
        <v>451077424</v>
      </c>
      <c r="O908" s="32">
        <v>424433797</v>
      </c>
      <c r="P908" s="28" t="s">
        <v>34</v>
      </c>
      <c r="Q908" s="28" t="s">
        <v>1690</v>
      </c>
      <c r="R908" s="30">
        <v>46073</v>
      </c>
      <c r="S908" s="30">
        <v>46056</v>
      </c>
      <c r="T908" s="33" t="s">
        <v>1687</v>
      </c>
      <c r="U908" s="34" t="str">
        <f>IFERROR(_xlfn.XLOOKUP(E908,[1]EMPREENDIMENTO!C:C,[1]EMPREENDIMENTO!D:D),"")</f>
        <v>63AAB077-CCB3-EE11-8ACD-80C16E075108</v>
      </c>
    </row>
    <row r="909" spans="1:21" hidden="1" x14ac:dyDescent="0.35">
      <c r="A909" s="28" t="str">
        <f>IFERROR(_xlfn.XLOOKUP(C909,[1]DIRETORIA!C:C,[1]DIRETORIA!A:A),"-")</f>
        <v>DIR. COM E CRED NE</v>
      </c>
      <c r="B909" s="28" t="str">
        <f>IFERROR(_xlfn.XLOOKUP(C909,[1]DIRETORIA!C:C,[1]DIRETORIA!B:B),"-")</f>
        <v>GST. COM NE1 (BA 1)</v>
      </c>
      <c r="C909" s="28" t="str">
        <f>IFERROR(_xlfn.XLOOKUP(E909,[1]EMPREENDIMENTO!C:C,[1]EMPREENDIMENTO!A:A),"-")</f>
        <v>SALVADOR</v>
      </c>
      <c r="D909" s="28" t="s">
        <v>85</v>
      </c>
      <c r="E909" s="28" t="s">
        <v>1691</v>
      </c>
      <c r="F909" s="28" t="s">
        <v>42</v>
      </c>
      <c r="G909" s="28" t="s">
        <v>268</v>
      </c>
      <c r="H909" s="28">
        <v>68439</v>
      </c>
      <c r="I909" s="29">
        <f>IFERROR(_xlfn.XLOOKUP(E909,[1]EMPREENDIMENTO!C:C,[1]EMPREENDIMENTO!E:E),"0")</f>
        <v>0</v>
      </c>
      <c r="J909" s="30"/>
      <c r="K909" s="28" t="s">
        <v>164</v>
      </c>
      <c r="L909" s="31">
        <v>46056</v>
      </c>
      <c r="M909" s="32">
        <v>410845909</v>
      </c>
      <c r="N909" s="32">
        <v>451077424</v>
      </c>
      <c r="O909" s="32">
        <v>424433797</v>
      </c>
      <c r="P909" s="28" t="s">
        <v>34</v>
      </c>
      <c r="Q909" s="28" t="s">
        <v>1690</v>
      </c>
      <c r="R909" s="30">
        <v>46073</v>
      </c>
      <c r="S909" s="30">
        <v>46056</v>
      </c>
      <c r="T909" s="33" t="s">
        <v>1687</v>
      </c>
      <c r="U909" s="34" t="str">
        <f>IFERROR(_xlfn.XLOOKUP(E909,[1]EMPREENDIMENTO!C:C,[1]EMPREENDIMENTO!D:D),"")</f>
        <v>63AAB077-CCB3-EE11-8ACD-80C16E075108</v>
      </c>
    </row>
    <row r="910" spans="1:21" x14ac:dyDescent="0.35">
      <c r="A910" s="28" t="str">
        <f>IFERROR(_xlfn.XLOOKUP(C910,[1]DIRETORIA!C:C,[1]DIRETORIA!A:A),"-")</f>
        <v>DIR. COM E CRED SPI</v>
      </c>
      <c r="B910" s="28" t="str">
        <f>IFERROR(_xlfn.XLOOKUP(C910,[1]DIRETORIA!C:C,[1]DIRETORIA!B:B),"-")</f>
        <v>GST. COM OP 2</v>
      </c>
      <c r="C910" s="28" t="str">
        <f>IFERROR(_xlfn.XLOOKUP(E910,[1]EMPREENDIMENTO!C:C,[1]EMPREENDIMENTO!A:A),"-")</f>
        <v>BAURU</v>
      </c>
      <c r="D910" s="28" t="s">
        <v>29</v>
      </c>
      <c r="E910" s="28" t="s">
        <v>1693</v>
      </c>
      <c r="F910" s="28" t="s">
        <v>31</v>
      </c>
      <c r="G910" s="28" t="s">
        <v>1694</v>
      </c>
      <c r="H910" s="28">
        <v>52854</v>
      </c>
      <c r="I910" s="29">
        <f>IFERROR(_xlfn.XLOOKUP(E910,[1]EMPREENDIMENTO!C:C,[1]EMPREENDIMENTO!E:E),"0")</f>
        <v>336</v>
      </c>
      <c r="J910" s="30"/>
      <c r="K910" s="28" t="s">
        <v>33</v>
      </c>
      <c r="L910" s="31">
        <v>46176</v>
      </c>
      <c r="M910" s="32">
        <v>91943755</v>
      </c>
      <c r="N910" s="32">
        <v>98962440</v>
      </c>
      <c r="O910" s="32">
        <v>97972247</v>
      </c>
      <c r="P910" s="28" t="s">
        <v>34</v>
      </c>
      <c r="Q910" s="28" t="s">
        <v>1695</v>
      </c>
      <c r="R910" s="30">
        <v>46195</v>
      </c>
      <c r="S910" s="30"/>
      <c r="T910" s="33" t="s">
        <v>1696</v>
      </c>
      <c r="U910" s="34" t="str">
        <f>IFERROR(_xlfn.XLOOKUP(E910,[1]EMPREENDIMENTO!C:C,[1]EMPREENDIMENTO!D:D),"")</f>
        <v>268dce55-a278-e911-a7ac-80c16e075108</v>
      </c>
    </row>
    <row r="911" spans="1:21" x14ac:dyDescent="0.35">
      <c r="A911" s="28" t="str">
        <f>IFERROR(_xlfn.XLOOKUP(C911,[1]DIRETORIA!C:C,[1]DIRETORIA!A:A),"-")</f>
        <v>DIR. COM E CRED SPI</v>
      </c>
      <c r="B911" s="28" t="str">
        <f>IFERROR(_xlfn.XLOOKUP(C911,[1]DIRETORIA!C:C,[1]DIRETORIA!B:B),"-")</f>
        <v>GST. COM OP 2</v>
      </c>
      <c r="C911" s="28" t="str">
        <f>IFERROR(_xlfn.XLOOKUP(E911,[1]EMPREENDIMENTO!C:C,[1]EMPREENDIMENTO!A:A),"-")</f>
        <v>BAURU</v>
      </c>
      <c r="D911" s="28" t="s">
        <v>29</v>
      </c>
      <c r="E911" s="28" t="s">
        <v>1693</v>
      </c>
      <c r="F911" s="28" t="s">
        <v>36</v>
      </c>
      <c r="G911" s="28" t="s">
        <v>1697</v>
      </c>
      <c r="H911" s="28">
        <v>63409</v>
      </c>
      <c r="I911" s="29">
        <f>IFERROR(_xlfn.XLOOKUP(E911,[1]EMPREENDIMENTO!C:C,[1]EMPREENDIMENTO!E:E),"0")</f>
        <v>336</v>
      </c>
      <c r="J911" s="30"/>
      <c r="K911" s="28" t="s">
        <v>33</v>
      </c>
      <c r="L911" s="31">
        <v>46176</v>
      </c>
      <c r="M911" s="32">
        <v>91943755</v>
      </c>
      <c r="N911" s="32">
        <v>98962440</v>
      </c>
      <c r="O911" s="32">
        <v>97972247</v>
      </c>
      <c r="P911" s="28" t="s">
        <v>34</v>
      </c>
      <c r="Q911" s="28" t="s">
        <v>1695</v>
      </c>
      <c r="R911" s="30">
        <v>46195</v>
      </c>
      <c r="S911" s="30"/>
      <c r="T911" s="33" t="s">
        <v>1696</v>
      </c>
      <c r="U911" s="34" t="str">
        <f>IFERROR(_xlfn.XLOOKUP(E911,[1]EMPREENDIMENTO!C:C,[1]EMPREENDIMENTO!D:D),"")</f>
        <v>268dce55-a278-e911-a7ac-80c16e075108</v>
      </c>
    </row>
    <row r="912" spans="1:21" hidden="1" x14ac:dyDescent="0.35">
      <c r="A912" s="28" t="str">
        <f>IFERROR(_xlfn.XLOOKUP(C912,[1]DIRETORIA!C:C,[1]DIRETORIA!A:A),"-")</f>
        <v>DIR. COM E CRED CO E AM</v>
      </c>
      <c r="B912" s="28" t="str">
        <f>IFERROR(_xlfn.XLOOKUP(C912,[1]DIRETORIA!C:C,[1]DIRETORIA!B:B),"-")</f>
        <v>GST. COM DF</v>
      </c>
      <c r="C912" s="28" t="str">
        <f>IFERROR(_xlfn.XLOOKUP(E912,[1]EMPREENDIMENTO!C:C,[1]EMPREENDIMENTO!A:A),"-")</f>
        <v>SAMAMBAIA</v>
      </c>
      <c r="D912" s="28" t="s">
        <v>29</v>
      </c>
      <c r="E912" s="28" t="s">
        <v>1698</v>
      </c>
      <c r="F912" s="28" t="s">
        <v>31</v>
      </c>
      <c r="G912" s="28" t="s">
        <v>1699</v>
      </c>
      <c r="H912" s="28">
        <v>52106</v>
      </c>
      <c r="I912" s="29">
        <f>IFERROR(_xlfn.XLOOKUP(E912,[1]EMPREENDIMENTO!C:C,[1]EMPREENDIMENTO!E:E),"0")</f>
        <v>384</v>
      </c>
      <c r="J912" s="30"/>
      <c r="K912" s="28" t="s">
        <v>33</v>
      </c>
      <c r="L912" s="31">
        <v>46042</v>
      </c>
      <c r="M912" s="32">
        <v>117131980</v>
      </c>
      <c r="N912" s="32"/>
      <c r="O912" s="32"/>
      <c r="P912" s="28" t="s">
        <v>1700</v>
      </c>
      <c r="Q912" s="28" t="s">
        <v>1701</v>
      </c>
      <c r="R912" s="30">
        <v>46265</v>
      </c>
      <c r="S912" s="30"/>
      <c r="T912" s="33"/>
      <c r="U912" s="34" t="str">
        <f>IFERROR(_xlfn.XLOOKUP(E912,[1]EMPREENDIMENTO!C:C,[1]EMPREENDIMENTO!D:D),"")</f>
        <v>54bb12f2-8da0-ec11-b501-005056856b6c</v>
      </c>
    </row>
    <row r="913" spans="1:21" hidden="1" x14ac:dyDescent="0.35">
      <c r="A913" s="28" t="str">
        <f>IFERROR(_xlfn.XLOOKUP(C913,[1]DIRETORIA!C:C,[1]DIRETORIA!A:A),"-")</f>
        <v>DIR. COM E CRED CO E AM</v>
      </c>
      <c r="B913" s="28" t="str">
        <f>IFERROR(_xlfn.XLOOKUP(C913,[1]DIRETORIA!C:C,[1]DIRETORIA!B:B),"-")</f>
        <v>GST. COM DF</v>
      </c>
      <c r="C913" s="28" t="str">
        <f>IFERROR(_xlfn.XLOOKUP(E913,[1]EMPREENDIMENTO!C:C,[1]EMPREENDIMENTO!A:A),"-")</f>
        <v>SAMAMBAIA</v>
      </c>
      <c r="D913" s="28" t="s">
        <v>29</v>
      </c>
      <c r="E913" s="28" t="s">
        <v>1698</v>
      </c>
      <c r="F913" s="28" t="s">
        <v>36</v>
      </c>
      <c r="G913" s="28" t="s">
        <v>1702</v>
      </c>
      <c r="H913" s="28">
        <v>55926</v>
      </c>
      <c r="I913" s="29">
        <f>IFERROR(_xlfn.XLOOKUP(E913,[1]EMPREENDIMENTO!C:C,[1]EMPREENDIMENTO!E:E),"0")</f>
        <v>384</v>
      </c>
      <c r="J913" s="30"/>
      <c r="K913" s="28" t="s">
        <v>33</v>
      </c>
      <c r="L913" s="31">
        <v>46042</v>
      </c>
      <c r="M913" s="32">
        <v>117131980</v>
      </c>
      <c r="N913" s="32"/>
      <c r="O913" s="32"/>
      <c r="P913" s="28" t="s">
        <v>1700</v>
      </c>
      <c r="Q913" s="28" t="s">
        <v>1701</v>
      </c>
      <c r="R913" s="30">
        <v>46265</v>
      </c>
      <c r="S913" s="30"/>
      <c r="T913" s="33"/>
      <c r="U913" s="34" t="str">
        <f>IFERROR(_xlfn.XLOOKUP(E913,[1]EMPREENDIMENTO!C:C,[1]EMPREENDIMENTO!D:D),"")</f>
        <v>54bb12f2-8da0-ec11-b501-005056856b6c</v>
      </c>
    </row>
    <row r="914" spans="1:21" hidden="1" x14ac:dyDescent="0.35">
      <c r="A914" s="28" t="str">
        <f>IFERROR(_xlfn.XLOOKUP(C914,[1]DIRETORIA!C:C,[1]DIRETORIA!A:A),"-")</f>
        <v>DIR. COM E CRED CO E AM</v>
      </c>
      <c r="B914" s="28" t="str">
        <f>IFERROR(_xlfn.XLOOKUP(C914,[1]DIRETORIA!C:C,[1]DIRETORIA!B:B),"-")</f>
        <v>GST. COM DF</v>
      </c>
      <c r="C914" s="28" t="str">
        <f>IFERROR(_xlfn.XLOOKUP(E914,[1]EMPREENDIMENTO!C:C,[1]EMPREENDIMENTO!A:A),"-")</f>
        <v>SAMAMBAIA</v>
      </c>
      <c r="D914" s="28" t="s">
        <v>29</v>
      </c>
      <c r="E914" s="28" t="s">
        <v>1698</v>
      </c>
      <c r="F914" s="28" t="s">
        <v>39</v>
      </c>
      <c r="G914" s="28" t="s">
        <v>1703</v>
      </c>
      <c r="H914" s="28">
        <v>60879</v>
      </c>
      <c r="I914" s="29">
        <f>IFERROR(_xlfn.XLOOKUP(E914,[1]EMPREENDIMENTO!C:C,[1]EMPREENDIMENTO!E:E),"0")</f>
        <v>384</v>
      </c>
      <c r="J914" s="30"/>
      <c r="K914" s="28" t="s">
        <v>33</v>
      </c>
      <c r="L914" s="31">
        <v>46042</v>
      </c>
      <c r="M914" s="32">
        <v>117131980</v>
      </c>
      <c r="N914" s="32"/>
      <c r="O914" s="32"/>
      <c r="P914" s="28" t="s">
        <v>1700</v>
      </c>
      <c r="Q914" s="28" t="s">
        <v>1701</v>
      </c>
      <c r="R914" s="30">
        <v>46265</v>
      </c>
      <c r="S914" s="30"/>
      <c r="T914" s="33"/>
      <c r="U914" s="34" t="str">
        <f>IFERROR(_xlfn.XLOOKUP(E914,[1]EMPREENDIMENTO!C:C,[1]EMPREENDIMENTO!D:D),"")</f>
        <v>54bb12f2-8da0-ec11-b501-005056856b6c</v>
      </c>
    </row>
    <row r="915" spans="1:21" hidden="1" x14ac:dyDescent="0.35">
      <c r="A915" s="28" t="str">
        <f>IFERROR(_xlfn.XLOOKUP(C915,[1]DIRETORIA!C:C,[1]DIRETORIA!A:A),"-")</f>
        <v>DIR. COM E CRED CO E AM</v>
      </c>
      <c r="B915" s="28" t="str">
        <f>IFERROR(_xlfn.XLOOKUP(C915,[1]DIRETORIA!C:C,[1]DIRETORIA!B:B),"-")</f>
        <v>GST. COM DF</v>
      </c>
      <c r="C915" s="28" t="str">
        <f>IFERROR(_xlfn.XLOOKUP(E915,[1]EMPREENDIMENTO!C:C,[1]EMPREENDIMENTO!A:A),"-")</f>
        <v>SAMAMBAIA</v>
      </c>
      <c r="D915" s="28" t="s">
        <v>85</v>
      </c>
      <c r="E915" s="28" t="s">
        <v>1698</v>
      </c>
      <c r="F915" s="28" t="s">
        <v>50</v>
      </c>
      <c r="G915" s="28" t="s">
        <v>268</v>
      </c>
      <c r="H915" s="28" t="s">
        <v>268</v>
      </c>
      <c r="I915" s="29">
        <f>IFERROR(_xlfn.XLOOKUP(E915,[1]EMPREENDIMENTO!C:C,[1]EMPREENDIMENTO!E:E),"0")</f>
        <v>384</v>
      </c>
      <c r="J915" s="30"/>
      <c r="K915" s="28" t="s">
        <v>33</v>
      </c>
      <c r="L915" s="31">
        <v>46042</v>
      </c>
      <c r="M915" s="32">
        <v>117131980</v>
      </c>
      <c r="N915" s="32"/>
      <c r="O915" s="32"/>
      <c r="P915" s="28" t="s">
        <v>1700</v>
      </c>
      <c r="Q915" s="28" t="s">
        <v>1701</v>
      </c>
      <c r="R915" s="30">
        <v>46265</v>
      </c>
      <c r="S915" s="30"/>
      <c r="T915" s="33"/>
      <c r="U915" s="34" t="str">
        <f>IFERROR(_xlfn.XLOOKUP(E915,[1]EMPREENDIMENTO!C:C,[1]EMPREENDIMENTO!D:D),"")</f>
        <v>54bb12f2-8da0-ec11-b501-005056856b6c</v>
      </c>
    </row>
    <row r="916" spans="1:21" hidden="1" x14ac:dyDescent="0.35">
      <c r="A916" s="28" t="str">
        <f>IFERROR(_xlfn.XLOOKUP(C916,[1]DIRETORIA!C:C,[1]DIRETORIA!A:A),"-")</f>
        <v>DIR. COM E CRED MG E ES</v>
      </c>
      <c r="B916" s="28" t="str">
        <f>IFERROR(_xlfn.XLOOKUP(C916,[1]DIRETORIA!C:C,[1]DIRETORIA!B:B),"-")</f>
        <v>GST. COM BH E INT</v>
      </c>
      <c r="C916" s="28" t="str">
        <f>IFERROR(_xlfn.XLOOKUP(E916,[1]EMPREENDIMENTO!C:C,[1]EMPREENDIMENTO!A:A),"-")</f>
        <v>BELO HORIZONTE</v>
      </c>
      <c r="D916" s="28" t="s">
        <v>29</v>
      </c>
      <c r="E916" s="28" t="s">
        <v>1704</v>
      </c>
      <c r="F916" s="28" t="s">
        <v>31</v>
      </c>
      <c r="G916" s="28" t="s">
        <v>1705</v>
      </c>
      <c r="H916" s="28">
        <v>23382</v>
      </c>
      <c r="I916" s="29">
        <f>IFERROR(_xlfn.XLOOKUP(E916,[1]EMPREENDIMENTO!C:C,[1]EMPREENDIMENTO!E:E),"0")</f>
        <v>248</v>
      </c>
      <c r="J916" s="30">
        <v>46471</v>
      </c>
      <c r="K916" s="28" t="s">
        <v>33</v>
      </c>
      <c r="L916" s="31">
        <v>46226</v>
      </c>
      <c r="M916" s="32">
        <v>180331700</v>
      </c>
      <c r="N916" s="32">
        <v>222019054</v>
      </c>
      <c r="O916" s="32">
        <v>189912000</v>
      </c>
      <c r="P916" s="28" t="s">
        <v>34</v>
      </c>
      <c r="Q916" s="28" t="s">
        <v>1706</v>
      </c>
      <c r="R916" s="30">
        <v>46225</v>
      </c>
      <c r="S916" s="30">
        <v>46226</v>
      </c>
      <c r="T916" s="33"/>
      <c r="U916" s="34" t="str">
        <f>IFERROR(_xlfn.XLOOKUP(E916,[1]EMPREENDIMENTO!C:C,[1]EMPREENDIMENTO!D:D),"")</f>
        <v>5a74f216-da4c-ea11-ba0a-0050568aa20f</v>
      </c>
    </row>
    <row r="917" spans="1:21" hidden="1" x14ac:dyDescent="0.35">
      <c r="A917" s="28" t="str">
        <f>IFERROR(_xlfn.XLOOKUP(C917,[1]DIRETORIA!C:C,[1]DIRETORIA!A:A),"-")</f>
        <v>DIR. COM E CRED MG E ES</v>
      </c>
      <c r="B917" s="28" t="str">
        <f>IFERROR(_xlfn.XLOOKUP(C917,[1]DIRETORIA!C:C,[1]DIRETORIA!B:B),"-")</f>
        <v>GST. COM BH E INT</v>
      </c>
      <c r="C917" s="28" t="str">
        <f>IFERROR(_xlfn.XLOOKUP(E917,[1]EMPREENDIMENTO!C:C,[1]EMPREENDIMENTO!A:A),"-")</f>
        <v>BELO HORIZONTE</v>
      </c>
      <c r="D917" s="28" t="s">
        <v>29</v>
      </c>
      <c r="E917" s="28" t="s">
        <v>1704</v>
      </c>
      <c r="F917" s="28" t="s">
        <v>36</v>
      </c>
      <c r="G917" s="28" t="s">
        <v>1707</v>
      </c>
      <c r="H917" s="28">
        <v>26224</v>
      </c>
      <c r="I917" s="29">
        <f>IFERROR(_xlfn.XLOOKUP(E917,[1]EMPREENDIMENTO!C:C,[1]EMPREENDIMENTO!E:E),"0")</f>
        <v>248</v>
      </c>
      <c r="J917" s="30">
        <v>46471</v>
      </c>
      <c r="K917" s="28" t="s">
        <v>33</v>
      </c>
      <c r="L917" s="31">
        <v>46226</v>
      </c>
      <c r="M917" s="32">
        <v>180331700</v>
      </c>
      <c r="N917" s="32">
        <v>222019054</v>
      </c>
      <c r="O917" s="32">
        <v>189912000</v>
      </c>
      <c r="P917" s="28" t="s">
        <v>34</v>
      </c>
      <c r="Q917" s="28" t="s">
        <v>1706</v>
      </c>
      <c r="R917" s="30">
        <v>46223</v>
      </c>
      <c r="S917" s="30">
        <v>46226</v>
      </c>
      <c r="T917" s="33"/>
      <c r="U917" s="34" t="str">
        <f>IFERROR(_xlfn.XLOOKUP(E917,[1]EMPREENDIMENTO!C:C,[1]EMPREENDIMENTO!D:D),"")</f>
        <v>5a74f216-da4c-ea11-ba0a-0050568aa20f</v>
      </c>
    </row>
    <row r="918" spans="1:21" hidden="1" x14ac:dyDescent="0.35">
      <c r="A918" s="28" t="str">
        <f>IFERROR(_xlfn.XLOOKUP(C918,[1]DIRETORIA!C:C,[1]DIRETORIA!A:A),"-")</f>
        <v>DIR. COM E CRED MG E ES</v>
      </c>
      <c r="B918" s="28" t="str">
        <f>IFERROR(_xlfn.XLOOKUP(C918,[1]DIRETORIA!C:C,[1]DIRETORIA!B:B),"-")</f>
        <v>GST. COM BH E INT</v>
      </c>
      <c r="C918" s="28" t="str">
        <f>IFERROR(_xlfn.XLOOKUP(E918,[1]EMPREENDIMENTO!C:C,[1]EMPREENDIMENTO!A:A),"-")</f>
        <v>BELO HORIZONTE</v>
      </c>
      <c r="D918" s="28" t="s">
        <v>29</v>
      </c>
      <c r="E918" s="28" t="s">
        <v>1704</v>
      </c>
      <c r="F918" s="28" t="s">
        <v>39</v>
      </c>
      <c r="G918" s="28" t="s">
        <v>1708</v>
      </c>
      <c r="H918" s="28">
        <v>26223</v>
      </c>
      <c r="I918" s="29">
        <f>IFERROR(_xlfn.XLOOKUP(E918,[1]EMPREENDIMENTO!C:C,[1]EMPREENDIMENTO!E:E),"0")</f>
        <v>248</v>
      </c>
      <c r="J918" s="30">
        <v>46471</v>
      </c>
      <c r="K918" s="28" t="s">
        <v>33</v>
      </c>
      <c r="L918" s="31">
        <v>46226</v>
      </c>
      <c r="M918" s="32">
        <v>180331700</v>
      </c>
      <c r="N918" s="32">
        <v>222019054</v>
      </c>
      <c r="O918" s="32">
        <v>189912000</v>
      </c>
      <c r="P918" s="28" t="s">
        <v>34</v>
      </c>
      <c r="Q918" s="28" t="s">
        <v>1706</v>
      </c>
      <c r="R918" s="30">
        <v>46223</v>
      </c>
      <c r="S918" s="30">
        <v>46226</v>
      </c>
      <c r="T918" s="33"/>
      <c r="U918" s="34" t="str">
        <f>IFERROR(_xlfn.XLOOKUP(E918,[1]EMPREENDIMENTO!C:C,[1]EMPREENDIMENTO!D:D),"")</f>
        <v>5a74f216-da4c-ea11-ba0a-0050568aa20f</v>
      </c>
    </row>
    <row r="919" spans="1:21" hidden="1" x14ac:dyDescent="0.35">
      <c r="A919" s="28" t="str">
        <f>IFERROR(_xlfn.XLOOKUP(C919,[1]DIRETORIA!C:C,[1]DIRETORIA!A:A),"-")</f>
        <v>DIR. COM E CRED SP E VL</v>
      </c>
      <c r="B919" s="28" t="str">
        <f>IFERROR(_xlfn.XLOOKUP(C919,[1]DIRETORIA!C:C,[1]DIRETORIA!B:B),"-")</f>
        <v>GST. COM VL2</v>
      </c>
      <c r="C919" s="28" t="str">
        <f>IFERROR(_xlfn.XLOOKUP(E919,[1]EMPREENDIMENTO!C:C,[1]EMPREENDIMENTO!A:A),"-")</f>
        <v>MOGI DAS CRUZES</v>
      </c>
      <c r="D919" s="28" t="s">
        <v>29</v>
      </c>
      <c r="E919" s="28" t="s">
        <v>1709</v>
      </c>
      <c r="F919" s="28" t="s">
        <v>31</v>
      </c>
      <c r="G919" s="28" t="s">
        <v>1710</v>
      </c>
      <c r="H919" s="28">
        <v>30553</v>
      </c>
      <c r="I919" s="29">
        <f>IFERROR(_xlfn.XLOOKUP(E919,[1]EMPREENDIMENTO!C:C,[1]EMPREENDIMENTO!E:E),"0")</f>
        <v>288</v>
      </c>
      <c r="J919" s="30">
        <v>46671</v>
      </c>
      <c r="K919" s="28" t="s">
        <v>33</v>
      </c>
      <c r="L919" s="31">
        <v>45708</v>
      </c>
      <c r="M919" s="32">
        <v>71803375</v>
      </c>
      <c r="N919" s="32"/>
      <c r="O919" s="32"/>
      <c r="P919" s="28" t="s">
        <v>34</v>
      </c>
      <c r="Q919" s="28" t="s">
        <v>1711</v>
      </c>
      <c r="R919" s="30">
        <v>45950</v>
      </c>
      <c r="S919" s="30">
        <v>45929</v>
      </c>
      <c r="T919" s="33"/>
      <c r="U919" s="34" t="str">
        <f>IFERROR(_xlfn.XLOOKUP(E919,[1]EMPREENDIMENTO!C:C,[1]EMPREENDIMENTO!D:D),"")</f>
        <v>093e4cfe-affe-e611-ac8b-80c16e075108</v>
      </c>
    </row>
    <row r="920" spans="1:21" hidden="1" x14ac:dyDescent="0.35">
      <c r="A920" s="28" t="str">
        <f>IFERROR(_xlfn.XLOOKUP(C920,[1]DIRETORIA!C:C,[1]DIRETORIA!A:A),"-")</f>
        <v>DIR. COM E CRED SP E VL</v>
      </c>
      <c r="B920" s="28" t="str">
        <f>IFERROR(_xlfn.XLOOKUP(C920,[1]DIRETORIA!C:C,[1]DIRETORIA!B:B),"-")</f>
        <v>GST. COM VL2</v>
      </c>
      <c r="C920" s="28" t="str">
        <f>IFERROR(_xlfn.XLOOKUP(E920,[1]EMPREENDIMENTO!C:C,[1]EMPREENDIMENTO!A:A),"-")</f>
        <v>MOGI DAS CRUZES</v>
      </c>
      <c r="D920" s="28" t="s">
        <v>29</v>
      </c>
      <c r="E920" s="28" t="s">
        <v>1709</v>
      </c>
      <c r="F920" s="28" t="s">
        <v>36</v>
      </c>
      <c r="G920" s="28" t="s">
        <v>1712</v>
      </c>
      <c r="H920" s="28">
        <v>50689</v>
      </c>
      <c r="I920" s="29">
        <f>IFERROR(_xlfn.XLOOKUP(E920,[1]EMPREENDIMENTO!C:C,[1]EMPREENDIMENTO!E:E),"0")</f>
        <v>288</v>
      </c>
      <c r="J920" s="30">
        <v>46671</v>
      </c>
      <c r="K920" s="28" t="s">
        <v>33</v>
      </c>
      <c r="L920" s="31">
        <v>45708</v>
      </c>
      <c r="M920" s="32">
        <v>71803375</v>
      </c>
      <c r="N920" s="32"/>
      <c r="O920" s="32"/>
      <c r="P920" s="28" t="s">
        <v>34</v>
      </c>
      <c r="Q920" s="28" t="s">
        <v>1711</v>
      </c>
      <c r="R920" s="30">
        <v>45950</v>
      </c>
      <c r="S920" s="30">
        <v>45929</v>
      </c>
      <c r="T920" s="33"/>
      <c r="U920" s="34" t="str">
        <f>IFERROR(_xlfn.XLOOKUP(E920,[1]EMPREENDIMENTO!C:C,[1]EMPREENDIMENTO!D:D),"")</f>
        <v>093e4cfe-affe-e611-ac8b-80c16e075108</v>
      </c>
    </row>
    <row r="921" spans="1:21" hidden="1" x14ac:dyDescent="0.35">
      <c r="A921" s="28" t="str">
        <f>IFERROR(_xlfn.XLOOKUP(C921,[1]DIRETORIA!C:C,[1]DIRETORIA!A:A),"-")</f>
        <v>DIR. COM E CRED NE</v>
      </c>
      <c r="B921" s="28" t="str">
        <f>IFERROR(_xlfn.XLOOKUP(C921,[1]DIRETORIA!C:C,[1]DIRETORIA!B:B),"-")</f>
        <v>GST. COM NE2 (PE)</v>
      </c>
      <c r="C921" s="28" t="str">
        <f>IFERROR(_xlfn.XLOOKUP(E921,[1]EMPREENDIMENTO!C:C,[1]EMPREENDIMENTO!A:A),"-")</f>
        <v>PAULISTA</v>
      </c>
      <c r="D921" s="28" t="s">
        <v>29</v>
      </c>
      <c r="E921" s="28" t="s">
        <v>1713</v>
      </c>
      <c r="F921" s="28" t="s">
        <v>31</v>
      </c>
      <c r="G921" s="28" t="s">
        <v>1714</v>
      </c>
      <c r="H921" s="28">
        <v>52988</v>
      </c>
      <c r="I921" s="29">
        <f>IFERROR(_xlfn.XLOOKUP(E921,[1]EMPREENDIMENTO!C:C,[1]EMPREENDIMENTO!E:E),"0")</f>
        <v>600</v>
      </c>
      <c r="J921" s="30"/>
      <c r="K921" s="28" t="s">
        <v>33</v>
      </c>
      <c r="L921" s="31">
        <v>46108</v>
      </c>
      <c r="M921" s="32">
        <v>135739000</v>
      </c>
      <c r="N921" s="32">
        <v>149973273</v>
      </c>
      <c r="O921" s="32">
        <v>141954000</v>
      </c>
      <c r="P921" s="28" t="s">
        <v>81</v>
      </c>
      <c r="Q921" s="28" t="s">
        <v>1715</v>
      </c>
      <c r="R921" s="30">
        <v>46121</v>
      </c>
      <c r="S921" s="30">
        <v>46111</v>
      </c>
      <c r="T921" s="33"/>
      <c r="U921" s="34" t="str">
        <f>IFERROR(_xlfn.XLOOKUP(E921,[1]EMPREENDIMENTO!C:C,[1]EMPREENDIMENTO!D:D),"")</f>
        <v>7c9cdb44-70bf-e511-b93a-80c16e075108</v>
      </c>
    </row>
    <row r="922" spans="1:21" hidden="1" x14ac:dyDescent="0.35">
      <c r="A922" s="28" t="str">
        <f>IFERROR(_xlfn.XLOOKUP(C922,[1]DIRETORIA!C:C,[1]DIRETORIA!A:A),"-")</f>
        <v>DIR. COM E CRED NE</v>
      </c>
      <c r="B922" s="28" t="str">
        <f>IFERROR(_xlfn.XLOOKUP(C922,[1]DIRETORIA!C:C,[1]DIRETORIA!B:B),"-")</f>
        <v>GST. COM NE2 (PE)</v>
      </c>
      <c r="C922" s="28" t="str">
        <f>IFERROR(_xlfn.XLOOKUP(E922,[1]EMPREENDIMENTO!C:C,[1]EMPREENDIMENTO!A:A),"-")</f>
        <v>PAULISTA</v>
      </c>
      <c r="D922" s="28" t="s">
        <v>29</v>
      </c>
      <c r="E922" s="28" t="s">
        <v>1713</v>
      </c>
      <c r="F922" s="28" t="s">
        <v>36</v>
      </c>
      <c r="G922" s="28" t="s">
        <v>1716</v>
      </c>
      <c r="H922" s="28">
        <v>62846</v>
      </c>
      <c r="I922" s="29">
        <f>IFERROR(_xlfn.XLOOKUP(E922,[1]EMPREENDIMENTO!C:C,[1]EMPREENDIMENTO!E:E),"0")</f>
        <v>600</v>
      </c>
      <c r="J922" s="30"/>
      <c r="K922" s="28" t="s">
        <v>33</v>
      </c>
      <c r="L922" s="31">
        <v>46108</v>
      </c>
      <c r="M922" s="32">
        <v>135739000</v>
      </c>
      <c r="N922" s="32">
        <v>149973273</v>
      </c>
      <c r="O922" s="32">
        <v>141954000</v>
      </c>
      <c r="P922" s="28" t="s">
        <v>81</v>
      </c>
      <c r="Q922" s="28" t="s">
        <v>1715</v>
      </c>
      <c r="R922" s="30">
        <v>46121</v>
      </c>
      <c r="S922" s="30">
        <v>46111</v>
      </c>
      <c r="T922" s="33"/>
      <c r="U922" s="34" t="str">
        <f>IFERROR(_xlfn.XLOOKUP(E922,[1]EMPREENDIMENTO!C:C,[1]EMPREENDIMENTO!D:D),"")</f>
        <v>7c9cdb44-70bf-e511-b93a-80c16e075108</v>
      </c>
    </row>
    <row r="923" spans="1:21" hidden="1" x14ac:dyDescent="0.35">
      <c r="A923" s="28" t="str">
        <f>IFERROR(_xlfn.XLOOKUP(C923,[1]DIRETORIA!C:C,[1]DIRETORIA!A:A),"-")</f>
        <v>DIR. COM E CRED NE</v>
      </c>
      <c r="B923" s="28" t="str">
        <f>IFERROR(_xlfn.XLOOKUP(C923,[1]DIRETORIA!C:C,[1]DIRETORIA!B:B),"-")</f>
        <v>GST. COM NE2 (PE)</v>
      </c>
      <c r="C923" s="28" t="str">
        <f>IFERROR(_xlfn.XLOOKUP(E923,[1]EMPREENDIMENTO!C:C,[1]EMPREENDIMENTO!A:A),"-")</f>
        <v>PAULISTA</v>
      </c>
      <c r="D923" s="28" t="s">
        <v>29</v>
      </c>
      <c r="E923" s="28" t="s">
        <v>1713</v>
      </c>
      <c r="F923" s="28" t="s">
        <v>39</v>
      </c>
      <c r="G923" s="28" t="s">
        <v>1717</v>
      </c>
      <c r="H923" s="28">
        <v>68030</v>
      </c>
      <c r="I923" s="29">
        <f>IFERROR(_xlfn.XLOOKUP(E923,[1]EMPREENDIMENTO!C:C,[1]EMPREENDIMENTO!E:E),"0")</f>
        <v>600</v>
      </c>
      <c r="J923" s="30"/>
      <c r="K923" s="28" t="s">
        <v>33</v>
      </c>
      <c r="L923" s="31">
        <v>46108</v>
      </c>
      <c r="M923" s="32">
        <v>135739000</v>
      </c>
      <c r="N923" s="32">
        <v>149973273</v>
      </c>
      <c r="O923" s="32">
        <v>141954000</v>
      </c>
      <c r="P923" s="28" t="s">
        <v>81</v>
      </c>
      <c r="Q923" s="28" t="s">
        <v>1715</v>
      </c>
      <c r="R923" s="30">
        <v>46121</v>
      </c>
      <c r="S923" s="30">
        <v>46111</v>
      </c>
      <c r="T923" s="33"/>
      <c r="U923" s="34" t="str">
        <f>IFERROR(_xlfn.XLOOKUP(E923,[1]EMPREENDIMENTO!C:C,[1]EMPREENDIMENTO!D:D),"")</f>
        <v>7c9cdb44-70bf-e511-b93a-80c16e075108</v>
      </c>
    </row>
    <row r="924" spans="1:21" hidden="1" x14ac:dyDescent="0.35">
      <c r="A924" s="28" t="str">
        <f>IFERROR(_xlfn.XLOOKUP(C924,[1]DIRETORIA!C:C,[1]DIRETORIA!A:A),"-")</f>
        <v>DIR. COM E CRED NE</v>
      </c>
      <c r="B924" s="28" t="str">
        <f>IFERROR(_xlfn.XLOOKUP(C924,[1]DIRETORIA!C:C,[1]DIRETORIA!B:B),"-")</f>
        <v>GST. COM NE2 (PE)</v>
      </c>
      <c r="C924" s="28" t="str">
        <f>IFERROR(_xlfn.XLOOKUP(E924,[1]EMPREENDIMENTO!C:C,[1]EMPREENDIMENTO!A:A),"-")</f>
        <v>PAULISTA</v>
      </c>
      <c r="D924" s="28" t="s">
        <v>85</v>
      </c>
      <c r="E924" s="28" t="s">
        <v>1713</v>
      </c>
      <c r="F924" s="28" t="s">
        <v>50</v>
      </c>
      <c r="G924" s="28" t="s">
        <v>268</v>
      </c>
      <c r="H924" s="28" t="s">
        <v>268</v>
      </c>
      <c r="I924" s="29">
        <f>IFERROR(_xlfn.XLOOKUP(E924,[1]EMPREENDIMENTO!C:C,[1]EMPREENDIMENTO!E:E),"0")</f>
        <v>600</v>
      </c>
      <c r="J924" s="30"/>
      <c r="K924" s="28" t="s">
        <v>33</v>
      </c>
      <c r="L924" s="31">
        <v>46108</v>
      </c>
      <c r="M924" s="32">
        <v>135739000</v>
      </c>
      <c r="N924" s="32">
        <v>149973273</v>
      </c>
      <c r="O924" s="32">
        <v>141954000</v>
      </c>
      <c r="P924" s="28" t="s">
        <v>81</v>
      </c>
      <c r="Q924" s="28" t="s">
        <v>1715</v>
      </c>
      <c r="R924" s="30">
        <v>46121</v>
      </c>
      <c r="S924" s="30">
        <v>46111</v>
      </c>
      <c r="T924" s="33"/>
      <c r="U924" s="34" t="str">
        <f>IFERROR(_xlfn.XLOOKUP(E924,[1]EMPREENDIMENTO!C:C,[1]EMPREENDIMENTO!D:D),"")</f>
        <v>7c9cdb44-70bf-e511-b93a-80c16e075108</v>
      </c>
    </row>
    <row r="925" spans="1:21" hidden="1" x14ac:dyDescent="0.35">
      <c r="A925" s="28" t="str">
        <f>IFERROR(_xlfn.XLOOKUP(C925,[1]DIRETORIA!C:C,[1]DIRETORIA!A:A),"-")</f>
        <v>DIR. COM E CRED CO E AM</v>
      </c>
      <c r="B925" s="28" t="str">
        <f>IFERROR(_xlfn.XLOOKUP(C925,[1]DIRETORIA!C:C,[1]DIRETORIA!B:B),"-")</f>
        <v>GST. COM AM</v>
      </c>
      <c r="C925" s="28" t="str">
        <f>IFERROR(_xlfn.XLOOKUP(E925,[1]EMPREENDIMENTO!C:C,[1]EMPREENDIMENTO!A:A),"-")</f>
        <v>MANAUS</v>
      </c>
      <c r="D925" s="28" t="s">
        <v>29</v>
      </c>
      <c r="E925" s="28" t="s">
        <v>1718</v>
      </c>
      <c r="F925" s="28" t="s">
        <v>31</v>
      </c>
      <c r="G925" s="28" t="s">
        <v>1719</v>
      </c>
      <c r="H925" s="28">
        <v>52901</v>
      </c>
      <c r="I925" s="29">
        <f>IFERROR(_xlfn.XLOOKUP(E925,[1]EMPREENDIMENTO!C:C,[1]EMPREENDIMENTO!E:E),"0")</f>
        <v>720</v>
      </c>
      <c r="J925" s="30"/>
      <c r="K925" s="28" t="s">
        <v>164</v>
      </c>
      <c r="L925" s="31">
        <v>46190</v>
      </c>
      <c r="M925" s="32">
        <v>177220000</v>
      </c>
      <c r="N925" s="32">
        <v>196372175</v>
      </c>
      <c r="O925" s="32">
        <v>184411878</v>
      </c>
      <c r="P925" s="28" t="s">
        <v>34</v>
      </c>
      <c r="Q925" s="28" t="s">
        <v>1720</v>
      </c>
      <c r="R925" s="30">
        <v>46202</v>
      </c>
      <c r="S925" s="30">
        <v>46192</v>
      </c>
      <c r="T925" s="33"/>
      <c r="U925" s="34" t="str">
        <f>IFERROR(_xlfn.XLOOKUP(E925,[1]EMPREENDIMENTO!C:C,[1]EMPREENDIMENTO!D:D),"")</f>
        <v>e1b0d732-d318-ed11-ba45-005056890018</v>
      </c>
    </row>
    <row r="926" spans="1:21" hidden="1" x14ac:dyDescent="0.35">
      <c r="A926" s="28" t="str">
        <f>IFERROR(_xlfn.XLOOKUP(C926,[1]DIRETORIA!C:C,[1]DIRETORIA!A:A),"-")</f>
        <v>DIR. COM E CRED CO E AM</v>
      </c>
      <c r="B926" s="28" t="str">
        <f>IFERROR(_xlfn.XLOOKUP(C926,[1]DIRETORIA!C:C,[1]DIRETORIA!B:B),"-")</f>
        <v>GST. COM AM</v>
      </c>
      <c r="C926" s="28" t="str">
        <f>IFERROR(_xlfn.XLOOKUP(E926,[1]EMPREENDIMENTO!C:C,[1]EMPREENDIMENTO!A:A),"-")</f>
        <v>MANAUS</v>
      </c>
      <c r="D926" s="28" t="s">
        <v>29</v>
      </c>
      <c r="E926" s="28" t="s">
        <v>1718</v>
      </c>
      <c r="F926" s="28" t="s">
        <v>36</v>
      </c>
      <c r="G926" s="28" t="s">
        <v>1721</v>
      </c>
      <c r="H926" s="28">
        <v>55829</v>
      </c>
      <c r="I926" s="29">
        <f>IFERROR(_xlfn.XLOOKUP(E926,[1]EMPREENDIMENTO!C:C,[1]EMPREENDIMENTO!E:E),"0")</f>
        <v>720</v>
      </c>
      <c r="J926" s="30"/>
      <c r="K926" s="28" t="s">
        <v>164</v>
      </c>
      <c r="L926" s="31">
        <v>46190</v>
      </c>
      <c r="M926" s="32">
        <v>177220000</v>
      </c>
      <c r="N926" s="32">
        <v>196372175</v>
      </c>
      <c r="O926" s="32">
        <v>184411878</v>
      </c>
      <c r="P926" s="28" t="s">
        <v>34</v>
      </c>
      <c r="Q926" s="28" t="s">
        <v>1720</v>
      </c>
      <c r="R926" s="30">
        <v>46202</v>
      </c>
      <c r="S926" s="30">
        <v>46192</v>
      </c>
      <c r="T926" s="33"/>
      <c r="U926" s="34" t="str">
        <f>IFERROR(_xlfn.XLOOKUP(E926,[1]EMPREENDIMENTO!C:C,[1]EMPREENDIMENTO!D:D),"")</f>
        <v>e1b0d732-d318-ed11-ba45-005056890018</v>
      </c>
    </row>
    <row r="927" spans="1:21" hidden="1" x14ac:dyDescent="0.35">
      <c r="A927" s="28" t="str">
        <f>IFERROR(_xlfn.XLOOKUP(C927,[1]DIRETORIA!C:C,[1]DIRETORIA!A:A),"-")</f>
        <v>DIR. COM E CRED CO E AM</v>
      </c>
      <c r="B927" s="28" t="str">
        <f>IFERROR(_xlfn.XLOOKUP(C927,[1]DIRETORIA!C:C,[1]DIRETORIA!B:B),"-")</f>
        <v>GST. COM AM</v>
      </c>
      <c r="C927" s="28" t="str">
        <f>IFERROR(_xlfn.XLOOKUP(E927,[1]EMPREENDIMENTO!C:C,[1]EMPREENDIMENTO!A:A),"-")</f>
        <v>MANAUS</v>
      </c>
      <c r="D927" s="28" t="s">
        <v>29</v>
      </c>
      <c r="E927" s="28" t="s">
        <v>1718</v>
      </c>
      <c r="F927" s="28" t="s">
        <v>39</v>
      </c>
      <c r="G927" s="28" t="s">
        <v>1722</v>
      </c>
      <c r="H927" s="28">
        <v>60275</v>
      </c>
      <c r="I927" s="29">
        <f>IFERROR(_xlfn.XLOOKUP(E927,[1]EMPREENDIMENTO!C:C,[1]EMPREENDIMENTO!E:E),"0")</f>
        <v>720</v>
      </c>
      <c r="J927" s="30"/>
      <c r="K927" s="28" t="s">
        <v>164</v>
      </c>
      <c r="L927" s="31">
        <v>46190</v>
      </c>
      <c r="M927" s="32">
        <v>177220000</v>
      </c>
      <c r="N927" s="32">
        <v>196372175</v>
      </c>
      <c r="O927" s="32">
        <v>184411878</v>
      </c>
      <c r="P927" s="28" t="s">
        <v>34</v>
      </c>
      <c r="Q927" s="28" t="s">
        <v>1720</v>
      </c>
      <c r="R927" s="30">
        <v>46202</v>
      </c>
      <c r="S927" s="30">
        <v>46192</v>
      </c>
      <c r="T927" s="33"/>
      <c r="U927" s="34" t="str">
        <f>IFERROR(_xlfn.XLOOKUP(E927,[1]EMPREENDIMENTO!C:C,[1]EMPREENDIMENTO!D:D),"")</f>
        <v>e1b0d732-d318-ed11-ba45-005056890018</v>
      </c>
    </row>
    <row r="928" spans="1:21" hidden="1" x14ac:dyDescent="0.35">
      <c r="A928" s="28" t="str">
        <f>IFERROR(_xlfn.XLOOKUP(C928,[1]DIRETORIA!C:C,[1]DIRETORIA!A:A),"-")</f>
        <v>DIR. COM E CRED SP E VL</v>
      </c>
      <c r="B928" s="28" t="str">
        <f>IFERROR(_xlfn.XLOOKUP(C928,[1]DIRETORIA!C:C,[1]DIRETORIA!B:B),"-")</f>
        <v>GST. COM SP2</v>
      </c>
      <c r="C928" s="28" t="str">
        <f>IFERROR(_xlfn.XLOOKUP(E928,[1]EMPREENDIMENTO!C:C,[1]EMPREENDIMENTO!A:A),"-")</f>
        <v>SÃO PAULO</v>
      </c>
      <c r="D928" s="28" t="s">
        <v>29</v>
      </c>
      <c r="E928" s="28" t="s">
        <v>1723</v>
      </c>
      <c r="F928" s="28" t="s">
        <v>31</v>
      </c>
      <c r="G928" s="28" t="s">
        <v>1724</v>
      </c>
      <c r="H928" s="28">
        <v>51934</v>
      </c>
      <c r="I928" s="29">
        <f>IFERROR(_xlfn.XLOOKUP(E928,[1]EMPREENDIMENTO!C:C,[1]EMPREENDIMENTO!E:E),"0")</f>
        <v>320</v>
      </c>
      <c r="J928" s="30"/>
      <c r="K928" s="28" t="s">
        <v>786</v>
      </c>
      <c r="L928" s="31">
        <v>46178</v>
      </c>
      <c r="M928" s="32">
        <v>93420000</v>
      </c>
      <c r="N928" s="32">
        <v>99392933</v>
      </c>
      <c r="O928" s="32">
        <v>97505000</v>
      </c>
      <c r="P928" s="28" t="s">
        <v>34</v>
      </c>
      <c r="Q928" s="28" t="s">
        <v>1725</v>
      </c>
      <c r="R928" s="30">
        <v>46181</v>
      </c>
      <c r="S928" s="30">
        <v>46178</v>
      </c>
      <c r="T928" s="33"/>
      <c r="U928" s="34" t="str">
        <f>IFERROR(_xlfn.XLOOKUP(E928,[1]EMPREENDIMENTO!C:C,[1]EMPREENDIMENTO!D:D),"")</f>
        <v>3E008CDB-6A62-EB11-AA45-005056856875</v>
      </c>
    </row>
    <row r="929" spans="1:21" hidden="1" x14ac:dyDescent="0.35">
      <c r="A929" s="28" t="str">
        <f>IFERROR(_xlfn.XLOOKUP(C929,[1]DIRETORIA!C:C,[1]DIRETORIA!A:A),"-")</f>
        <v>DIR. COM E CRED SP E VL</v>
      </c>
      <c r="B929" s="28" t="str">
        <f>IFERROR(_xlfn.XLOOKUP(C929,[1]DIRETORIA!C:C,[1]DIRETORIA!B:B),"-")</f>
        <v>GST. COM SP2</v>
      </c>
      <c r="C929" s="28" t="str">
        <f>IFERROR(_xlfn.XLOOKUP(E929,[1]EMPREENDIMENTO!C:C,[1]EMPREENDIMENTO!A:A),"-")</f>
        <v>SÃO PAULO</v>
      </c>
      <c r="D929" s="28" t="s">
        <v>29</v>
      </c>
      <c r="E929" s="28" t="s">
        <v>1723</v>
      </c>
      <c r="F929" s="28" t="s">
        <v>36</v>
      </c>
      <c r="G929" s="28" t="s">
        <v>1726</v>
      </c>
      <c r="H929" s="28">
        <v>63904</v>
      </c>
      <c r="I929" s="29">
        <f>IFERROR(_xlfn.XLOOKUP(E929,[1]EMPREENDIMENTO!C:C,[1]EMPREENDIMENTO!E:E),"0")</f>
        <v>320</v>
      </c>
      <c r="J929" s="30"/>
      <c r="K929" s="28" t="s">
        <v>786</v>
      </c>
      <c r="L929" s="31">
        <v>46178</v>
      </c>
      <c r="M929" s="32">
        <v>93420000</v>
      </c>
      <c r="N929" s="32">
        <v>99392933</v>
      </c>
      <c r="O929" s="32">
        <v>97505000</v>
      </c>
      <c r="P929" s="28" t="s">
        <v>34</v>
      </c>
      <c r="Q929" s="28" t="s">
        <v>1725</v>
      </c>
      <c r="R929" s="30">
        <v>46181</v>
      </c>
      <c r="S929" s="30">
        <v>46178</v>
      </c>
      <c r="T929" s="33"/>
      <c r="U929" s="34" t="str">
        <f>IFERROR(_xlfn.XLOOKUP(E929,[1]EMPREENDIMENTO!C:C,[1]EMPREENDIMENTO!D:D),"")</f>
        <v>3E008CDB-6A62-EB11-AA45-005056856875</v>
      </c>
    </row>
    <row r="930" spans="1:21" hidden="1" x14ac:dyDescent="0.35">
      <c r="A930" s="28" t="str">
        <f>IFERROR(_xlfn.XLOOKUP(C930,[1]DIRETORIA!C:C,[1]DIRETORIA!A:A),"-")</f>
        <v>DIR. COM E CRED SP E VL</v>
      </c>
      <c r="B930" s="28" t="str">
        <f>IFERROR(_xlfn.XLOOKUP(C930,[1]DIRETORIA!C:C,[1]DIRETORIA!B:B),"-")</f>
        <v>GST. COM SP2</v>
      </c>
      <c r="C930" s="28" t="str">
        <f>IFERROR(_xlfn.XLOOKUP(E930,[1]EMPREENDIMENTO!C:C,[1]EMPREENDIMENTO!A:A),"-")</f>
        <v>SÃO PAULO</v>
      </c>
      <c r="D930" s="28" t="s">
        <v>85</v>
      </c>
      <c r="E930" s="28" t="s">
        <v>1723</v>
      </c>
      <c r="F930" s="28" t="s">
        <v>39</v>
      </c>
      <c r="G930" s="28" t="s">
        <v>268</v>
      </c>
      <c r="H930" s="28" t="s">
        <v>268</v>
      </c>
      <c r="I930" s="29">
        <f>IFERROR(_xlfn.XLOOKUP(E930,[1]EMPREENDIMENTO!C:C,[1]EMPREENDIMENTO!E:E),"0")</f>
        <v>320</v>
      </c>
      <c r="J930" s="30"/>
      <c r="K930" s="28" t="s">
        <v>786</v>
      </c>
      <c r="L930" s="31">
        <v>46178</v>
      </c>
      <c r="M930" s="32">
        <v>93420000</v>
      </c>
      <c r="N930" s="32">
        <v>99392933</v>
      </c>
      <c r="O930" s="32">
        <v>97505000</v>
      </c>
      <c r="P930" s="28" t="s">
        <v>34</v>
      </c>
      <c r="Q930" s="28" t="s">
        <v>1725</v>
      </c>
      <c r="R930" s="30">
        <v>46181</v>
      </c>
      <c r="S930" s="30">
        <v>46178</v>
      </c>
      <c r="T930" s="33"/>
      <c r="U930" s="34" t="str">
        <f>IFERROR(_xlfn.XLOOKUP(E930,[1]EMPREENDIMENTO!C:C,[1]EMPREENDIMENTO!D:D),"")</f>
        <v>3E008CDB-6A62-EB11-AA45-005056856875</v>
      </c>
    </row>
    <row r="931" spans="1:21" hidden="1" x14ac:dyDescent="0.35">
      <c r="A931" s="28" t="str">
        <f>IFERROR(_xlfn.XLOOKUP(C931,[1]DIRETORIA!C:C,[1]DIRETORIA!A:A),"-")</f>
        <v>DIR. COM E CRED SUL</v>
      </c>
      <c r="B931" s="28" t="str">
        <f>IFERROR(_xlfn.XLOOKUP(C931,[1]DIRETORIA!C:C,[1]DIRETORIA!B:B),"-")</f>
        <v>GST. COM RS SUL</v>
      </c>
      <c r="C931" s="28" t="str">
        <f>IFERROR(_xlfn.XLOOKUP(E931,[1]EMPREENDIMENTO!C:C,[1]EMPREENDIMENTO!A:A),"-")</f>
        <v>PORTO ALEGRE</v>
      </c>
      <c r="D931" s="28" t="s">
        <v>29</v>
      </c>
      <c r="E931" s="28" t="s">
        <v>1727</v>
      </c>
      <c r="F931" s="28" t="s">
        <v>31</v>
      </c>
      <c r="G931" s="28" t="s">
        <v>1728</v>
      </c>
      <c r="H931" s="28">
        <v>32681</v>
      </c>
      <c r="I931" s="29">
        <f>IFERROR(_xlfn.XLOOKUP(E931,[1]EMPREENDIMENTO!C:C,[1]EMPREENDIMENTO!E:E),"0")</f>
        <v>300</v>
      </c>
      <c r="J931" s="30"/>
      <c r="K931" s="28" t="s">
        <v>164</v>
      </c>
      <c r="L931" s="31">
        <v>46139</v>
      </c>
      <c r="M931" s="32">
        <v>76692000</v>
      </c>
      <c r="N931" s="32">
        <v>80526600</v>
      </c>
      <c r="O931" s="32">
        <v>78510000</v>
      </c>
      <c r="P931" s="28" t="s">
        <v>34</v>
      </c>
      <c r="Q931" s="28" t="s">
        <v>1729</v>
      </c>
      <c r="R931" s="30">
        <v>46149</v>
      </c>
      <c r="S931" s="30">
        <v>46139</v>
      </c>
      <c r="T931" s="33"/>
      <c r="U931" s="34" t="str">
        <f>IFERROR(_xlfn.XLOOKUP(E931,[1]EMPREENDIMENTO!C:C,[1]EMPREENDIMENTO!D:D),"")</f>
        <v>69f340f2-0bd1-ea11-88c0-0050568aa20f</v>
      </c>
    </row>
    <row r="932" spans="1:21" hidden="1" x14ac:dyDescent="0.35">
      <c r="A932" s="28" t="str">
        <f>IFERROR(_xlfn.XLOOKUP(C932,[1]DIRETORIA!C:C,[1]DIRETORIA!A:A),"-")</f>
        <v>DIR. COM E CRED SUL</v>
      </c>
      <c r="B932" s="28" t="str">
        <f>IFERROR(_xlfn.XLOOKUP(C932,[1]DIRETORIA!C:C,[1]DIRETORIA!B:B),"-")</f>
        <v>GST. COM RS SUL</v>
      </c>
      <c r="C932" s="28" t="str">
        <f>IFERROR(_xlfn.XLOOKUP(E932,[1]EMPREENDIMENTO!C:C,[1]EMPREENDIMENTO!A:A),"-")</f>
        <v>PORTO ALEGRE</v>
      </c>
      <c r="D932" s="28" t="s">
        <v>29</v>
      </c>
      <c r="E932" s="28" t="s">
        <v>1727</v>
      </c>
      <c r="F932" s="28" t="s">
        <v>36</v>
      </c>
      <c r="G932" s="28" t="s">
        <v>1730</v>
      </c>
      <c r="H932" s="28">
        <v>58780</v>
      </c>
      <c r="I932" s="29">
        <f>IFERROR(_xlfn.XLOOKUP(E932,[1]EMPREENDIMENTO!C:C,[1]EMPREENDIMENTO!E:E),"0")</f>
        <v>300</v>
      </c>
      <c r="J932" s="30"/>
      <c r="K932" s="28" t="s">
        <v>164</v>
      </c>
      <c r="L932" s="31">
        <v>46139</v>
      </c>
      <c r="M932" s="32">
        <v>76692000</v>
      </c>
      <c r="N932" s="32">
        <v>80526600</v>
      </c>
      <c r="O932" s="32">
        <v>78510000</v>
      </c>
      <c r="P932" s="28" t="s">
        <v>34</v>
      </c>
      <c r="Q932" s="28" t="s">
        <v>1729</v>
      </c>
      <c r="R932" s="30">
        <v>46149</v>
      </c>
      <c r="S932" s="30">
        <v>46139</v>
      </c>
      <c r="T932" s="33"/>
      <c r="U932" s="34" t="str">
        <f>IFERROR(_xlfn.XLOOKUP(E932,[1]EMPREENDIMENTO!C:C,[1]EMPREENDIMENTO!D:D),"")</f>
        <v>69f340f2-0bd1-ea11-88c0-0050568aa20f</v>
      </c>
    </row>
    <row r="933" spans="1:21" hidden="1" x14ac:dyDescent="0.35">
      <c r="A933" s="28" t="str">
        <f>IFERROR(_xlfn.XLOOKUP(C933,[1]DIRETORIA!C:C,[1]DIRETORIA!A:A),"-")</f>
        <v>DIR. COM E CRED SUL</v>
      </c>
      <c r="B933" s="28" t="str">
        <f>IFERROR(_xlfn.XLOOKUP(C933,[1]DIRETORIA!C:C,[1]DIRETORIA!B:B),"-")</f>
        <v>GST. COM RS SUL</v>
      </c>
      <c r="C933" s="28" t="str">
        <f>IFERROR(_xlfn.XLOOKUP(E933,[1]EMPREENDIMENTO!C:C,[1]EMPREENDIMENTO!A:A),"-")</f>
        <v>PORTO ALEGRE</v>
      </c>
      <c r="D933" s="28" t="s">
        <v>85</v>
      </c>
      <c r="E933" s="28" t="s">
        <v>1727</v>
      </c>
      <c r="F933" s="28" t="s">
        <v>39</v>
      </c>
      <c r="G933" s="28" t="s">
        <v>1731</v>
      </c>
      <c r="H933" s="28">
        <v>58782</v>
      </c>
      <c r="I933" s="29">
        <f>IFERROR(_xlfn.XLOOKUP(E933,[1]EMPREENDIMENTO!C:C,[1]EMPREENDIMENTO!E:E),"0")</f>
        <v>300</v>
      </c>
      <c r="J933" s="30"/>
      <c r="K933" s="28" t="s">
        <v>164</v>
      </c>
      <c r="L933" s="31">
        <v>46139</v>
      </c>
      <c r="M933" s="32">
        <v>76692000</v>
      </c>
      <c r="N933" s="32">
        <v>80526600</v>
      </c>
      <c r="O933" s="32">
        <v>78510000</v>
      </c>
      <c r="P933" s="28" t="s">
        <v>34</v>
      </c>
      <c r="Q933" s="28" t="s">
        <v>1729</v>
      </c>
      <c r="R933" s="30">
        <v>46149</v>
      </c>
      <c r="S933" s="30">
        <v>46139</v>
      </c>
      <c r="T933" s="33"/>
      <c r="U933" s="34" t="str">
        <f>IFERROR(_xlfn.XLOOKUP(E933,[1]EMPREENDIMENTO!C:C,[1]EMPREENDIMENTO!D:D),"")</f>
        <v>69f340f2-0bd1-ea11-88c0-0050568aa20f</v>
      </c>
    </row>
    <row r="934" spans="1:21" hidden="1" x14ac:dyDescent="0.35">
      <c r="A934" s="28" t="str">
        <f>IFERROR(_xlfn.XLOOKUP(C934,[1]DIRETORIA!C:C,[1]DIRETORIA!A:A),"-")</f>
        <v>DIR. COM E CRED SP E VL</v>
      </c>
      <c r="B934" s="28" t="str">
        <f>IFERROR(_xlfn.XLOOKUP(C934,[1]DIRETORIA!C:C,[1]DIRETORIA!B:B),"-")</f>
        <v>GST. COM VL1</v>
      </c>
      <c r="C934" s="28" t="str">
        <f>IFERROR(_xlfn.XLOOKUP(E934,[1]EMPREENDIMENTO!C:C,[1]EMPREENDIMENTO!A:A),"-")</f>
        <v>SÃO JOSÉ DOS CAMPOS</v>
      </c>
      <c r="D934" s="28" t="s">
        <v>85</v>
      </c>
      <c r="E934" s="28" t="s">
        <v>1732</v>
      </c>
      <c r="F934" s="28" t="s">
        <v>42</v>
      </c>
      <c r="G934" s="28" t="s">
        <v>1733</v>
      </c>
      <c r="H934" s="28">
        <v>52102</v>
      </c>
      <c r="I934" s="29">
        <f>IFERROR(_xlfn.XLOOKUP(E934,[1]EMPREENDIMENTO!C:C,[1]EMPREENDIMENTO!E:E),"0")</f>
        <v>299</v>
      </c>
      <c r="J934" s="30"/>
      <c r="K934" s="28" t="s">
        <v>33</v>
      </c>
      <c r="L934" s="31">
        <v>46246</v>
      </c>
      <c r="M934" s="32">
        <v>85448000</v>
      </c>
      <c r="N934" s="32">
        <v>90698913</v>
      </c>
      <c r="O934" s="32">
        <v>87996468</v>
      </c>
      <c r="P934" s="28" t="s">
        <v>6</v>
      </c>
      <c r="Q934" s="28" t="s">
        <v>1734</v>
      </c>
      <c r="R934" s="30"/>
      <c r="S934" s="30">
        <v>46246</v>
      </c>
      <c r="T934" s="33" t="s">
        <v>1734</v>
      </c>
      <c r="U934" s="34" t="str">
        <f>IFERROR(_xlfn.XLOOKUP(E934,[1]EMPREENDIMENTO!C:C,[1]EMPREENDIMENTO!D:D),"")</f>
        <v>1B171C23-05C4-ED11-98D9-009C02B0CB58</v>
      </c>
    </row>
    <row r="935" spans="1:21" hidden="1" x14ac:dyDescent="0.35">
      <c r="A935" s="28" t="str">
        <f>IFERROR(_xlfn.XLOOKUP(C935,[1]DIRETORIA!C:C,[1]DIRETORIA!A:A),"-")</f>
        <v>DIR. COM E CRED SUL</v>
      </c>
      <c r="B935" s="28" t="str">
        <f>IFERROR(_xlfn.XLOOKUP(C935,[1]DIRETORIA!C:C,[1]DIRETORIA!B:B),"-")</f>
        <v>GST. COM SC</v>
      </c>
      <c r="C935" s="28" t="str">
        <f>IFERROR(_xlfn.XLOOKUP(E935,[1]EMPREENDIMENTO!C:C,[1]EMPREENDIMENTO!A:A),"-")</f>
        <v>BLUMENAU</v>
      </c>
      <c r="D935" s="28" t="s">
        <v>29</v>
      </c>
      <c r="E935" s="28" t="s">
        <v>1735</v>
      </c>
      <c r="F935" s="28" t="s">
        <v>31</v>
      </c>
      <c r="G935" s="28" t="s">
        <v>1736</v>
      </c>
      <c r="H935" s="28">
        <v>39908</v>
      </c>
      <c r="I935" s="29">
        <f>IFERROR(_xlfn.XLOOKUP(E935,[1]EMPREENDIMENTO!C:C,[1]EMPREENDIMENTO!E:E),"0")</f>
        <v>656</v>
      </c>
      <c r="J935" s="30"/>
      <c r="K935" s="28" t="s">
        <v>33</v>
      </c>
      <c r="L935" s="31">
        <v>46111</v>
      </c>
      <c r="M935" s="32">
        <v>150912000</v>
      </c>
      <c r="N935" s="32">
        <v>164226000</v>
      </c>
      <c r="O935" s="32">
        <v>156987100</v>
      </c>
      <c r="P935" s="28" t="s">
        <v>2</v>
      </c>
      <c r="Q935" s="28" t="s">
        <v>1737</v>
      </c>
      <c r="R935" s="30">
        <v>46276</v>
      </c>
      <c r="S935" s="30"/>
      <c r="T935" s="33"/>
      <c r="U935" s="34" t="str">
        <f>IFERROR(_xlfn.XLOOKUP(E935,[1]EMPREENDIMENTO!C:C,[1]EMPREENDIMENTO!D:D),"")</f>
        <v>DD4F953C-FFE8-EC11-B1AD-005056856875</v>
      </c>
    </row>
    <row r="936" spans="1:21" hidden="1" x14ac:dyDescent="0.35">
      <c r="A936" s="28" t="str">
        <f>IFERROR(_xlfn.XLOOKUP(C936,[1]DIRETORIA!C:C,[1]DIRETORIA!A:A),"-")</f>
        <v>DIR. COM E CRED SUL</v>
      </c>
      <c r="B936" s="28" t="str">
        <f>IFERROR(_xlfn.XLOOKUP(C936,[1]DIRETORIA!C:C,[1]DIRETORIA!B:B),"-")</f>
        <v>GST. COM SC</v>
      </c>
      <c r="C936" s="28" t="str">
        <f>IFERROR(_xlfn.XLOOKUP(E936,[1]EMPREENDIMENTO!C:C,[1]EMPREENDIMENTO!A:A),"-")</f>
        <v>BLUMENAU</v>
      </c>
      <c r="D936" s="28" t="s">
        <v>85</v>
      </c>
      <c r="E936" s="28" t="s">
        <v>1735</v>
      </c>
      <c r="F936" s="28" t="s">
        <v>36</v>
      </c>
      <c r="G936" s="28" t="s">
        <v>1738</v>
      </c>
      <c r="H936" s="28">
        <v>66285</v>
      </c>
      <c r="I936" s="29">
        <f>IFERROR(_xlfn.XLOOKUP(E936,[1]EMPREENDIMENTO!C:C,[1]EMPREENDIMENTO!E:E),"0")</f>
        <v>656</v>
      </c>
      <c r="J936" s="30"/>
      <c r="K936" s="28" t="s">
        <v>33</v>
      </c>
      <c r="L936" s="31">
        <v>46111</v>
      </c>
      <c r="M936" s="32">
        <v>150912000</v>
      </c>
      <c r="N936" s="32">
        <v>164226000</v>
      </c>
      <c r="O936" s="32">
        <v>156987100</v>
      </c>
      <c r="P936" s="28" t="s">
        <v>2</v>
      </c>
      <c r="Q936" s="28" t="s">
        <v>1737</v>
      </c>
      <c r="R936" s="30">
        <v>46276</v>
      </c>
      <c r="S936" s="30"/>
      <c r="T936" s="33"/>
      <c r="U936" s="34" t="str">
        <f>IFERROR(_xlfn.XLOOKUP(E936,[1]EMPREENDIMENTO!C:C,[1]EMPREENDIMENTO!D:D),"")</f>
        <v>DD4F953C-FFE8-EC11-B1AD-005056856875</v>
      </c>
    </row>
    <row r="937" spans="1:21" hidden="1" x14ac:dyDescent="0.35">
      <c r="A937" s="28" t="str">
        <f>IFERROR(_xlfn.XLOOKUP(C937,[1]DIRETORIA!C:C,[1]DIRETORIA!A:A),"-")</f>
        <v>DIR. COM E CRED SUL</v>
      </c>
      <c r="B937" s="28" t="str">
        <f>IFERROR(_xlfn.XLOOKUP(C937,[1]DIRETORIA!C:C,[1]DIRETORIA!B:B),"-")</f>
        <v>GST. COM SC</v>
      </c>
      <c r="C937" s="28" t="str">
        <f>IFERROR(_xlfn.XLOOKUP(E937,[1]EMPREENDIMENTO!C:C,[1]EMPREENDIMENTO!A:A),"-")</f>
        <v>BLUMENAU</v>
      </c>
      <c r="D937" s="28" t="s">
        <v>85</v>
      </c>
      <c r="E937" s="28" t="s">
        <v>1735</v>
      </c>
      <c r="F937" s="28" t="s">
        <v>39</v>
      </c>
      <c r="G937" s="28" t="s">
        <v>268</v>
      </c>
      <c r="H937" s="28">
        <v>66342</v>
      </c>
      <c r="I937" s="29">
        <f>IFERROR(_xlfn.XLOOKUP(E937,[1]EMPREENDIMENTO!C:C,[1]EMPREENDIMENTO!E:E),"0")</f>
        <v>656</v>
      </c>
      <c r="J937" s="30"/>
      <c r="K937" s="28" t="s">
        <v>33</v>
      </c>
      <c r="L937" s="31">
        <v>46111</v>
      </c>
      <c r="M937" s="32">
        <v>150912000</v>
      </c>
      <c r="N937" s="32">
        <v>164226000</v>
      </c>
      <c r="O937" s="32">
        <v>156987100</v>
      </c>
      <c r="P937" s="28" t="s">
        <v>2</v>
      </c>
      <c r="Q937" s="28" t="s">
        <v>1737</v>
      </c>
      <c r="R937" s="30">
        <v>46276</v>
      </c>
      <c r="S937" s="30"/>
      <c r="T937" s="33"/>
      <c r="U937" s="34" t="str">
        <f>IFERROR(_xlfn.XLOOKUP(E937,[1]EMPREENDIMENTO!C:C,[1]EMPREENDIMENTO!D:D),"")</f>
        <v>DD4F953C-FFE8-EC11-B1AD-005056856875</v>
      </c>
    </row>
    <row r="938" spans="1:21" hidden="1" x14ac:dyDescent="0.35">
      <c r="A938" s="28" t="str">
        <f>IFERROR(_xlfn.XLOOKUP(C938,[1]DIRETORIA!C:C,[1]DIRETORIA!A:A),"-")</f>
        <v>DIR. COM E CRED SUL</v>
      </c>
      <c r="B938" s="28" t="str">
        <f>IFERROR(_xlfn.XLOOKUP(C938,[1]DIRETORIA!C:C,[1]DIRETORIA!B:B),"-")</f>
        <v>GST. COM SC</v>
      </c>
      <c r="C938" s="28" t="str">
        <f>IFERROR(_xlfn.XLOOKUP(E938,[1]EMPREENDIMENTO!C:C,[1]EMPREENDIMENTO!A:A),"-")</f>
        <v>BLUMENAU</v>
      </c>
      <c r="D938" s="28" t="s">
        <v>85</v>
      </c>
      <c r="E938" s="28" t="s">
        <v>1735</v>
      </c>
      <c r="F938" s="28" t="s">
        <v>50</v>
      </c>
      <c r="G938" s="28" t="s">
        <v>268</v>
      </c>
      <c r="H938" s="28">
        <v>66343</v>
      </c>
      <c r="I938" s="29">
        <f>IFERROR(_xlfn.XLOOKUP(E938,[1]EMPREENDIMENTO!C:C,[1]EMPREENDIMENTO!E:E),"0")</f>
        <v>656</v>
      </c>
      <c r="J938" s="30"/>
      <c r="K938" s="28" t="s">
        <v>33</v>
      </c>
      <c r="L938" s="31">
        <v>46111</v>
      </c>
      <c r="M938" s="32">
        <v>150912000</v>
      </c>
      <c r="N938" s="32">
        <v>164226000</v>
      </c>
      <c r="O938" s="32">
        <v>156987100</v>
      </c>
      <c r="P938" s="28" t="s">
        <v>2</v>
      </c>
      <c r="Q938" s="28" t="s">
        <v>1737</v>
      </c>
      <c r="R938" s="30">
        <v>46276</v>
      </c>
      <c r="S938" s="30"/>
      <c r="T938" s="33"/>
      <c r="U938" s="34" t="str">
        <f>IFERROR(_xlfn.XLOOKUP(E938,[1]EMPREENDIMENTO!C:C,[1]EMPREENDIMENTO!D:D),"")</f>
        <v>DD4F953C-FFE8-EC11-B1AD-005056856875</v>
      </c>
    </row>
    <row r="939" spans="1:21" hidden="1" x14ac:dyDescent="0.35">
      <c r="A939" s="28" t="str">
        <f>IFERROR(_xlfn.XLOOKUP(C939,[1]DIRETORIA!C:C,[1]DIRETORIA!A:A),"-")</f>
        <v>DIR. COM E CRED NE</v>
      </c>
      <c r="B939" s="28" t="str">
        <f>IFERROR(_xlfn.XLOOKUP(C939,[1]DIRETORIA!C:C,[1]DIRETORIA!B:B),"-")</f>
        <v>GST. COM NE1 (BA 1)</v>
      </c>
      <c r="C939" s="28" t="str">
        <f>IFERROR(_xlfn.XLOOKUP(E939,[1]EMPREENDIMENTO!C:C,[1]EMPREENDIMENTO!A:A),"-")</f>
        <v>SALVADOR</v>
      </c>
      <c r="D939" s="28" t="s">
        <v>29</v>
      </c>
      <c r="E939" s="28" t="s">
        <v>1739</v>
      </c>
      <c r="F939" s="28" t="s">
        <v>31</v>
      </c>
      <c r="G939" s="28" t="s">
        <v>1740</v>
      </c>
      <c r="H939" s="28">
        <v>34355</v>
      </c>
      <c r="I939" s="29">
        <f>IFERROR(_xlfn.XLOOKUP(E939,[1]EMPREENDIMENTO!C:C,[1]EMPREENDIMENTO!E:E),"0")</f>
        <v>528</v>
      </c>
      <c r="J939" s="30"/>
      <c r="K939" s="28" t="s">
        <v>164</v>
      </c>
      <c r="L939" s="31">
        <v>46149</v>
      </c>
      <c r="M939" s="32">
        <v>177145600</v>
      </c>
      <c r="N939" s="32"/>
      <c r="O939" s="32"/>
      <c r="P939" s="28" t="s">
        <v>2</v>
      </c>
      <c r="Q939" s="28" t="s">
        <v>1741</v>
      </c>
      <c r="R939" s="30">
        <v>46286</v>
      </c>
      <c r="S939" s="30"/>
      <c r="T939" s="33"/>
      <c r="U939" s="34" t="str">
        <f>IFERROR(_xlfn.XLOOKUP(E939,[1]EMPREENDIMENTO!C:C,[1]EMPREENDIMENTO!D:D),"")</f>
        <v>bb786ca7-4f7e-e911-aaf3-009c02b0cb58</v>
      </c>
    </row>
    <row r="940" spans="1:21" hidden="1" x14ac:dyDescent="0.35">
      <c r="A940" s="28" t="str">
        <f>IFERROR(_xlfn.XLOOKUP(C940,[1]DIRETORIA!C:C,[1]DIRETORIA!A:A),"-")</f>
        <v>DIR. COM E CRED NE</v>
      </c>
      <c r="B940" s="28" t="str">
        <f>IFERROR(_xlfn.XLOOKUP(C940,[1]DIRETORIA!C:C,[1]DIRETORIA!B:B),"-")</f>
        <v>GST. COM NE1 (BA 1)</v>
      </c>
      <c r="C940" s="28" t="str">
        <f>IFERROR(_xlfn.XLOOKUP(E940,[1]EMPREENDIMENTO!C:C,[1]EMPREENDIMENTO!A:A),"-")</f>
        <v>SALVADOR</v>
      </c>
      <c r="D940" s="28" t="s">
        <v>29</v>
      </c>
      <c r="E940" s="28" t="s">
        <v>1739</v>
      </c>
      <c r="F940" s="28" t="s">
        <v>36</v>
      </c>
      <c r="G940" s="28" t="s">
        <v>1742</v>
      </c>
      <c r="H940" s="28">
        <v>55825</v>
      </c>
      <c r="I940" s="29">
        <f>IFERROR(_xlfn.XLOOKUP(E940,[1]EMPREENDIMENTO!C:C,[1]EMPREENDIMENTO!E:E),"0")</f>
        <v>528</v>
      </c>
      <c r="J940" s="30"/>
      <c r="K940" s="28" t="s">
        <v>164</v>
      </c>
      <c r="L940" s="31">
        <v>46149</v>
      </c>
      <c r="M940" s="32">
        <v>177145600</v>
      </c>
      <c r="N940" s="32"/>
      <c r="O940" s="32"/>
      <c r="P940" s="28" t="s">
        <v>2</v>
      </c>
      <c r="Q940" s="28" t="s">
        <v>1741</v>
      </c>
      <c r="R940" s="30">
        <v>46286</v>
      </c>
      <c r="S940" s="30"/>
      <c r="T940" s="33"/>
      <c r="U940" s="34" t="str">
        <f>IFERROR(_xlfn.XLOOKUP(E940,[1]EMPREENDIMENTO!C:C,[1]EMPREENDIMENTO!D:D),"")</f>
        <v>bb786ca7-4f7e-e911-aaf3-009c02b0cb58</v>
      </c>
    </row>
    <row r="941" spans="1:21" hidden="1" x14ac:dyDescent="0.35">
      <c r="A941" s="28" t="str">
        <f>IFERROR(_xlfn.XLOOKUP(C941,[1]DIRETORIA!C:C,[1]DIRETORIA!A:A),"-")</f>
        <v>DIR. COM E CRED NE</v>
      </c>
      <c r="B941" s="28" t="str">
        <f>IFERROR(_xlfn.XLOOKUP(C941,[1]DIRETORIA!C:C,[1]DIRETORIA!B:B),"-")</f>
        <v>GST. COM NE1 (BA 1)</v>
      </c>
      <c r="C941" s="28" t="str">
        <f>IFERROR(_xlfn.XLOOKUP(E941,[1]EMPREENDIMENTO!C:C,[1]EMPREENDIMENTO!A:A),"-")</f>
        <v>SALVADOR</v>
      </c>
      <c r="D941" s="28" t="s">
        <v>29</v>
      </c>
      <c r="E941" s="28" t="s">
        <v>1739</v>
      </c>
      <c r="F941" s="28" t="s">
        <v>36</v>
      </c>
      <c r="G941" s="28" t="s">
        <v>1743</v>
      </c>
      <c r="H941" s="28">
        <v>61332</v>
      </c>
      <c r="I941" s="29">
        <f>IFERROR(_xlfn.XLOOKUP(E941,[1]EMPREENDIMENTO!C:C,[1]EMPREENDIMENTO!E:E),"0")</f>
        <v>528</v>
      </c>
      <c r="J941" s="30"/>
      <c r="K941" s="28" t="s">
        <v>164</v>
      </c>
      <c r="L941" s="31">
        <v>46149</v>
      </c>
      <c r="M941" s="32">
        <v>177145600</v>
      </c>
      <c r="N941" s="32"/>
      <c r="O941" s="32"/>
      <c r="P941" s="28" t="s">
        <v>2</v>
      </c>
      <c r="Q941" s="28" t="s">
        <v>1741</v>
      </c>
      <c r="R941" s="30">
        <v>46286</v>
      </c>
      <c r="S941" s="30"/>
      <c r="T941" s="33"/>
      <c r="U941" s="34" t="str">
        <f>IFERROR(_xlfn.XLOOKUP(E941,[1]EMPREENDIMENTO!C:C,[1]EMPREENDIMENTO!D:D),"")</f>
        <v>bb786ca7-4f7e-e911-aaf3-009c02b0cb58</v>
      </c>
    </row>
    <row r="942" spans="1:21" hidden="1" x14ac:dyDescent="0.35">
      <c r="A942" s="28" t="str">
        <f>IFERROR(_xlfn.XLOOKUP(C942,[1]DIRETORIA!C:C,[1]DIRETORIA!A:A),"-")</f>
        <v>DIR. COM E CRED CO E AM</v>
      </c>
      <c r="B942" s="28" t="str">
        <f>IFERROR(_xlfn.XLOOKUP(C942,[1]DIRETORIA!C:C,[1]DIRETORIA!B:B),"-")</f>
        <v>GST. COM TO</v>
      </c>
      <c r="C942" s="28" t="str">
        <f>IFERROR(_xlfn.XLOOKUP(E942,[1]EMPREENDIMENTO!C:C,[1]EMPREENDIMENTO!A:A),"-")</f>
        <v>PALMAS</v>
      </c>
      <c r="D942" s="28" t="s">
        <v>29</v>
      </c>
      <c r="E942" s="28" t="s">
        <v>1744</v>
      </c>
      <c r="F942" s="28" t="s">
        <v>31</v>
      </c>
      <c r="G942" s="28" t="s">
        <v>1745</v>
      </c>
      <c r="H942" s="28">
        <v>53046</v>
      </c>
      <c r="I942" s="29">
        <f>IFERROR(_xlfn.XLOOKUP(E942,[1]EMPREENDIMENTO!C:C,[1]EMPREENDIMENTO!E:E),"0")</f>
        <v>320</v>
      </c>
      <c r="J942" s="30"/>
      <c r="K942" s="28" t="s">
        <v>33</v>
      </c>
      <c r="L942" s="31">
        <v>46175</v>
      </c>
      <c r="M942" s="32">
        <v>78528600</v>
      </c>
      <c r="N942" s="32">
        <v>88536839</v>
      </c>
      <c r="O942" s="32">
        <v>84760900</v>
      </c>
      <c r="P942" s="28" t="s">
        <v>34</v>
      </c>
      <c r="Q942" s="28">
        <v>833760</v>
      </c>
      <c r="R942" s="30">
        <v>46192</v>
      </c>
      <c r="S942" s="30">
        <v>46175</v>
      </c>
      <c r="T942" s="33" t="s">
        <v>1746</v>
      </c>
      <c r="U942" s="34" t="str">
        <f>IFERROR(_xlfn.XLOOKUP(E942,[1]EMPREENDIMENTO!C:C,[1]EMPREENDIMENTO!D:D),"")</f>
        <v>1885EEC3-905E-EC11-B501-005056856B6C</v>
      </c>
    </row>
    <row r="943" spans="1:21" hidden="1" x14ac:dyDescent="0.35">
      <c r="A943" s="28" t="str">
        <f>IFERROR(_xlfn.XLOOKUP(C943,[1]DIRETORIA!C:C,[1]DIRETORIA!A:A),"-")</f>
        <v>DIR. COM E CRED CO E AM</v>
      </c>
      <c r="B943" s="28" t="str">
        <f>IFERROR(_xlfn.XLOOKUP(C943,[1]DIRETORIA!C:C,[1]DIRETORIA!B:B),"-")</f>
        <v>GST. COM TO</v>
      </c>
      <c r="C943" s="28" t="str">
        <f>IFERROR(_xlfn.XLOOKUP(E943,[1]EMPREENDIMENTO!C:C,[1]EMPREENDIMENTO!A:A),"-")</f>
        <v>PALMAS</v>
      </c>
      <c r="D943" s="28" t="s">
        <v>29</v>
      </c>
      <c r="E943" s="28" t="s">
        <v>1744</v>
      </c>
      <c r="F943" s="28" t="s">
        <v>36</v>
      </c>
      <c r="G943" s="28" t="s">
        <v>1747</v>
      </c>
      <c r="H943" s="28">
        <v>67586</v>
      </c>
      <c r="I943" s="29">
        <f>IFERROR(_xlfn.XLOOKUP(E943,[1]EMPREENDIMENTO!C:C,[1]EMPREENDIMENTO!E:E),"0")</f>
        <v>320</v>
      </c>
      <c r="J943" s="30"/>
      <c r="K943" s="28" t="s">
        <v>33</v>
      </c>
      <c r="L943" s="31">
        <v>46175</v>
      </c>
      <c r="M943" s="32">
        <v>78528600</v>
      </c>
      <c r="N943" s="32">
        <v>88536839</v>
      </c>
      <c r="O943" s="32">
        <v>84760900</v>
      </c>
      <c r="P943" s="28" t="s">
        <v>34</v>
      </c>
      <c r="Q943" s="28">
        <v>833760</v>
      </c>
      <c r="R943" s="30">
        <v>46192</v>
      </c>
      <c r="S943" s="30">
        <v>46175</v>
      </c>
      <c r="T943" s="33" t="s">
        <v>1746</v>
      </c>
      <c r="U943" s="34" t="str">
        <f>IFERROR(_xlfn.XLOOKUP(E943,[1]EMPREENDIMENTO!C:C,[1]EMPREENDIMENTO!D:D),"")</f>
        <v>1885EEC3-905E-EC11-B501-005056856B6C</v>
      </c>
    </row>
    <row r="944" spans="1:21" hidden="1" x14ac:dyDescent="0.35">
      <c r="A944" s="28" t="str">
        <f>IFERROR(_xlfn.XLOOKUP(C944,[1]DIRETORIA!C:C,[1]DIRETORIA!A:A),"-")</f>
        <v>DIR. COM E CRED CO E AM</v>
      </c>
      <c r="B944" s="28" t="str">
        <f>IFERROR(_xlfn.XLOOKUP(C944,[1]DIRETORIA!C:C,[1]DIRETORIA!B:B),"-")</f>
        <v>GST. COM TO</v>
      </c>
      <c r="C944" s="28" t="str">
        <f>IFERROR(_xlfn.XLOOKUP(E944,[1]EMPREENDIMENTO!C:C,[1]EMPREENDIMENTO!A:A),"-")</f>
        <v>PALMAS</v>
      </c>
      <c r="D944" s="28" t="s">
        <v>85</v>
      </c>
      <c r="E944" s="28" t="s">
        <v>1744</v>
      </c>
      <c r="F944" s="28" t="s">
        <v>39</v>
      </c>
      <c r="G944" s="28" t="s">
        <v>268</v>
      </c>
      <c r="H944" s="28" t="s">
        <v>268</v>
      </c>
      <c r="I944" s="29">
        <f>IFERROR(_xlfn.XLOOKUP(E944,[1]EMPREENDIMENTO!C:C,[1]EMPREENDIMENTO!E:E),"0")</f>
        <v>320</v>
      </c>
      <c r="J944" s="30"/>
      <c r="K944" s="28" t="s">
        <v>33</v>
      </c>
      <c r="L944" s="31">
        <v>46175</v>
      </c>
      <c r="M944" s="32">
        <v>78528600</v>
      </c>
      <c r="N944" s="32">
        <v>88536839</v>
      </c>
      <c r="O944" s="32">
        <v>84760900</v>
      </c>
      <c r="P944" s="28" t="s">
        <v>34</v>
      </c>
      <c r="Q944" s="28">
        <v>833760</v>
      </c>
      <c r="R944" s="30">
        <v>46192</v>
      </c>
      <c r="S944" s="30">
        <v>46175</v>
      </c>
      <c r="T944" s="33" t="s">
        <v>1746</v>
      </c>
      <c r="U944" s="34" t="str">
        <f>IFERROR(_xlfn.XLOOKUP(E944,[1]EMPREENDIMENTO!C:C,[1]EMPREENDIMENTO!D:D),"")</f>
        <v>1885EEC3-905E-EC11-B501-005056856B6C</v>
      </c>
    </row>
    <row r="945" spans="1:21" hidden="1" x14ac:dyDescent="0.35">
      <c r="A945" s="28" t="str">
        <f>IFERROR(_xlfn.XLOOKUP(C945,[1]DIRETORIA!C:C,[1]DIRETORIA!A:A),"-")</f>
        <v>DIR. COM E CRED NE</v>
      </c>
      <c r="B945" s="28" t="str">
        <f>IFERROR(_xlfn.XLOOKUP(C945,[1]DIRETORIA!C:C,[1]DIRETORIA!B:B),"-")</f>
        <v>GST. COM NE 3 (SE+AL)</v>
      </c>
      <c r="C945" s="28" t="str">
        <f>IFERROR(_xlfn.XLOOKUP(E945,[1]EMPREENDIMENTO!C:C,[1]EMPREENDIMENTO!A:A),"-")</f>
        <v>MACEIÓ</v>
      </c>
      <c r="D945" s="28" t="s">
        <v>85</v>
      </c>
      <c r="E945" s="28" t="s">
        <v>1748</v>
      </c>
      <c r="F945" s="28" t="s">
        <v>31</v>
      </c>
      <c r="G945" s="28" t="s">
        <v>1749</v>
      </c>
      <c r="H945" s="28">
        <v>51841</v>
      </c>
      <c r="I945" s="29">
        <f>IFERROR(_xlfn.XLOOKUP(E945,[1]EMPREENDIMENTO!C:C,[1]EMPREENDIMENTO!E:E),"0")</f>
        <v>216</v>
      </c>
      <c r="J945" s="30"/>
      <c r="K945" s="28" t="s">
        <v>33</v>
      </c>
      <c r="L945" s="31">
        <v>46066</v>
      </c>
      <c r="M945" s="32">
        <v>89634859</v>
      </c>
      <c r="N945" s="32">
        <v>102433663</v>
      </c>
      <c r="O945" s="32">
        <v>98940390</v>
      </c>
      <c r="P945" s="28" t="s">
        <v>34</v>
      </c>
      <c r="Q945" s="28">
        <v>790505</v>
      </c>
      <c r="R945" s="30"/>
      <c r="S945" s="30">
        <v>46067</v>
      </c>
      <c r="T945" s="33"/>
      <c r="U945" s="34" t="str">
        <f>IFERROR(_xlfn.XLOOKUP(E945,[1]EMPREENDIMENTO!C:C,[1]EMPREENDIMENTO!D:D),"")</f>
        <v>9EC935EF-2913-E411-8EFB-009C02B0CB58</v>
      </c>
    </row>
    <row r="946" spans="1:21" hidden="1" x14ac:dyDescent="0.35">
      <c r="A946" s="28" t="str">
        <f>IFERROR(_xlfn.XLOOKUP(C946,[1]DIRETORIA!C:C,[1]DIRETORIA!A:A),"-")</f>
        <v>DIR. COM E CRED NE</v>
      </c>
      <c r="B946" s="28" t="str">
        <f>IFERROR(_xlfn.XLOOKUP(C946,[1]DIRETORIA!C:C,[1]DIRETORIA!B:B),"-")</f>
        <v>GST. COM NE 3 (SE+AL)</v>
      </c>
      <c r="C946" s="28" t="str">
        <f>IFERROR(_xlfn.XLOOKUP(E946,[1]EMPREENDIMENTO!C:C,[1]EMPREENDIMENTO!A:A),"-")</f>
        <v>MACEIÓ</v>
      </c>
      <c r="D946" s="28" t="s">
        <v>85</v>
      </c>
      <c r="E946" s="28" t="s">
        <v>1748</v>
      </c>
      <c r="F946" s="28" t="s">
        <v>36</v>
      </c>
      <c r="G946" s="28" t="s">
        <v>1750</v>
      </c>
      <c r="H946" s="28">
        <v>53571</v>
      </c>
      <c r="I946" s="29">
        <f>IFERROR(_xlfn.XLOOKUP(E946,[1]EMPREENDIMENTO!C:C,[1]EMPREENDIMENTO!E:E),"0")</f>
        <v>216</v>
      </c>
      <c r="J946" s="30"/>
      <c r="K946" s="28" t="s">
        <v>33</v>
      </c>
      <c r="L946" s="31">
        <v>46066</v>
      </c>
      <c r="M946" s="32">
        <v>89634859</v>
      </c>
      <c r="N946" s="32">
        <v>102433663</v>
      </c>
      <c r="O946" s="32">
        <v>98940390</v>
      </c>
      <c r="P946" s="28" t="s">
        <v>34</v>
      </c>
      <c r="Q946" s="28">
        <v>790505</v>
      </c>
      <c r="R946" s="30"/>
      <c r="S946" s="30">
        <v>46067</v>
      </c>
      <c r="T946" s="33"/>
      <c r="U946" s="34" t="str">
        <f>IFERROR(_xlfn.XLOOKUP(E946,[1]EMPREENDIMENTO!C:C,[1]EMPREENDIMENTO!D:D),"")</f>
        <v>9EC935EF-2913-E411-8EFB-009C02B0CB58</v>
      </c>
    </row>
    <row r="947" spans="1:21" x14ac:dyDescent="0.35">
      <c r="A947" s="28" t="str">
        <f>IFERROR(_xlfn.XLOOKUP(C947,[1]DIRETORIA!C:C,[1]DIRETORIA!A:A),"-")</f>
        <v>DIR. COM E CRED SPI</v>
      </c>
      <c r="B947" s="28" t="str">
        <f>IFERROR(_xlfn.XLOOKUP(C947,[1]DIRETORIA!C:C,[1]DIRETORIA!B:B),"-")</f>
        <v>GST. COM RP 1</v>
      </c>
      <c r="C947" s="28" t="str">
        <f>IFERROR(_xlfn.XLOOKUP(E947,[1]EMPREENDIMENTO!C:C,[1]EMPREENDIMENTO!A:A),"-")</f>
        <v>RIBEIRÃO PRETO</v>
      </c>
      <c r="D947" s="28" t="s">
        <v>29</v>
      </c>
      <c r="E947" s="28" t="s">
        <v>1751</v>
      </c>
      <c r="F947" s="28" t="s">
        <v>42</v>
      </c>
      <c r="G947" s="28" t="s">
        <v>1752</v>
      </c>
      <c r="H947" s="28">
        <v>38838</v>
      </c>
      <c r="I947" s="29">
        <f>IFERROR(_xlfn.XLOOKUP(E947,[1]EMPREENDIMENTO!C:C,[1]EMPREENDIMENTO!E:E),"0")</f>
        <v>152</v>
      </c>
      <c r="J947" s="30"/>
      <c r="K947" s="28" t="s">
        <v>33</v>
      </c>
      <c r="L947" s="31">
        <v>46237</v>
      </c>
      <c r="M947" s="32">
        <v>98353400</v>
      </c>
      <c r="N947" s="32">
        <v>103610323</v>
      </c>
      <c r="O947" s="32">
        <v>103573046</v>
      </c>
      <c r="P947" s="28" t="s">
        <v>34</v>
      </c>
      <c r="Q947" s="28" t="s">
        <v>1753</v>
      </c>
      <c r="R947" s="30">
        <v>46241</v>
      </c>
      <c r="S947" s="30">
        <v>46238</v>
      </c>
      <c r="T947" s="33"/>
      <c r="U947" s="34" t="str">
        <f>IFERROR(_xlfn.XLOOKUP(E947,[1]EMPREENDIMENTO!C:C,[1]EMPREENDIMENTO!D:D),"")</f>
        <v>76ec7013-55f9-eb11-ac3b-005056856b6c</v>
      </c>
    </row>
    <row r="948" spans="1:21" x14ac:dyDescent="0.35">
      <c r="A948" s="28" t="str">
        <f>IFERROR(_xlfn.XLOOKUP(C948,[1]DIRETORIA!C:C,[1]DIRETORIA!A:A),"-")</f>
        <v>DIR. COM E CRED SPI CP</v>
      </c>
      <c r="B948" s="28" t="str">
        <f>IFERROR(_xlfn.XLOOKUP(C948,[1]DIRETORIA!C:C,[1]DIRETORIA!B:B),"-")</f>
        <v>GST. COM CP2</v>
      </c>
      <c r="C948" s="28" t="str">
        <f>IFERROR(_xlfn.XLOOKUP(E948,[1]EMPREENDIMENTO!C:C,[1]EMPREENDIMENTO!A:A),"-")</f>
        <v>SOROCABA</v>
      </c>
      <c r="D948" s="28" t="s">
        <v>29</v>
      </c>
      <c r="E948" s="28" t="s">
        <v>1754</v>
      </c>
      <c r="F948" s="28" t="s">
        <v>31</v>
      </c>
      <c r="G948" s="28" t="s">
        <v>1755</v>
      </c>
      <c r="H948" s="28">
        <v>37617</v>
      </c>
      <c r="I948" s="29">
        <f>IFERROR(_xlfn.XLOOKUP(E948,[1]EMPREENDIMENTO!C:C,[1]EMPREENDIMENTO!E:E),"0")</f>
        <v>336</v>
      </c>
      <c r="J948" s="30"/>
      <c r="K948" s="28" t="s">
        <v>33</v>
      </c>
      <c r="L948" s="31">
        <v>46192</v>
      </c>
      <c r="M948" s="32">
        <v>86947363</v>
      </c>
      <c r="N948" s="32">
        <v>97174000</v>
      </c>
      <c r="O948" s="32">
        <v>91303000</v>
      </c>
      <c r="P948" s="28" t="s">
        <v>34</v>
      </c>
      <c r="Q948" s="28" t="s">
        <v>1756</v>
      </c>
      <c r="R948" s="30">
        <v>46220</v>
      </c>
      <c r="S948" s="30">
        <v>46222</v>
      </c>
      <c r="T948" s="33"/>
      <c r="U948" s="34" t="str">
        <f>IFERROR(_xlfn.XLOOKUP(E948,[1]EMPREENDIMENTO!C:C,[1]EMPREENDIMENTO!D:D),"")</f>
        <v>d4610a97-c2fa-e711-a541-009c02b0cb58</v>
      </c>
    </row>
    <row r="949" spans="1:21" x14ac:dyDescent="0.35">
      <c r="A949" s="28" t="str">
        <f>IFERROR(_xlfn.XLOOKUP(C949,[1]DIRETORIA!C:C,[1]DIRETORIA!A:A),"-")</f>
        <v>DIR. COM E CRED SPI CP</v>
      </c>
      <c r="B949" s="28" t="str">
        <f>IFERROR(_xlfn.XLOOKUP(C949,[1]DIRETORIA!C:C,[1]DIRETORIA!B:B),"-")</f>
        <v>GST. COM CP2</v>
      </c>
      <c r="C949" s="28" t="str">
        <f>IFERROR(_xlfn.XLOOKUP(E949,[1]EMPREENDIMENTO!C:C,[1]EMPREENDIMENTO!A:A),"-")</f>
        <v>SOROCABA</v>
      </c>
      <c r="D949" s="28" t="s">
        <v>29</v>
      </c>
      <c r="E949" s="28" t="s">
        <v>1754</v>
      </c>
      <c r="F949" s="28" t="s">
        <v>36</v>
      </c>
      <c r="G949" s="28" t="s">
        <v>1757</v>
      </c>
      <c r="H949" s="28">
        <v>61689</v>
      </c>
      <c r="I949" s="29">
        <f>IFERROR(_xlfn.XLOOKUP(E949,[1]EMPREENDIMENTO!C:C,[1]EMPREENDIMENTO!E:E),"0")</f>
        <v>336</v>
      </c>
      <c r="J949" s="30"/>
      <c r="K949" s="28" t="s">
        <v>33</v>
      </c>
      <c r="L949" s="31">
        <v>46192</v>
      </c>
      <c r="M949" s="32">
        <v>86947363</v>
      </c>
      <c r="N949" s="32">
        <v>97174000</v>
      </c>
      <c r="O949" s="32">
        <v>91303000</v>
      </c>
      <c r="P949" s="28" t="s">
        <v>34</v>
      </c>
      <c r="Q949" s="28" t="s">
        <v>1756</v>
      </c>
      <c r="R949" s="30">
        <v>46220</v>
      </c>
      <c r="S949" s="30">
        <v>46222</v>
      </c>
      <c r="T949" s="33"/>
      <c r="U949" s="34" t="str">
        <f>IFERROR(_xlfn.XLOOKUP(E949,[1]EMPREENDIMENTO!C:C,[1]EMPREENDIMENTO!D:D),"")</f>
        <v>d4610a97-c2fa-e711-a541-009c02b0cb58</v>
      </c>
    </row>
    <row r="950" spans="1:21" x14ac:dyDescent="0.35">
      <c r="A950" s="28" t="str">
        <f>IFERROR(_xlfn.XLOOKUP(C950,[1]DIRETORIA!C:C,[1]DIRETORIA!A:A),"-")</f>
        <v>DIR. COM E CRED SPI CP</v>
      </c>
      <c r="B950" s="28" t="str">
        <f>IFERROR(_xlfn.XLOOKUP(C950,[1]DIRETORIA!C:C,[1]DIRETORIA!B:B),"-")</f>
        <v>GST. COM CP2</v>
      </c>
      <c r="C950" s="28" t="str">
        <f>IFERROR(_xlfn.XLOOKUP(E950,[1]EMPREENDIMENTO!C:C,[1]EMPREENDIMENTO!A:A),"-")</f>
        <v>SOROCABA</v>
      </c>
      <c r="D950" s="28" t="s">
        <v>85</v>
      </c>
      <c r="E950" s="28" t="s">
        <v>1754</v>
      </c>
      <c r="F950" s="28" t="s">
        <v>39</v>
      </c>
      <c r="G950" s="28" t="s">
        <v>268</v>
      </c>
      <c r="H950" s="28" t="s">
        <v>268</v>
      </c>
      <c r="I950" s="29">
        <f>IFERROR(_xlfn.XLOOKUP(E950,[1]EMPREENDIMENTO!C:C,[1]EMPREENDIMENTO!E:E),"0")</f>
        <v>336</v>
      </c>
      <c r="J950" s="30"/>
      <c r="K950" s="28" t="s">
        <v>33</v>
      </c>
      <c r="L950" s="31">
        <v>46192</v>
      </c>
      <c r="M950" s="32">
        <v>86947363</v>
      </c>
      <c r="N950" s="32">
        <v>97174000</v>
      </c>
      <c r="O950" s="32">
        <v>91303000</v>
      </c>
      <c r="P950" s="28" t="s">
        <v>34</v>
      </c>
      <c r="Q950" s="28" t="s">
        <v>1756</v>
      </c>
      <c r="R950" s="30">
        <v>46220</v>
      </c>
      <c r="S950" s="30">
        <v>46222</v>
      </c>
      <c r="T950" s="33"/>
      <c r="U950" s="34" t="str">
        <f>IFERROR(_xlfn.XLOOKUP(E950,[1]EMPREENDIMENTO!C:C,[1]EMPREENDIMENTO!D:D),"")</f>
        <v>d4610a97-c2fa-e711-a541-009c02b0cb58</v>
      </c>
    </row>
    <row r="951" spans="1:21" hidden="1" x14ac:dyDescent="0.35">
      <c r="A951" s="28" t="str">
        <f>IFERROR(_xlfn.XLOOKUP(C951,[1]DIRETORIA!C:C,[1]DIRETORIA!A:A),"-")</f>
        <v>DIR. COM E CRED SUL</v>
      </c>
      <c r="B951" s="28" t="str">
        <f>IFERROR(_xlfn.XLOOKUP(C951,[1]DIRETORIA!C:C,[1]DIRETORIA!B:B),"-")</f>
        <v>GST. COM RS SUL</v>
      </c>
      <c r="C951" s="28" t="str">
        <f>IFERROR(_xlfn.XLOOKUP(E951,[1]EMPREENDIMENTO!C:C,[1]EMPREENDIMENTO!A:A),"-")</f>
        <v>PORTO ALEGRE</v>
      </c>
      <c r="D951" s="28" t="s">
        <v>29</v>
      </c>
      <c r="E951" s="28" t="s">
        <v>1758</v>
      </c>
      <c r="F951" s="28" t="s">
        <v>31</v>
      </c>
      <c r="G951" s="28" t="s">
        <v>1759</v>
      </c>
      <c r="H951" s="28">
        <v>24555</v>
      </c>
      <c r="I951" s="29">
        <f>IFERROR(_xlfn.XLOOKUP(E951,[1]EMPREENDIMENTO!C:C,[1]EMPREENDIMENTO!E:E),"0")</f>
        <v>600</v>
      </c>
      <c r="J951" s="30"/>
      <c r="K951" s="28" t="s">
        <v>33</v>
      </c>
      <c r="L951" s="31">
        <v>46239</v>
      </c>
      <c r="M951" s="32">
        <v>154572000</v>
      </c>
      <c r="N951" s="32">
        <v>167179750</v>
      </c>
      <c r="O951" s="32">
        <v>160574274</v>
      </c>
      <c r="P951" s="28" t="s">
        <v>34</v>
      </c>
      <c r="Q951" s="28" t="s">
        <v>1760</v>
      </c>
      <c r="R951" s="30">
        <v>46241</v>
      </c>
      <c r="S951" s="30">
        <v>46240</v>
      </c>
      <c r="T951" s="33"/>
      <c r="U951" s="34" t="str">
        <f>IFERROR(_xlfn.XLOOKUP(E951,[1]EMPREENDIMENTO!C:C,[1]EMPREENDIMENTO!D:D),"")</f>
        <v>ef68f1c6-8110-ea11-ba0a-0050568aa20f</v>
      </c>
    </row>
    <row r="952" spans="1:21" hidden="1" x14ac:dyDescent="0.35">
      <c r="A952" s="28" t="str">
        <f>IFERROR(_xlfn.XLOOKUP(C952,[1]DIRETORIA!C:C,[1]DIRETORIA!A:A),"-")</f>
        <v>DIR. COM E CRED SUL</v>
      </c>
      <c r="B952" s="28" t="str">
        <f>IFERROR(_xlfn.XLOOKUP(C952,[1]DIRETORIA!C:C,[1]DIRETORIA!B:B),"-")</f>
        <v>GST. COM RS SUL</v>
      </c>
      <c r="C952" s="28" t="str">
        <f>IFERROR(_xlfn.XLOOKUP(E952,[1]EMPREENDIMENTO!C:C,[1]EMPREENDIMENTO!A:A),"-")</f>
        <v>PORTO ALEGRE</v>
      </c>
      <c r="D952" s="28" t="s">
        <v>29</v>
      </c>
      <c r="E952" s="28" t="s">
        <v>1758</v>
      </c>
      <c r="F952" s="28" t="s">
        <v>36</v>
      </c>
      <c r="G952" s="28" t="s">
        <v>1761</v>
      </c>
      <c r="H952" s="28">
        <v>58838</v>
      </c>
      <c r="I952" s="29">
        <f>IFERROR(_xlfn.XLOOKUP(E952,[1]EMPREENDIMENTO!C:C,[1]EMPREENDIMENTO!E:E),"0")</f>
        <v>600</v>
      </c>
      <c r="J952" s="30"/>
      <c r="K952" s="28" t="s">
        <v>33</v>
      </c>
      <c r="L952" s="31">
        <v>46239</v>
      </c>
      <c r="M952" s="32">
        <v>154572000</v>
      </c>
      <c r="N952" s="32">
        <v>167179750</v>
      </c>
      <c r="O952" s="32">
        <v>160574274</v>
      </c>
      <c r="P952" s="28" t="s">
        <v>34</v>
      </c>
      <c r="Q952" s="28" t="s">
        <v>1760</v>
      </c>
      <c r="R952" s="30">
        <v>46241</v>
      </c>
      <c r="S952" s="30">
        <v>46240</v>
      </c>
      <c r="T952" s="33"/>
      <c r="U952" s="34" t="str">
        <f>IFERROR(_xlfn.XLOOKUP(E952,[1]EMPREENDIMENTO!C:C,[1]EMPREENDIMENTO!D:D),"")</f>
        <v>ef68f1c6-8110-ea11-ba0a-0050568aa20f</v>
      </c>
    </row>
    <row r="953" spans="1:21" hidden="1" x14ac:dyDescent="0.35">
      <c r="A953" s="28" t="str">
        <f>IFERROR(_xlfn.XLOOKUP(C953,[1]DIRETORIA!C:C,[1]DIRETORIA!A:A),"-")</f>
        <v>DIR. COM E CRED SUL</v>
      </c>
      <c r="B953" s="28" t="str">
        <f>IFERROR(_xlfn.XLOOKUP(C953,[1]DIRETORIA!C:C,[1]DIRETORIA!B:B),"-")</f>
        <v>GST. COM RS SUL</v>
      </c>
      <c r="C953" s="28" t="str">
        <f>IFERROR(_xlfn.XLOOKUP(E953,[1]EMPREENDIMENTO!C:C,[1]EMPREENDIMENTO!A:A),"-")</f>
        <v>PORTO ALEGRE</v>
      </c>
      <c r="D953" s="28" t="s">
        <v>29</v>
      </c>
      <c r="E953" s="28" t="s">
        <v>1758</v>
      </c>
      <c r="F953" s="28" t="s">
        <v>39</v>
      </c>
      <c r="G953" s="28" t="s">
        <v>1762</v>
      </c>
      <c r="H953" s="28">
        <v>58833</v>
      </c>
      <c r="I953" s="29">
        <f>IFERROR(_xlfn.XLOOKUP(E953,[1]EMPREENDIMENTO!C:C,[1]EMPREENDIMENTO!E:E),"0")</f>
        <v>600</v>
      </c>
      <c r="J953" s="30"/>
      <c r="K953" s="28" t="s">
        <v>33</v>
      </c>
      <c r="L953" s="31">
        <v>46239</v>
      </c>
      <c r="M953" s="32">
        <v>154572000</v>
      </c>
      <c r="N953" s="32">
        <v>167179750</v>
      </c>
      <c r="O953" s="32">
        <v>160574274</v>
      </c>
      <c r="P953" s="28" t="s">
        <v>34</v>
      </c>
      <c r="Q953" s="28" t="s">
        <v>1760</v>
      </c>
      <c r="R953" s="30">
        <v>46241</v>
      </c>
      <c r="S953" s="30">
        <v>46240</v>
      </c>
      <c r="T953" s="33"/>
      <c r="U953" s="34" t="str">
        <f>IFERROR(_xlfn.XLOOKUP(E953,[1]EMPREENDIMENTO!C:C,[1]EMPREENDIMENTO!D:D),"")</f>
        <v>ef68f1c6-8110-ea11-ba0a-0050568aa20f</v>
      </c>
    </row>
    <row r="954" spans="1:21" hidden="1" x14ac:dyDescent="0.35">
      <c r="A954" s="28" t="str">
        <f>IFERROR(_xlfn.XLOOKUP(C954,[1]DIRETORIA!C:C,[1]DIRETORIA!A:A),"-")</f>
        <v>DIR. COM E CRED SUL</v>
      </c>
      <c r="B954" s="28" t="str">
        <f>IFERROR(_xlfn.XLOOKUP(C954,[1]DIRETORIA!C:C,[1]DIRETORIA!B:B),"-")</f>
        <v>GST. COM RS SUL</v>
      </c>
      <c r="C954" s="28" t="str">
        <f>IFERROR(_xlfn.XLOOKUP(E954,[1]EMPREENDIMENTO!C:C,[1]EMPREENDIMENTO!A:A),"-")</f>
        <v>PORTO ALEGRE</v>
      </c>
      <c r="D954" s="28" t="s">
        <v>85</v>
      </c>
      <c r="E954" s="28" t="s">
        <v>1758</v>
      </c>
      <c r="F954" s="28" t="s">
        <v>50</v>
      </c>
      <c r="G954" s="28" t="s">
        <v>268</v>
      </c>
      <c r="H954" s="28">
        <v>58840</v>
      </c>
      <c r="I954" s="29">
        <f>IFERROR(_xlfn.XLOOKUP(E954,[1]EMPREENDIMENTO!C:C,[1]EMPREENDIMENTO!E:E),"0")</f>
        <v>600</v>
      </c>
      <c r="J954" s="30"/>
      <c r="K954" s="28" t="s">
        <v>33</v>
      </c>
      <c r="L954" s="31">
        <v>46239</v>
      </c>
      <c r="M954" s="32">
        <v>154572000</v>
      </c>
      <c r="N954" s="32">
        <v>167179750</v>
      </c>
      <c r="O954" s="32">
        <v>160574274</v>
      </c>
      <c r="P954" s="28" t="s">
        <v>34</v>
      </c>
      <c r="Q954" s="28" t="s">
        <v>1760</v>
      </c>
      <c r="R954" s="30">
        <v>46241</v>
      </c>
      <c r="S954" s="30">
        <v>46240</v>
      </c>
      <c r="T954" s="33"/>
      <c r="U954" s="34" t="str">
        <f>IFERROR(_xlfn.XLOOKUP(E954,[1]EMPREENDIMENTO!C:C,[1]EMPREENDIMENTO!D:D),"")</f>
        <v>ef68f1c6-8110-ea11-ba0a-0050568aa20f</v>
      </c>
    </row>
    <row r="955" spans="1:21" hidden="1" x14ac:dyDescent="0.35">
      <c r="A955" s="28" t="str">
        <f>IFERROR(_xlfn.XLOOKUP(C955,[1]DIRETORIA!C:C,[1]DIRETORIA!A:A),"-")</f>
        <v>DIR. COM E CRED CO E AM</v>
      </c>
      <c r="B955" s="28" t="str">
        <f>IFERROR(_xlfn.XLOOKUP(C955,[1]DIRETORIA!C:C,[1]DIRETORIA!B:B),"-")</f>
        <v>GST. COM MT</v>
      </c>
      <c r="C955" s="28" t="str">
        <f>IFERROR(_xlfn.XLOOKUP(E955,[1]EMPREENDIMENTO!C:C,[1]EMPREENDIMENTO!A:A),"-")</f>
        <v>CUIABÁ</v>
      </c>
      <c r="D955" s="28" t="s">
        <v>29</v>
      </c>
      <c r="E955" s="28" t="s">
        <v>1763</v>
      </c>
      <c r="F955" s="28" t="s">
        <v>31</v>
      </c>
      <c r="G955" s="28" t="s">
        <v>1764</v>
      </c>
      <c r="H955" s="28">
        <v>53127</v>
      </c>
      <c r="I955" s="29">
        <f>IFERROR(_xlfn.XLOOKUP(E955,[1]EMPREENDIMENTO!C:C,[1]EMPREENDIMENTO!E:E),"0")</f>
        <v>496</v>
      </c>
      <c r="J955" s="30"/>
      <c r="K955" s="28" t="s">
        <v>33</v>
      </c>
      <c r="L955" s="31">
        <v>46234</v>
      </c>
      <c r="M955" s="32">
        <v>135932100</v>
      </c>
      <c r="N955" s="32">
        <v>149610388</v>
      </c>
      <c r="O955" s="32">
        <v>144156412</v>
      </c>
      <c r="P955" s="28" t="s">
        <v>34</v>
      </c>
      <c r="Q955" s="28" t="s">
        <v>1765</v>
      </c>
      <c r="R955" s="30">
        <v>46237</v>
      </c>
      <c r="S955" s="30">
        <v>46234</v>
      </c>
      <c r="T955" s="33"/>
      <c r="U955" s="34" t="str">
        <f>IFERROR(_xlfn.XLOOKUP(E955,[1]EMPREENDIMENTO!C:C,[1]EMPREENDIMENTO!D:D),"")</f>
        <v>db623d68-2599-ee11-8acd-80c16e075108</v>
      </c>
    </row>
    <row r="956" spans="1:21" hidden="1" x14ac:dyDescent="0.35">
      <c r="A956" s="28" t="str">
        <f>IFERROR(_xlfn.XLOOKUP(C956,[1]DIRETORIA!C:C,[1]DIRETORIA!A:A),"-")</f>
        <v>DIR. COM E CRED CO E AM</v>
      </c>
      <c r="B956" s="28" t="str">
        <f>IFERROR(_xlfn.XLOOKUP(C956,[1]DIRETORIA!C:C,[1]DIRETORIA!B:B),"-")</f>
        <v>GST. COM MT</v>
      </c>
      <c r="C956" s="28" t="str">
        <f>IFERROR(_xlfn.XLOOKUP(E956,[1]EMPREENDIMENTO!C:C,[1]EMPREENDIMENTO!A:A),"-")</f>
        <v>CUIABÁ</v>
      </c>
      <c r="D956" s="28" t="s">
        <v>29</v>
      </c>
      <c r="E956" s="28" t="s">
        <v>1763</v>
      </c>
      <c r="F956" s="28" t="s">
        <v>36</v>
      </c>
      <c r="G956" s="28" t="s">
        <v>1766</v>
      </c>
      <c r="H956" s="28">
        <v>55741</v>
      </c>
      <c r="I956" s="29">
        <f>IFERROR(_xlfn.XLOOKUP(E956,[1]EMPREENDIMENTO!C:C,[1]EMPREENDIMENTO!E:E),"0")</f>
        <v>496</v>
      </c>
      <c r="J956" s="30"/>
      <c r="K956" s="28" t="s">
        <v>33</v>
      </c>
      <c r="L956" s="31">
        <v>46234</v>
      </c>
      <c r="M956" s="32">
        <v>135932100</v>
      </c>
      <c r="N956" s="32">
        <v>149610388</v>
      </c>
      <c r="O956" s="32">
        <v>144156412</v>
      </c>
      <c r="P956" s="28" t="s">
        <v>34</v>
      </c>
      <c r="Q956" s="28" t="s">
        <v>1765</v>
      </c>
      <c r="R956" s="30">
        <v>46237</v>
      </c>
      <c r="S956" s="30">
        <v>46234</v>
      </c>
      <c r="T956" s="33"/>
      <c r="U956" s="34" t="str">
        <f>IFERROR(_xlfn.XLOOKUP(E956,[1]EMPREENDIMENTO!C:C,[1]EMPREENDIMENTO!D:D),"")</f>
        <v>db623d68-2599-ee11-8acd-80c16e075108</v>
      </c>
    </row>
    <row r="957" spans="1:21" hidden="1" x14ac:dyDescent="0.35">
      <c r="A957" s="28" t="str">
        <f>IFERROR(_xlfn.XLOOKUP(C957,[1]DIRETORIA!C:C,[1]DIRETORIA!A:A),"-")</f>
        <v>DIR. COM E CRED CO E AM</v>
      </c>
      <c r="B957" s="28" t="str">
        <f>IFERROR(_xlfn.XLOOKUP(C957,[1]DIRETORIA!C:C,[1]DIRETORIA!B:B),"-")</f>
        <v>GST. COM MT</v>
      </c>
      <c r="C957" s="28" t="str">
        <f>IFERROR(_xlfn.XLOOKUP(E957,[1]EMPREENDIMENTO!C:C,[1]EMPREENDIMENTO!A:A),"-")</f>
        <v>CUIABÁ</v>
      </c>
      <c r="D957" s="28" t="s">
        <v>29</v>
      </c>
      <c r="E957" s="28" t="s">
        <v>1763</v>
      </c>
      <c r="F957" s="28" t="s">
        <v>39</v>
      </c>
      <c r="G957" s="28" t="s">
        <v>1767</v>
      </c>
      <c r="H957" s="28">
        <v>59078</v>
      </c>
      <c r="I957" s="29">
        <f>IFERROR(_xlfn.XLOOKUP(E957,[1]EMPREENDIMENTO!C:C,[1]EMPREENDIMENTO!E:E),"0")</f>
        <v>496</v>
      </c>
      <c r="J957" s="30"/>
      <c r="K957" s="28" t="s">
        <v>33</v>
      </c>
      <c r="L957" s="31">
        <v>46234</v>
      </c>
      <c r="M957" s="32">
        <v>135932100</v>
      </c>
      <c r="N957" s="32">
        <v>149610388</v>
      </c>
      <c r="O957" s="32">
        <v>144156412</v>
      </c>
      <c r="P957" s="28" t="s">
        <v>34</v>
      </c>
      <c r="Q957" s="28" t="s">
        <v>1765</v>
      </c>
      <c r="R957" s="30">
        <v>46237</v>
      </c>
      <c r="S957" s="30">
        <v>46234</v>
      </c>
      <c r="T957" s="33"/>
      <c r="U957" s="34" t="str">
        <f>IFERROR(_xlfn.XLOOKUP(E957,[1]EMPREENDIMENTO!C:C,[1]EMPREENDIMENTO!D:D),"")</f>
        <v>db623d68-2599-ee11-8acd-80c16e075108</v>
      </c>
    </row>
    <row r="958" spans="1:21" hidden="1" x14ac:dyDescent="0.35">
      <c r="A958" s="28" t="str">
        <f>IFERROR(_xlfn.XLOOKUP(C958,[1]DIRETORIA!C:C,[1]DIRETORIA!A:A),"-")</f>
        <v>DIR. COM E CRED NE</v>
      </c>
      <c r="B958" s="28" t="str">
        <f>IFERROR(_xlfn.XLOOKUP(C958,[1]DIRETORIA!C:C,[1]DIRETORIA!B:B),"-")</f>
        <v>GST. COM NE4 (CE)</v>
      </c>
      <c r="C958" s="28" t="str">
        <f>IFERROR(_xlfn.XLOOKUP(E958,[1]EMPREENDIMENTO!C:C,[1]EMPREENDIMENTO!A:A),"-")</f>
        <v>FORTALEZA</v>
      </c>
      <c r="D958" s="28" t="s">
        <v>85</v>
      </c>
      <c r="E958" s="28" t="s">
        <v>1768</v>
      </c>
      <c r="F958" s="28" t="s">
        <v>42</v>
      </c>
      <c r="G958" s="28" t="s">
        <v>1769</v>
      </c>
      <c r="H958" s="28">
        <v>52151</v>
      </c>
      <c r="I958" s="29">
        <f>IFERROR(_xlfn.XLOOKUP(E958,[1]EMPREENDIMENTO!C:C,[1]EMPREENDIMENTO!E:E),"0")</f>
        <v>320</v>
      </c>
      <c r="J958" s="30"/>
      <c r="K958" s="28" t="s">
        <v>33</v>
      </c>
      <c r="L958" s="31">
        <v>45926</v>
      </c>
      <c r="M958" s="32">
        <v>117225000</v>
      </c>
      <c r="N958" s="32">
        <v>123076003</v>
      </c>
      <c r="O958" s="32">
        <v>121220390</v>
      </c>
      <c r="P958" s="28" t="s">
        <v>34</v>
      </c>
      <c r="Q958" s="28"/>
      <c r="R958" s="30"/>
      <c r="S958" s="30">
        <v>45929</v>
      </c>
      <c r="T958" s="33"/>
      <c r="U958" s="34" t="str">
        <f>IFERROR(_xlfn.XLOOKUP(E958,[1]EMPREENDIMENTO!C:C,[1]EMPREENDIMENTO!D:D),"")</f>
        <v>2B9A3C1D-79D8-E811-A4F5-80C16E075108</v>
      </c>
    </row>
    <row r="959" spans="1:21" hidden="1" x14ac:dyDescent="0.35">
      <c r="A959" s="28" t="str">
        <f>IFERROR(_xlfn.XLOOKUP(C959,[1]DIRETORIA!C:C,[1]DIRETORIA!A:A),"-")</f>
        <v>DIR. COM E CRED SUL</v>
      </c>
      <c r="B959" s="28" t="str">
        <f>IFERROR(_xlfn.XLOOKUP(C959,[1]DIRETORIA!C:C,[1]DIRETORIA!B:B),"-")</f>
        <v>GST. COM SC</v>
      </c>
      <c r="C959" s="28" t="str">
        <f>IFERROR(_xlfn.XLOOKUP(E959,[1]EMPREENDIMENTO!C:C,[1]EMPREENDIMENTO!A:A),"-")</f>
        <v>PALHOÇA</v>
      </c>
      <c r="D959" s="28" t="s">
        <v>29</v>
      </c>
      <c r="E959" s="28" t="s">
        <v>1770</v>
      </c>
      <c r="F959" s="28" t="s">
        <v>31</v>
      </c>
      <c r="G959" s="28" t="s">
        <v>1771</v>
      </c>
      <c r="H959" s="28">
        <v>52375</v>
      </c>
      <c r="I959" s="29">
        <f>IFERROR(_xlfn.XLOOKUP(E959,[1]EMPREENDIMENTO!C:C,[1]EMPREENDIMENTO!E:E),"0")</f>
        <v>352</v>
      </c>
      <c r="J959" s="30"/>
      <c r="K959" s="28" t="s">
        <v>33</v>
      </c>
      <c r="L959" s="31">
        <v>46206</v>
      </c>
      <c r="M959" s="32">
        <v>98428000</v>
      </c>
      <c r="N959" s="32">
        <v>112981440</v>
      </c>
      <c r="O959" s="32">
        <v>107418800</v>
      </c>
      <c r="P959" s="28" t="s">
        <v>34</v>
      </c>
      <c r="Q959" s="28" t="s">
        <v>1772</v>
      </c>
      <c r="R959" s="30">
        <v>46223</v>
      </c>
      <c r="S959" s="30">
        <v>46206</v>
      </c>
      <c r="T959" s="33"/>
      <c r="U959" s="34" t="str">
        <f>IFERROR(_xlfn.XLOOKUP(E959,[1]EMPREENDIMENTO!C:C,[1]EMPREENDIMENTO!D:D),"")</f>
        <v>3f589ca7-50d2-ed11-98d9-009c02b0cb58</v>
      </c>
    </row>
    <row r="960" spans="1:21" hidden="1" x14ac:dyDescent="0.35">
      <c r="A960" s="28" t="str">
        <f>IFERROR(_xlfn.XLOOKUP(C960,[1]DIRETORIA!C:C,[1]DIRETORIA!A:A),"-")</f>
        <v>DIR. COM E CRED SUL</v>
      </c>
      <c r="B960" s="28" t="str">
        <f>IFERROR(_xlfn.XLOOKUP(C960,[1]DIRETORIA!C:C,[1]DIRETORIA!B:B),"-")</f>
        <v>GST. COM SC</v>
      </c>
      <c r="C960" s="28" t="str">
        <f>IFERROR(_xlfn.XLOOKUP(E960,[1]EMPREENDIMENTO!C:C,[1]EMPREENDIMENTO!A:A),"-")</f>
        <v>PALHOÇA</v>
      </c>
      <c r="D960" s="28" t="s">
        <v>29</v>
      </c>
      <c r="E960" s="28" t="s">
        <v>1770</v>
      </c>
      <c r="F960" s="28" t="s">
        <v>36</v>
      </c>
      <c r="G960" s="28" t="s">
        <v>1773</v>
      </c>
      <c r="H960" s="28">
        <v>58266</v>
      </c>
      <c r="I960" s="29">
        <f>IFERROR(_xlfn.XLOOKUP(E960,[1]EMPREENDIMENTO!C:C,[1]EMPREENDIMENTO!E:E),"0")</f>
        <v>352</v>
      </c>
      <c r="J960" s="30"/>
      <c r="K960" s="28" t="s">
        <v>33</v>
      </c>
      <c r="L960" s="31">
        <v>46206</v>
      </c>
      <c r="M960" s="32">
        <v>98428000</v>
      </c>
      <c r="N960" s="32">
        <v>112981440</v>
      </c>
      <c r="O960" s="32">
        <v>107418800</v>
      </c>
      <c r="P960" s="28" t="s">
        <v>34</v>
      </c>
      <c r="Q960" s="28" t="s">
        <v>1772</v>
      </c>
      <c r="R960" s="30">
        <v>46223</v>
      </c>
      <c r="S960" s="30">
        <v>46206</v>
      </c>
      <c r="T960" s="33"/>
      <c r="U960" s="34" t="str">
        <f>IFERROR(_xlfn.XLOOKUP(E960,[1]EMPREENDIMENTO!C:C,[1]EMPREENDIMENTO!D:D),"")</f>
        <v>3f589ca7-50d2-ed11-98d9-009c02b0cb58</v>
      </c>
    </row>
    <row r="961" spans="1:21" hidden="1" x14ac:dyDescent="0.35">
      <c r="A961" s="28" t="str">
        <f>IFERROR(_xlfn.XLOOKUP(C961,[1]DIRETORIA!C:C,[1]DIRETORIA!A:A),"-")</f>
        <v>DIR. COM E CRED RJ</v>
      </c>
      <c r="B961" s="28" t="str">
        <f>IFERROR(_xlfn.XLOOKUP(C961,[1]DIRETORIA!C:C,[1]DIRETORIA!B:B),"-")</f>
        <v>GST. COM NF</v>
      </c>
      <c r="C961" s="28" t="str">
        <f>IFERROR(_xlfn.XLOOKUP(E961,[1]EMPREENDIMENTO!C:C,[1]EMPREENDIMENTO!A:A),"-")</f>
        <v>MACAÉ</v>
      </c>
      <c r="D961" s="28" t="s">
        <v>29</v>
      </c>
      <c r="E961" s="28" t="s">
        <v>1774</v>
      </c>
      <c r="F961" s="28" t="s">
        <v>31</v>
      </c>
      <c r="G961" s="28" t="s">
        <v>1775</v>
      </c>
      <c r="H961" s="28">
        <v>53045</v>
      </c>
      <c r="I961" s="29">
        <f>IFERROR(_xlfn.XLOOKUP(E961,[1]EMPREENDIMENTO!C:C,[1]EMPREENDIMENTO!E:E),"0")</f>
        <v>448</v>
      </c>
      <c r="J961" s="30"/>
      <c r="K961" s="28" t="s">
        <v>33</v>
      </c>
      <c r="L961" s="31">
        <v>46230</v>
      </c>
      <c r="M961" s="32">
        <v>116943726</v>
      </c>
      <c r="N961" s="32">
        <v>123253115</v>
      </c>
      <c r="O961" s="32">
        <v>119215840</v>
      </c>
      <c r="P961" s="28" t="s">
        <v>34</v>
      </c>
      <c r="Q961" s="28" t="s">
        <v>1776</v>
      </c>
      <c r="R961" s="30">
        <v>46230</v>
      </c>
      <c r="S961" s="30">
        <v>46231</v>
      </c>
      <c r="T961" s="33"/>
      <c r="U961" s="34" t="str">
        <f>IFERROR(_xlfn.XLOOKUP(E961,[1]EMPREENDIMENTO!C:C,[1]EMPREENDIMENTO!D:D),"")</f>
        <v>0077ada5-5503-e711-ac8b-80c16e075108</v>
      </c>
    </row>
    <row r="962" spans="1:21" hidden="1" x14ac:dyDescent="0.35">
      <c r="A962" s="28" t="str">
        <f>IFERROR(_xlfn.XLOOKUP(C962,[1]DIRETORIA!C:C,[1]DIRETORIA!A:A),"-")</f>
        <v>DIR. COM E CRED RJ</v>
      </c>
      <c r="B962" s="28" t="str">
        <f>IFERROR(_xlfn.XLOOKUP(C962,[1]DIRETORIA!C:C,[1]DIRETORIA!B:B),"-")</f>
        <v>GST. COM NF</v>
      </c>
      <c r="C962" s="28" t="str">
        <f>IFERROR(_xlfn.XLOOKUP(E962,[1]EMPREENDIMENTO!C:C,[1]EMPREENDIMENTO!A:A),"-")</f>
        <v>MACAÉ</v>
      </c>
      <c r="D962" s="28" t="s">
        <v>29</v>
      </c>
      <c r="E962" s="28" t="s">
        <v>1774</v>
      </c>
      <c r="F962" s="28" t="s">
        <v>36</v>
      </c>
      <c r="G962" s="28" t="s">
        <v>1777</v>
      </c>
      <c r="H962" s="28">
        <v>60369</v>
      </c>
      <c r="I962" s="29">
        <f>IFERROR(_xlfn.XLOOKUP(E962,[1]EMPREENDIMENTO!C:C,[1]EMPREENDIMENTO!E:E),"0")</f>
        <v>448</v>
      </c>
      <c r="J962" s="30"/>
      <c r="K962" s="28" t="s">
        <v>33</v>
      </c>
      <c r="L962" s="31">
        <v>46230</v>
      </c>
      <c r="M962" s="32">
        <v>116943726</v>
      </c>
      <c r="N962" s="32">
        <v>123253115</v>
      </c>
      <c r="O962" s="32">
        <v>119215840</v>
      </c>
      <c r="P962" s="28" t="s">
        <v>34</v>
      </c>
      <c r="Q962" s="28" t="s">
        <v>1776</v>
      </c>
      <c r="R962" s="30">
        <v>46230</v>
      </c>
      <c r="S962" s="30">
        <v>46231</v>
      </c>
      <c r="T962" s="33"/>
      <c r="U962" s="34" t="str">
        <f>IFERROR(_xlfn.XLOOKUP(E962,[1]EMPREENDIMENTO!C:C,[1]EMPREENDIMENTO!D:D),"")</f>
        <v>0077ada5-5503-e711-ac8b-80c16e075108</v>
      </c>
    </row>
    <row r="963" spans="1:21" hidden="1" x14ac:dyDescent="0.35">
      <c r="A963" s="28" t="str">
        <f>IFERROR(_xlfn.XLOOKUP(C963,[1]DIRETORIA!C:C,[1]DIRETORIA!A:A),"-")</f>
        <v>DIR. COM E CRED RJ</v>
      </c>
      <c r="B963" s="28" t="str">
        <f>IFERROR(_xlfn.XLOOKUP(C963,[1]DIRETORIA!C:C,[1]DIRETORIA!B:B),"-")</f>
        <v>GST. COM NF</v>
      </c>
      <c r="C963" s="28" t="str">
        <f>IFERROR(_xlfn.XLOOKUP(E963,[1]EMPREENDIMENTO!C:C,[1]EMPREENDIMENTO!A:A),"-")</f>
        <v>MACAÉ</v>
      </c>
      <c r="D963" s="28" t="s">
        <v>85</v>
      </c>
      <c r="E963" s="28" t="s">
        <v>1774</v>
      </c>
      <c r="F963" s="28" t="s">
        <v>39</v>
      </c>
      <c r="G963" s="28" t="s">
        <v>268</v>
      </c>
      <c r="H963" s="28" t="s">
        <v>268</v>
      </c>
      <c r="I963" s="29">
        <f>IFERROR(_xlfn.XLOOKUP(E963,[1]EMPREENDIMENTO!C:C,[1]EMPREENDIMENTO!E:E),"0")</f>
        <v>448</v>
      </c>
      <c r="J963" s="30"/>
      <c r="K963" s="28" t="s">
        <v>33</v>
      </c>
      <c r="L963" s="31">
        <v>46230</v>
      </c>
      <c r="M963" s="32">
        <v>116943726</v>
      </c>
      <c r="N963" s="32">
        <v>123253115</v>
      </c>
      <c r="O963" s="32">
        <v>119215840</v>
      </c>
      <c r="P963" s="28" t="s">
        <v>34</v>
      </c>
      <c r="Q963" s="28" t="s">
        <v>1776</v>
      </c>
      <c r="R963" s="30">
        <v>46230</v>
      </c>
      <c r="S963" s="30">
        <v>46231</v>
      </c>
      <c r="T963" s="33"/>
      <c r="U963" s="34" t="str">
        <f>IFERROR(_xlfn.XLOOKUP(E963,[1]EMPREENDIMENTO!C:C,[1]EMPREENDIMENTO!D:D),"")</f>
        <v>0077ada5-5503-e711-ac8b-80c16e075108</v>
      </c>
    </row>
    <row r="964" spans="1:21" hidden="1" x14ac:dyDescent="0.35">
      <c r="A964" s="28" t="str">
        <f>IFERROR(_xlfn.XLOOKUP(C964,[1]DIRETORIA!C:C,[1]DIRETORIA!A:A),"-")</f>
        <v>DIR. COM E CRED MG E ES</v>
      </c>
      <c r="B964" s="28" t="str">
        <f>IFERROR(_xlfn.XLOOKUP(C964,[1]DIRETORIA!C:C,[1]DIRETORIA!B:B),"-")</f>
        <v>GST. COM ES</v>
      </c>
      <c r="C964" s="28" t="str">
        <f>IFERROR(_xlfn.XLOOKUP(E964,[1]EMPREENDIMENTO!C:C,[1]EMPREENDIMENTO!A:A),"-")</f>
        <v>SERRA</v>
      </c>
      <c r="D964" s="28" t="s">
        <v>29</v>
      </c>
      <c r="E964" s="28" t="s">
        <v>1778</v>
      </c>
      <c r="F964" s="28" t="s">
        <v>31</v>
      </c>
      <c r="G964" s="28" t="s">
        <v>1779</v>
      </c>
      <c r="H964" s="28">
        <v>53194</v>
      </c>
      <c r="I964" s="29">
        <f>IFERROR(_xlfn.XLOOKUP(E964,[1]EMPREENDIMENTO!C:C,[1]EMPREENDIMENTO!E:E),"0")</f>
        <v>448</v>
      </c>
      <c r="J964" s="30"/>
      <c r="K964" s="28" t="s">
        <v>33</v>
      </c>
      <c r="L964" s="31">
        <v>46160</v>
      </c>
      <c r="M964" s="32">
        <v>121173003</v>
      </c>
      <c r="N964" s="32">
        <v>130380556</v>
      </c>
      <c r="O964" s="32">
        <v>126357140</v>
      </c>
      <c r="P964" s="28" t="s">
        <v>2</v>
      </c>
      <c r="Q964" s="28" t="s">
        <v>1780</v>
      </c>
      <c r="R964" s="30">
        <v>46286</v>
      </c>
      <c r="S964" s="30"/>
      <c r="T964" s="33"/>
      <c r="U964" s="34" t="str">
        <f>IFERROR(_xlfn.XLOOKUP(E964,[1]EMPREENDIMENTO!C:C,[1]EMPREENDIMENTO!D:D),"")</f>
        <v>fed10b74-f72d-ec11-b501-005056856b6c</v>
      </c>
    </row>
    <row r="965" spans="1:21" hidden="1" x14ac:dyDescent="0.35">
      <c r="A965" s="28" t="str">
        <f>IFERROR(_xlfn.XLOOKUP(C965,[1]DIRETORIA!C:C,[1]DIRETORIA!A:A),"-")</f>
        <v>DIR. COM E CRED MG E ES</v>
      </c>
      <c r="B965" s="28" t="str">
        <f>IFERROR(_xlfn.XLOOKUP(C965,[1]DIRETORIA!C:C,[1]DIRETORIA!B:B),"-")</f>
        <v>GST. COM ES</v>
      </c>
      <c r="C965" s="28" t="str">
        <f>IFERROR(_xlfn.XLOOKUP(E965,[1]EMPREENDIMENTO!C:C,[1]EMPREENDIMENTO!A:A),"-")</f>
        <v>SERRA</v>
      </c>
      <c r="D965" s="28" t="s">
        <v>29</v>
      </c>
      <c r="E965" s="28" t="s">
        <v>1778</v>
      </c>
      <c r="F965" s="28" t="s">
        <v>36</v>
      </c>
      <c r="G965" s="28" t="s">
        <v>1781</v>
      </c>
      <c r="H965" s="28">
        <v>59080</v>
      </c>
      <c r="I965" s="29">
        <f>IFERROR(_xlfn.XLOOKUP(E965,[1]EMPREENDIMENTO!C:C,[1]EMPREENDIMENTO!E:E),"0")</f>
        <v>448</v>
      </c>
      <c r="J965" s="30"/>
      <c r="K965" s="28" t="s">
        <v>33</v>
      </c>
      <c r="L965" s="31">
        <v>46160</v>
      </c>
      <c r="M965" s="32">
        <v>121173003</v>
      </c>
      <c r="N965" s="32">
        <v>130380556</v>
      </c>
      <c r="O965" s="32">
        <v>126357140</v>
      </c>
      <c r="P965" s="28" t="s">
        <v>2</v>
      </c>
      <c r="Q965" s="28" t="s">
        <v>1780</v>
      </c>
      <c r="R965" s="30">
        <v>46286</v>
      </c>
      <c r="S965" s="30"/>
      <c r="T965" s="33"/>
      <c r="U965" s="34" t="str">
        <f>IFERROR(_xlfn.XLOOKUP(E965,[1]EMPREENDIMENTO!C:C,[1]EMPREENDIMENTO!D:D),"")</f>
        <v>fed10b74-f72d-ec11-b501-005056856b6c</v>
      </c>
    </row>
    <row r="966" spans="1:21" hidden="1" x14ac:dyDescent="0.35">
      <c r="A966" s="28" t="str">
        <f>IFERROR(_xlfn.XLOOKUP(C966,[1]DIRETORIA!C:C,[1]DIRETORIA!A:A),"-")</f>
        <v>DIR. COM E CRED MG E ES</v>
      </c>
      <c r="B966" s="28" t="str">
        <f>IFERROR(_xlfn.XLOOKUP(C966,[1]DIRETORIA!C:C,[1]DIRETORIA!B:B),"-")</f>
        <v>GST. COM ES</v>
      </c>
      <c r="C966" s="28" t="str">
        <f>IFERROR(_xlfn.XLOOKUP(E966,[1]EMPREENDIMENTO!C:C,[1]EMPREENDIMENTO!A:A),"-")</f>
        <v>SERRA</v>
      </c>
      <c r="D966" s="28" t="s">
        <v>29</v>
      </c>
      <c r="E966" s="28" t="s">
        <v>1778</v>
      </c>
      <c r="F966" s="28" t="s">
        <v>39</v>
      </c>
      <c r="G966" s="28" t="s">
        <v>1782</v>
      </c>
      <c r="H966" s="28">
        <v>59814</v>
      </c>
      <c r="I966" s="29">
        <f>IFERROR(_xlfn.XLOOKUP(E966,[1]EMPREENDIMENTO!C:C,[1]EMPREENDIMENTO!E:E),"0")</f>
        <v>448</v>
      </c>
      <c r="J966" s="30"/>
      <c r="K966" s="28" t="s">
        <v>33</v>
      </c>
      <c r="L966" s="31">
        <v>46160</v>
      </c>
      <c r="M966" s="32">
        <v>121173003</v>
      </c>
      <c r="N966" s="32">
        <v>130380556</v>
      </c>
      <c r="O966" s="32">
        <v>126357140</v>
      </c>
      <c r="P966" s="28" t="s">
        <v>2</v>
      </c>
      <c r="Q966" s="28" t="s">
        <v>1780</v>
      </c>
      <c r="R966" s="30">
        <v>46286</v>
      </c>
      <c r="S966" s="30"/>
      <c r="T966" s="33"/>
      <c r="U966" s="34" t="str">
        <f>IFERROR(_xlfn.XLOOKUP(E966,[1]EMPREENDIMENTO!C:C,[1]EMPREENDIMENTO!D:D),"")</f>
        <v>fed10b74-f72d-ec11-b501-005056856b6c</v>
      </c>
    </row>
    <row r="967" spans="1:21" hidden="1" x14ac:dyDescent="0.35">
      <c r="A967" s="28" t="str">
        <f>IFERROR(_xlfn.XLOOKUP(C967,[1]DIRETORIA!C:C,[1]DIRETORIA!A:A),"-")</f>
        <v>DIR. COM E CRED NE</v>
      </c>
      <c r="B967" s="28" t="str">
        <f>IFERROR(_xlfn.XLOOKUP(C967,[1]DIRETORIA!C:C,[1]DIRETORIA!B:B),"-")</f>
        <v>GST. COM NE 3 (SE+AL)</v>
      </c>
      <c r="C967" s="28" t="str">
        <f>IFERROR(_xlfn.XLOOKUP(E967,[1]EMPREENDIMENTO!C:C,[1]EMPREENDIMENTO!A:A),"-")</f>
        <v>MACEIÓ</v>
      </c>
      <c r="D967" s="28" t="s">
        <v>29</v>
      </c>
      <c r="E967" s="28" t="s">
        <v>1783</v>
      </c>
      <c r="F967" s="28" t="s">
        <v>42</v>
      </c>
      <c r="G967" s="28" t="s">
        <v>1784</v>
      </c>
      <c r="H967" s="28">
        <v>52855</v>
      </c>
      <c r="I967" s="29">
        <f>IFERROR(_xlfn.XLOOKUP(E967,[1]EMPREENDIMENTO!C:C,[1]EMPREENDIMENTO!E:E),"0")</f>
        <v>216</v>
      </c>
      <c r="J967" s="30"/>
      <c r="K967" s="28" t="s">
        <v>33</v>
      </c>
      <c r="L967" s="31">
        <v>46224</v>
      </c>
      <c r="M967" s="32">
        <v>79628294</v>
      </c>
      <c r="N967" s="32">
        <v>84782083</v>
      </c>
      <c r="O967" s="32">
        <v>81175270</v>
      </c>
      <c r="P967" s="28" t="s">
        <v>34</v>
      </c>
      <c r="Q967" s="28" t="s">
        <v>1785</v>
      </c>
      <c r="R967" s="30">
        <v>46230</v>
      </c>
      <c r="S967" s="30">
        <v>46224</v>
      </c>
      <c r="T967" s="33"/>
      <c r="U967" s="34" t="str">
        <f>IFERROR(_xlfn.XLOOKUP(E967,[1]EMPREENDIMENTO!C:C,[1]EMPREENDIMENTO!D:D),"")</f>
        <v>50ccce37-ac12-e411-8efb-009c02b0cb58</v>
      </c>
    </row>
    <row r="968" spans="1:21" x14ac:dyDescent="0.35">
      <c r="A968" s="28" t="str">
        <f>IFERROR(_xlfn.XLOOKUP(C968,[1]DIRETORIA!C:C,[1]DIRETORIA!A:A),"-")</f>
        <v>DIR. COM E CRED SPI CP</v>
      </c>
      <c r="B968" s="28" t="str">
        <f>IFERROR(_xlfn.XLOOKUP(C968,[1]DIRETORIA!C:C,[1]DIRETORIA!B:B),"-")</f>
        <v>GST. COM CP3</v>
      </c>
      <c r="C968" s="28" t="str">
        <f>IFERROR(_xlfn.XLOOKUP(E968,[1]EMPREENDIMENTO!C:C,[1]EMPREENDIMENTO!A:A),"-")</f>
        <v>PIRACICABA</v>
      </c>
      <c r="D968" s="28" t="s">
        <v>29</v>
      </c>
      <c r="E968" s="28" t="s">
        <v>1786</v>
      </c>
      <c r="F968" s="28" t="s">
        <v>31</v>
      </c>
      <c r="G968" s="28" t="s">
        <v>1787</v>
      </c>
      <c r="H968" s="28">
        <v>52764</v>
      </c>
      <c r="I968" s="29">
        <f>IFERROR(_xlfn.XLOOKUP(E968,[1]EMPREENDIMENTO!C:C,[1]EMPREENDIMENTO!E:E),"0")</f>
        <v>480</v>
      </c>
      <c r="J968" s="30"/>
      <c r="K968" s="28" t="s">
        <v>33</v>
      </c>
      <c r="L968" s="31">
        <v>45880</v>
      </c>
      <c r="M968" s="32">
        <v>117432800</v>
      </c>
      <c r="N968" s="32">
        <v>129940800</v>
      </c>
      <c r="O968" s="32">
        <v>124129100</v>
      </c>
      <c r="P968" s="28" t="s">
        <v>34</v>
      </c>
      <c r="Q968" s="28" t="s">
        <v>1788</v>
      </c>
      <c r="R968" s="30">
        <v>46237</v>
      </c>
      <c r="S968" s="30">
        <v>46234</v>
      </c>
      <c r="T968" s="33"/>
      <c r="U968" s="34" t="str">
        <f>IFERROR(_xlfn.XLOOKUP(E968,[1]EMPREENDIMENTO!C:C,[1]EMPREENDIMENTO!D:D),"")</f>
        <v>F8CA32ED-13A7-E911-A878-0050568AA20F</v>
      </c>
    </row>
    <row r="969" spans="1:21" x14ac:dyDescent="0.35">
      <c r="A969" s="28" t="str">
        <f>IFERROR(_xlfn.XLOOKUP(C969,[1]DIRETORIA!C:C,[1]DIRETORIA!A:A),"-")</f>
        <v>DIR. COM E CRED SPI CP</v>
      </c>
      <c r="B969" s="28" t="str">
        <f>IFERROR(_xlfn.XLOOKUP(C969,[1]DIRETORIA!C:C,[1]DIRETORIA!B:B),"-")</f>
        <v>GST. COM CP3</v>
      </c>
      <c r="C969" s="28" t="str">
        <f>IFERROR(_xlfn.XLOOKUP(E969,[1]EMPREENDIMENTO!C:C,[1]EMPREENDIMENTO!A:A),"-")</f>
        <v>PIRACICABA</v>
      </c>
      <c r="D969" s="28" t="s">
        <v>85</v>
      </c>
      <c r="E969" s="28" t="s">
        <v>1786</v>
      </c>
      <c r="F969" s="28" t="s">
        <v>36</v>
      </c>
      <c r="G969" s="28" t="s">
        <v>268</v>
      </c>
      <c r="H969" s="28" t="s">
        <v>268</v>
      </c>
      <c r="I969" s="29">
        <f>IFERROR(_xlfn.XLOOKUP(E969,[1]EMPREENDIMENTO!C:C,[1]EMPREENDIMENTO!E:E),"0")</f>
        <v>480</v>
      </c>
      <c r="J969" s="30"/>
      <c r="K969" s="28" t="s">
        <v>33</v>
      </c>
      <c r="L969" s="31">
        <v>45880</v>
      </c>
      <c r="M969" s="32">
        <v>117432800</v>
      </c>
      <c r="N969" s="32">
        <v>129940800</v>
      </c>
      <c r="O969" s="32">
        <v>124129100</v>
      </c>
      <c r="P969" s="28" t="s">
        <v>34</v>
      </c>
      <c r="Q969" s="28" t="s">
        <v>1788</v>
      </c>
      <c r="R969" s="30">
        <v>46237</v>
      </c>
      <c r="S969" s="30">
        <v>46234</v>
      </c>
      <c r="T969" s="33"/>
      <c r="U969" s="34" t="str">
        <f>IFERROR(_xlfn.XLOOKUP(E969,[1]EMPREENDIMENTO!C:C,[1]EMPREENDIMENTO!D:D),"")</f>
        <v>F8CA32ED-13A7-E911-A878-0050568AA20F</v>
      </c>
    </row>
    <row r="970" spans="1:21" x14ac:dyDescent="0.35">
      <c r="A970" s="28" t="str">
        <f>IFERROR(_xlfn.XLOOKUP(C970,[1]DIRETORIA!C:C,[1]DIRETORIA!A:A),"-")</f>
        <v>DIR. COM E CRED SPI CP</v>
      </c>
      <c r="B970" s="28" t="str">
        <f>IFERROR(_xlfn.XLOOKUP(C970,[1]DIRETORIA!C:C,[1]DIRETORIA!B:B),"-")</f>
        <v>GST. COM CP3</v>
      </c>
      <c r="C970" s="28" t="str">
        <f>IFERROR(_xlfn.XLOOKUP(E970,[1]EMPREENDIMENTO!C:C,[1]EMPREENDIMENTO!A:A),"-")</f>
        <v>PIRACICABA</v>
      </c>
      <c r="D970" s="28" t="s">
        <v>85</v>
      </c>
      <c r="E970" s="28" t="s">
        <v>1786</v>
      </c>
      <c r="F970" s="28" t="s">
        <v>39</v>
      </c>
      <c r="G970" s="28" t="s">
        <v>268</v>
      </c>
      <c r="H970" s="28" t="s">
        <v>268</v>
      </c>
      <c r="I970" s="29">
        <f>IFERROR(_xlfn.XLOOKUP(E970,[1]EMPREENDIMENTO!C:C,[1]EMPREENDIMENTO!E:E),"0")</f>
        <v>480</v>
      </c>
      <c r="J970" s="30"/>
      <c r="K970" s="28" t="s">
        <v>33</v>
      </c>
      <c r="L970" s="31">
        <v>45880</v>
      </c>
      <c r="M970" s="32">
        <v>117432800</v>
      </c>
      <c r="N970" s="32">
        <v>129940800</v>
      </c>
      <c r="O970" s="32">
        <v>124129100</v>
      </c>
      <c r="P970" s="28" t="s">
        <v>34</v>
      </c>
      <c r="Q970" s="28" t="s">
        <v>1788</v>
      </c>
      <c r="R970" s="30">
        <v>46237</v>
      </c>
      <c r="S970" s="30">
        <v>46234</v>
      </c>
      <c r="T970" s="33"/>
      <c r="U970" s="34" t="str">
        <f>IFERROR(_xlfn.XLOOKUP(E970,[1]EMPREENDIMENTO!C:C,[1]EMPREENDIMENTO!D:D),"")</f>
        <v>F8CA32ED-13A7-E911-A878-0050568AA20F</v>
      </c>
    </row>
    <row r="971" spans="1:21" x14ac:dyDescent="0.35">
      <c r="A971" s="28" t="str">
        <f>IFERROR(_xlfn.XLOOKUP(C971,[1]DIRETORIA!C:C,[1]DIRETORIA!A:A),"-")</f>
        <v>DIR. COM E CRED SPI CP</v>
      </c>
      <c r="B971" s="28" t="str">
        <f>IFERROR(_xlfn.XLOOKUP(C971,[1]DIRETORIA!C:C,[1]DIRETORIA!B:B),"-")</f>
        <v>GST. COM CP3</v>
      </c>
      <c r="C971" s="28" t="str">
        <f>IFERROR(_xlfn.XLOOKUP(E971,[1]EMPREENDIMENTO!C:C,[1]EMPREENDIMENTO!A:A),"-")</f>
        <v>PIRACICABA</v>
      </c>
      <c r="D971" s="28" t="s">
        <v>85</v>
      </c>
      <c r="E971" s="28" t="s">
        <v>1786</v>
      </c>
      <c r="F971" s="28" t="s">
        <v>50</v>
      </c>
      <c r="G971" s="28" t="s">
        <v>268</v>
      </c>
      <c r="H971" s="28" t="s">
        <v>268</v>
      </c>
      <c r="I971" s="29">
        <f>IFERROR(_xlfn.XLOOKUP(E971,[1]EMPREENDIMENTO!C:C,[1]EMPREENDIMENTO!E:E),"0")</f>
        <v>480</v>
      </c>
      <c r="J971" s="30"/>
      <c r="K971" s="28" t="s">
        <v>33</v>
      </c>
      <c r="L971" s="31">
        <v>45880</v>
      </c>
      <c r="M971" s="32">
        <v>117432800</v>
      </c>
      <c r="N971" s="32">
        <v>129940800</v>
      </c>
      <c r="O971" s="32">
        <v>124129100</v>
      </c>
      <c r="P971" s="28" t="s">
        <v>34</v>
      </c>
      <c r="Q971" s="28" t="s">
        <v>1788</v>
      </c>
      <c r="R971" s="30">
        <v>46237</v>
      </c>
      <c r="S971" s="30">
        <v>46234</v>
      </c>
      <c r="T971" s="33"/>
      <c r="U971" s="34" t="str">
        <f>IFERROR(_xlfn.XLOOKUP(E971,[1]EMPREENDIMENTO!C:C,[1]EMPREENDIMENTO!D:D),"")</f>
        <v>F8CA32ED-13A7-E911-A878-0050568AA20F</v>
      </c>
    </row>
    <row r="972" spans="1:21" hidden="1" x14ac:dyDescent="0.35">
      <c r="A972" s="28" t="str">
        <f>IFERROR(_xlfn.XLOOKUP(C972,[1]DIRETORIA!C:C,[1]DIRETORIA!A:A),"-")</f>
        <v>DIR. COM E CRED NE</v>
      </c>
      <c r="B972" s="28" t="str">
        <f>IFERROR(_xlfn.XLOOKUP(C972,[1]DIRETORIA!C:C,[1]DIRETORIA!B:B),"-")</f>
        <v>GST. COM NE1 (BA 1)</v>
      </c>
      <c r="C972" s="28" t="str">
        <f>IFERROR(_xlfn.XLOOKUP(E972,[1]EMPREENDIMENTO!C:C,[1]EMPREENDIMENTO!A:A),"-")</f>
        <v>SALVADOR</v>
      </c>
      <c r="D972" s="28" t="s">
        <v>85</v>
      </c>
      <c r="E972" s="28" t="s">
        <v>1789</v>
      </c>
      <c r="F972" s="28" t="s">
        <v>42</v>
      </c>
      <c r="G972" s="28" t="s">
        <v>1790</v>
      </c>
      <c r="H972" s="28">
        <v>53054</v>
      </c>
      <c r="I972" s="29">
        <f>IFERROR(_xlfn.XLOOKUP(E972,[1]EMPREENDIMENTO!C:C,[1]EMPREENDIMENTO!E:E),"0")</f>
        <v>0</v>
      </c>
      <c r="J972" s="30"/>
      <c r="K972" s="28" t="s">
        <v>33</v>
      </c>
      <c r="L972" s="31">
        <v>45695</v>
      </c>
      <c r="M972" s="32">
        <v>84160000</v>
      </c>
      <c r="N972" s="32">
        <v>84160000</v>
      </c>
      <c r="O972" s="32">
        <v>80599700</v>
      </c>
      <c r="P972" s="28" t="s">
        <v>34</v>
      </c>
      <c r="Q972" s="28"/>
      <c r="R972" s="30"/>
      <c r="S972" s="30">
        <v>45698</v>
      </c>
      <c r="T972" s="33"/>
      <c r="U972" s="34" t="str">
        <f>IFERROR(_xlfn.XLOOKUP(E972,[1]EMPREENDIMENTO!C:C,[1]EMPREENDIMENTO!D:D),"")</f>
        <v>3B90E9ED-4910-EE11-9510-005056856875</v>
      </c>
    </row>
    <row r="973" spans="1:21" hidden="1" x14ac:dyDescent="0.35">
      <c r="A973" s="28" t="str">
        <f>IFERROR(_xlfn.XLOOKUP(C973,[1]DIRETORIA!C:C,[1]DIRETORIA!A:A),"-")</f>
        <v>DIR. COM E CRED CO E AM</v>
      </c>
      <c r="B973" s="28" t="str">
        <f>IFERROR(_xlfn.XLOOKUP(C973,[1]DIRETORIA!C:C,[1]DIRETORIA!B:B),"-")</f>
        <v>GST. COM GO</v>
      </c>
      <c r="C973" s="28" t="str">
        <f>IFERROR(_xlfn.XLOOKUP(E973,[1]EMPREENDIMENTO!C:C,[1]EMPREENDIMENTO!A:A),"-")</f>
        <v>ANÁPOLIS</v>
      </c>
      <c r="D973" s="28" t="s">
        <v>29</v>
      </c>
      <c r="E973" s="28" t="s">
        <v>1791</v>
      </c>
      <c r="F973" s="28" t="s">
        <v>31</v>
      </c>
      <c r="G973" s="28" t="s">
        <v>1792</v>
      </c>
      <c r="H973" s="28">
        <v>53453</v>
      </c>
      <c r="I973" s="29">
        <f>IFERROR(_xlfn.XLOOKUP(E973,[1]EMPREENDIMENTO!C:C,[1]EMPREENDIMENTO!E:E),"0")</f>
        <v>384</v>
      </c>
      <c r="J973" s="30"/>
      <c r="K973" s="28" t="s">
        <v>33</v>
      </c>
      <c r="L973" s="31">
        <v>46203</v>
      </c>
      <c r="M973" s="32">
        <v>105611400</v>
      </c>
      <c r="N973" s="32">
        <v>123444754</v>
      </c>
      <c r="O973" s="32">
        <v>113829080</v>
      </c>
      <c r="P973" s="28" t="s">
        <v>34</v>
      </c>
      <c r="Q973" s="28" t="s">
        <v>1793</v>
      </c>
      <c r="R973" s="30">
        <v>46205</v>
      </c>
      <c r="S973" s="30">
        <v>46111</v>
      </c>
      <c r="T973" s="33"/>
      <c r="U973" s="34" t="str">
        <f>IFERROR(_xlfn.XLOOKUP(E973,[1]EMPREENDIMENTO!C:C,[1]EMPREENDIMENTO!D:D),"")</f>
        <v>de9ba7cb-24c8-e911-8e73-0050568aa20f</v>
      </c>
    </row>
    <row r="974" spans="1:21" hidden="1" x14ac:dyDescent="0.35">
      <c r="A974" s="28" t="str">
        <f>IFERROR(_xlfn.XLOOKUP(C974,[1]DIRETORIA!C:C,[1]DIRETORIA!A:A),"-")</f>
        <v>DIR. COM E CRED CO E AM</v>
      </c>
      <c r="B974" s="28" t="str">
        <f>IFERROR(_xlfn.XLOOKUP(C974,[1]DIRETORIA!C:C,[1]DIRETORIA!B:B),"-")</f>
        <v>GST. COM GO</v>
      </c>
      <c r="C974" s="28" t="str">
        <f>IFERROR(_xlfn.XLOOKUP(E974,[1]EMPREENDIMENTO!C:C,[1]EMPREENDIMENTO!A:A),"-")</f>
        <v>ANÁPOLIS</v>
      </c>
      <c r="D974" s="28" t="s">
        <v>85</v>
      </c>
      <c r="E974" s="28" t="s">
        <v>1791</v>
      </c>
      <c r="F974" s="28" t="s">
        <v>36</v>
      </c>
      <c r="G974" s="28" t="s">
        <v>1794</v>
      </c>
      <c r="H974" s="28">
        <v>59082</v>
      </c>
      <c r="I974" s="29">
        <f>IFERROR(_xlfn.XLOOKUP(E974,[1]EMPREENDIMENTO!C:C,[1]EMPREENDIMENTO!E:E),"0")</f>
        <v>384</v>
      </c>
      <c r="J974" s="30"/>
      <c r="K974" s="28" t="s">
        <v>33</v>
      </c>
      <c r="L974" s="31">
        <v>46203</v>
      </c>
      <c r="M974" s="32">
        <v>105611400</v>
      </c>
      <c r="N974" s="32">
        <v>123444754</v>
      </c>
      <c r="O974" s="32">
        <v>113829080</v>
      </c>
      <c r="P974" s="28" t="s">
        <v>34</v>
      </c>
      <c r="Q974" s="28" t="s">
        <v>1793</v>
      </c>
      <c r="R974" s="30">
        <v>46205</v>
      </c>
      <c r="S974" s="30">
        <v>46111</v>
      </c>
      <c r="T974" s="33"/>
      <c r="U974" s="34" t="str">
        <f>IFERROR(_xlfn.XLOOKUP(E974,[1]EMPREENDIMENTO!C:C,[1]EMPREENDIMENTO!D:D),"")</f>
        <v>de9ba7cb-24c8-e911-8e73-0050568aa20f</v>
      </c>
    </row>
    <row r="975" spans="1:21" hidden="1" x14ac:dyDescent="0.35">
      <c r="A975" s="28" t="str">
        <f>IFERROR(_xlfn.XLOOKUP(C975,[1]DIRETORIA!C:C,[1]DIRETORIA!A:A),"-")</f>
        <v>DIR. COM E CRED CO E AM</v>
      </c>
      <c r="B975" s="28" t="str">
        <f>IFERROR(_xlfn.XLOOKUP(C975,[1]DIRETORIA!C:C,[1]DIRETORIA!B:B),"-")</f>
        <v>GST. COM GO</v>
      </c>
      <c r="C975" s="28" t="str">
        <f>IFERROR(_xlfn.XLOOKUP(E975,[1]EMPREENDIMENTO!C:C,[1]EMPREENDIMENTO!A:A),"-")</f>
        <v>GOIÂNIA</v>
      </c>
      <c r="D975" s="28" t="s">
        <v>29</v>
      </c>
      <c r="E975" s="28" t="s">
        <v>1795</v>
      </c>
      <c r="F975" s="28" t="s">
        <v>31</v>
      </c>
      <c r="G975" s="28" t="s">
        <v>1796</v>
      </c>
      <c r="H975" s="28">
        <v>53365</v>
      </c>
      <c r="I975" s="29">
        <f>IFERROR(_xlfn.XLOOKUP(E975,[1]EMPREENDIMENTO!C:C,[1]EMPREENDIMENTO!E:E),"0")</f>
        <v>256</v>
      </c>
      <c r="J975" s="30"/>
      <c r="K975" s="28" t="s">
        <v>33</v>
      </c>
      <c r="L975" s="31">
        <v>45740</v>
      </c>
      <c r="M975" s="32">
        <v>68606412</v>
      </c>
      <c r="N975" s="32">
        <v>68606412</v>
      </c>
      <c r="O975" s="32">
        <v>67805180</v>
      </c>
      <c r="P975" s="28" t="s">
        <v>34</v>
      </c>
      <c r="Q975" s="28">
        <v>629676</v>
      </c>
      <c r="R975" s="30">
        <v>45758</v>
      </c>
      <c r="S975" s="30">
        <v>45740</v>
      </c>
      <c r="T975" s="33"/>
      <c r="U975" s="34" t="str">
        <f>IFERROR(_xlfn.XLOOKUP(E975,[1]EMPREENDIMENTO!C:C,[1]EMPREENDIMENTO!D:D),"")</f>
        <v>a336219c-d7d8-eb11-930a-0050568aa20f</v>
      </c>
    </row>
    <row r="976" spans="1:21" hidden="1" x14ac:dyDescent="0.35">
      <c r="A976" s="28" t="str">
        <f>IFERROR(_xlfn.XLOOKUP(C976,[1]DIRETORIA!C:C,[1]DIRETORIA!A:A),"-")</f>
        <v>DIR. COM E CRED CO E AM</v>
      </c>
      <c r="B976" s="28" t="str">
        <f>IFERROR(_xlfn.XLOOKUP(C976,[1]DIRETORIA!C:C,[1]DIRETORIA!B:B),"-")</f>
        <v>GST. COM GO</v>
      </c>
      <c r="C976" s="28" t="str">
        <f>IFERROR(_xlfn.XLOOKUP(E976,[1]EMPREENDIMENTO!C:C,[1]EMPREENDIMENTO!A:A),"-")</f>
        <v>GOIÂNIA</v>
      </c>
      <c r="D976" s="28" t="s">
        <v>29</v>
      </c>
      <c r="E976" s="28" t="s">
        <v>1795</v>
      </c>
      <c r="F976" s="28" t="s">
        <v>36</v>
      </c>
      <c r="G976" s="28" t="s">
        <v>1797</v>
      </c>
      <c r="H976" s="28">
        <v>57806</v>
      </c>
      <c r="I976" s="29">
        <f>IFERROR(_xlfn.XLOOKUP(E976,[1]EMPREENDIMENTO!C:C,[1]EMPREENDIMENTO!E:E),"0")</f>
        <v>256</v>
      </c>
      <c r="J976" s="30"/>
      <c r="K976" s="28" t="s">
        <v>33</v>
      </c>
      <c r="L976" s="31">
        <v>45740</v>
      </c>
      <c r="M976" s="32">
        <v>68606412</v>
      </c>
      <c r="N976" s="32">
        <v>68606412</v>
      </c>
      <c r="O976" s="32">
        <v>67805180</v>
      </c>
      <c r="P976" s="28" t="s">
        <v>34</v>
      </c>
      <c r="Q976" s="28">
        <v>629676</v>
      </c>
      <c r="R976" s="30">
        <v>45758</v>
      </c>
      <c r="S976" s="30">
        <v>45740</v>
      </c>
      <c r="T976" s="33"/>
      <c r="U976" s="34" t="str">
        <f>IFERROR(_xlfn.XLOOKUP(E976,[1]EMPREENDIMENTO!C:C,[1]EMPREENDIMENTO!D:D),"")</f>
        <v>a336219c-d7d8-eb11-930a-0050568aa20f</v>
      </c>
    </row>
    <row r="977" spans="1:21" x14ac:dyDescent="0.35">
      <c r="A977" s="28" t="str">
        <f>IFERROR(_xlfn.XLOOKUP(C977,[1]DIRETORIA!C:C,[1]DIRETORIA!A:A),"-")</f>
        <v>DIR. COM E CRED SPI</v>
      </c>
      <c r="B977" s="28" t="str">
        <f>IFERROR(_xlfn.XLOOKUP(C977,[1]DIRETORIA!C:C,[1]DIRETORIA!B:B),"-")</f>
        <v>GST. COM RP 1</v>
      </c>
      <c r="C977" s="28" t="str">
        <f>IFERROR(_xlfn.XLOOKUP(E977,[1]EMPREENDIMENTO!C:C,[1]EMPREENDIMENTO!A:A),"-")</f>
        <v>RIBEIRÃO PRETO</v>
      </c>
      <c r="D977" s="28" t="s">
        <v>29</v>
      </c>
      <c r="E977" s="28" t="s">
        <v>1798</v>
      </c>
      <c r="F977" s="28" t="s">
        <v>31</v>
      </c>
      <c r="G977" s="28" t="s">
        <v>1799</v>
      </c>
      <c r="H977" s="28">
        <v>53475</v>
      </c>
      <c r="I977" s="29">
        <f>IFERROR(_xlfn.XLOOKUP(E977,[1]EMPREENDIMENTO!C:C,[1]EMPREENDIMENTO!E:E),"0")</f>
        <v>408</v>
      </c>
      <c r="J977" s="30"/>
      <c r="K977" s="28" t="s">
        <v>33</v>
      </c>
      <c r="L977" s="31">
        <v>46248</v>
      </c>
      <c r="M977" s="32">
        <v>134105052</v>
      </c>
      <c r="N977" s="32">
        <v>148723514</v>
      </c>
      <c r="O977" s="32">
        <v>148165514</v>
      </c>
      <c r="P977" s="28" t="s">
        <v>34</v>
      </c>
      <c r="Q977" s="28" t="s">
        <v>1800</v>
      </c>
      <c r="R977" s="30">
        <v>46258</v>
      </c>
      <c r="S977" s="30">
        <v>46248</v>
      </c>
      <c r="T977" s="33"/>
      <c r="U977" s="34" t="str">
        <f>IFERROR(_xlfn.XLOOKUP(E977,[1]EMPREENDIMENTO!C:C,[1]EMPREENDIMENTO!D:D),"")</f>
        <v>4229de6f-7bb5-e611-b1e9-009c02b0cb58</v>
      </c>
    </row>
    <row r="978" spans="1:21" x14ac:dyDescent="0.35">
      <c r="A978" s="28" t="str">
        <f>IFERROR(_xlfn.XLOOKUP(C978,[1]DIRETORIA!C:C,[1]DIRETORIA!A:A),"-")</f>
        <v>DIR. COM E CRED SPI</v>
      </c>
      <c r="B978" s="28" t="str">
        <f>IFERROR(_xlfn.XLOOKUP(C978,[1]DIRETORIA!C:C,[1]DIRETORIA!B:B),"-")</f>
        <v>GST. COM RP 1</v>
      </c>
      <c r="C978" s="28" t="str">
        <f>IFERROR(_xlfn.XLOOKUP(E978,[1]EMPREENDIMENTO!C:C,[1]EMPREENDIMENTO!A:A),"-")</f>
        <v>RIBEIRÃO PRETO</v>
      </c>
      <c r="D978" s="28" t="s">
        <v>29</v>
      </c>
      <c r="E978" s="28" t="s">
        <v>1798</v>
      </c>
      <c r="F978" s="28" t="s">
        <v>36</v>
      </c>
      <c r="G978" s="28" t="s">
        <v>1801</v>
      </c>
      <c r="H978" s="28">
        <v>63442</v>
      </c>
      <c r="I978" s="29">
        <f>IFERROR(_xlfn.XLOOKUP(E978,[1]EMPREENDIMENTO!C:C,[1]EMPREENDIMENTO!E:E),"0")</f>
        <v>408</v>
      </c>
      <c r="J978" s="30"/>
      <c r="K978" s="28" t="s">
        <v>33</v>
      </c>
      <c r="L978" s="31">
        <v>46248</v>
      </c>
      <c r="M978" s="32">
        <v>134105052</v>
      </c>
      <c r="N978" s="32">
        <v>148723514</v>
      </c>
      <c r="O978" s="32">
        <v>148165514</v>
      </c>
      <c r="P978" s="28" t="s">
        <v>34</v>
      </c>
      <c r="Q978" s="28" t="s">
        <v>1800</v>
      </c>
      <c r="R978" s="30">
        <v>46258</v>
      </c>
      <c r="S978" s="30">
        <v>46248</v>
      </c>
      <c r="T978" s="33"/>
      <c r="U978" s="34" t="str">
        <f>IFERROR(_xlfn.XLOOKUP(E978,[1]EMPREENDIMENTO!C:C,[1]EMPREENDIMENTO!D:D),"")</f>
        <v>4229de6f-7bb5-e611-b1e9-009c02b0cb58</v>
      </c>
    </row>
    <row r="979" spans="1:21" x14ac:dyDescent="0.35">
      <c r="A979" s="28" t="str">
        <f>IFERROR(_xlfn.XLOOKUP(C979,[1]DIRETORIA!C:C,[1]DIRETORIA!A:A),"-")</f>
        <v>DIR. COM E CRED SPI</v>
      </c>
      <c r="B979" s="28" t="str">
        <f>IFERROR(_xlfn.XLOOKUP(C979,[1]DIRETORIA!C:C,[1]DIRETORIA!B:B),"-")</f>
        <v>GST. COM RP 1</v>
      </c>
      <c r="C979" s="28" t="str">
        <f>IFERROR(_xlfn.XLOOKUP(E979,[1]EMPREENDIMENTO!C:C,[1]EMPREENDIMENTO!A:A),"-")</f>
        <v>RIBEIRÃO PRETO</v>
      </c>
      <c r="D979" s="28" t="s">
        <v>85</v>
      </c>
      <c r="E979" s="28" t="s">
        <v>1798</v>
      </c>
      <c r="F979" s="28" t="s">
        <v>39</v>
      </c>
      <c r="G979" s="28" t="s">
        <v>268</v>
      </c>
      <c r="H979" s="28" t="s">
        <v>268</v>
      </c>
      <c r="I979" s="29">
        <f>IFERROR(_xlfn.XLOOKUP(E979,[1]EMPREENDIMENTO!C:C,[1]EMPREENDIMENTO!E:E),"0")</f>
        <v>408</v>
      </c>
      <c r="J979" s="30"/>
      <c r="K979" s="28" t="s">
        <v>33</v>
      </c>
      <c r="L979" s="31">
        <v>46248</v>
      </c>
      <c r="M979" s="32">
        <v>134105052</v>
      </c>
      <c r="N979" s="32">
        <v>148723514</v>
      </c>
      <c r="O979" s="32">
        <v>148165514</v>
      </c>
      <c r="P979" s="28" t="s">
        <v>34</v>
      </c>
      <c r="Q979" s="28" t="s">
        <v>1800</v>
      </c>
      <c r="R979" s="30">
        <v>46258</v>
      </c>
      <c r="S979" s="30">
        <v>46248</v>
      </c>
      <c r="T979" s="33"/>
      <c r="U979" s="34" t="str">
        <f>IFERROR(_xlfn.XLOOKUP(E979,[1]EMPREENDIMENTO!C:C,[1]EMPREENDIMENTO!D:D),"")</f>
        <v>4229de6f-7bb5-e611-b1e9-009c02b0cb58</v>
      </c>
    </row>
    <row r="980" spans="1:21" x14ac:dyDescent="0.35">
      <c r="A980" s="28" t="str">
        <f>IFERROR(_xlfn.XLOOKUP(C980,[1]DIRETORIA!C:C,[1]DIRETORIA!A:A),"-")</f>
        <v>DIR. COM E CRED SPI CP</v>
      </c>
      <c r="B980" s="28" t="str">
        <f>IFERROR(_xlfn.XLOOKUP(C980,[1]DIRETORIA!C:C,[1]DIRETORIA!B:B),"-")</f>
        <v>GST. COM CP2</v>
      </c>
      <c r="C980" s="28" t="str">
        <f>IFERROR(_xlfn.XLOOKUP(E980,[1]EMPREENDIMENTO!C:C,[1]EMPREENDIMENTO!A:A),"-")</f>
        <v>JUNDIAÍ</v>
      </c>
      <c r="D980" s="28" t="s">
        <v>29</v>
      </c>
      <c r="E980" s="28" t="s">
        <v>1802</v>
      </c>
      <c r="F980" s="28" t="s">
        <v>42</v>
      </c>
      <c r="G980" s="28" t="s">
        <v>1803</v>
      </c>
      <c r="H980" s="28">
        <v>52763</v>
      </c>
      <c r="I980" s="29">
        <f>IFERROR(_xlfn.XLOOKUP(E980,[1]EMPREENDIMENTO!C:C,[1]EMPREENDIMENTO!E:E),"0")</f>
        <v>180</v>
      </c>
      <c r="J980" s="30"/>
      <c r="K980" s="28" t="s">
        <v>33</v>
      </c>
      <c r="L980" s="31">
        <v>46231</v>
      </c>
      <c r="M980" s="32">
        <v>69957900</v>
      </c>
      <c r="N980" s="32">
        <v>74038118</v>
      </c>
      <c r="O980" s="32">
        <v>71250961</v>
      </c>
      <c r="P980" s="28" t="s">
        <v>34</v>
      </c>
      <c r="Q980" s="28" t="s">
        <v>1804</v>
      </c>
      <c r="R980" s="30">
        <v>46234</v>
      </c>
      <c r="S980" s="30">
        <v>46231</v>
      </c>
      <c r="T980" s="33"/>
      <c r="U980" s="34" t="str">
        <f>IFERROR(_xlfn.XLOOKUP(E980,[1]EMPREENDIMENTO!C:C,[1]EMPREENDIMENTO!D:D),"")</f>
        <v>14c0afe5-a5f2-ee11-9e4d-009c02b0cb58</v>
      </c>
    </row>
    <row r="981" spans="1:21" hidden="1" x14ac:dyDescent="0.35">
      <c r="A981" s="28" t="str">
        <f>IFERROR(_xlfn.XLOOKUP(C981,[1]DIRETORIA!C:C,[1]DIRETORIA!A:A),"-")</f>
        <v>DIR. COM E CRED MG E ES</v>
      </c>
      <c r="B981" s="28" t="str">
        <f>IFERROR(_xlfn.XLOOKUP(C981,[1]DIRETORIA!C:C,[1]DIRETORIA!B:B),"-")</f>
        <v>GST. COM ES</v>
      </c>
      <c r="C981" s="28" t="str">
        <f>IFERROR(_xlfn.XLOOKUP(E981,[1]EMPREENDIMENTO!C:C,[1]EMPREENDIMENTO!A:A),"-")</f>
        <v>SERRA</v>
      </c>
      <c r="D981" s="28" t="s">
        <v>29</v>
      </c>
      <c r="E981" s="28" t="s">
        <v>1805</v>
      </c>
      <c r="F981" s="28" t="s">
        <v>31</v>
      </c>
      <c r="G981" s="28" t="s">
        <v>1806</v>
      </c>
      <c r="H981" s="28">
        <v>53484</v>
      </c>
      <c r="I981" s="29">
        <f>IFERROR(_xlfn.XLOOKUP(E981,[1]EMPREENDIMENTO!C:C,[1]EMPREENDIMENTO!E:E),"0")</f>
        <v>512</v>
      </c>
      <c r="J981" s="30"/>
      <c r="K981" s="28" t="s">
        <v>164</v>
      </c>
      <c r="L981" s="31">
        <v>46162</v>
      </c>
      <c r="M981" s="32">
        <v>133438340</v>
      </c>
      <c r="N981" s="32">
        <v>151887027</v>
      </c>
      <c r="O981" s="32">
        <v>139006800</v>
      </c>
      <c r="P981" s="28" t="s">
        <v>2</v>
      </c>
      <c r="Q981" s="28" t="s">
        <v>1807</v>
      </c>
      <c r="R981" s="30">
        <v>46286</v>
      </c>
      <c r="S981" s="30"/>
      <c r="T981" s="33"/>
      <c r="U981" s="34" t="str">
        <f>IFERROR(_xlfn.XLOOKUP(E981,[1]EMPREENDIMENTO!C:C,[1]EMPREENDIMENTO!D:D),"")</f>
        <v>26F7B9DB-5017-ED11-BA45-005056890018</v>
      </c>
    </row>
    <row r="982" spans="1:21" hidden="1" x14ac:dyDescent="0.35">
      <c r="A982" s="28" t="str">
        <f>IFERROR(_xlfn.XLOOKUP(C982,[1]DIRETORIA!C:C,[1]DIRETORIA!A:A),"-")</f>
        <v>DIR. COM E CRED MG E ES</v>
      </c>
      <c r="B982" s="28" t="str">
        <f>IFERROR(_xlfn.XLOOKUP(C982,[1]DIRETORIA!C:C,[1]DIRETORIA!B:B),"-")</f>
        <v>GST. COM ES</v>
      </c>
      <c r="C982" s="28" t="str">
        <f>IFERROR(_xlfn.XLOOKUP(E982,[1]EMPREENDIMENTO!C:C,[1]EMPREENDIMENTO!A:A),"-")</f>
        <v>SERRA</v>
      </c>
      <c r="D982" s="28" t="s">
        <v>29</v>
      </c>
      <c r="E982" s="28" t="s">
        <v>1805</v>
      </c>
      <c r="F982" s="28" t="s">
        <v>36</v>
      </c>
      <c r="G982" s="28" t="s">
        <v>1808</v>
      </c>
      <c r="H982" s="28">
        <v>56821</v>
      </c>
      <c r="I982" s="29">
        <f>IFERROR(_xlfn.XLOOKUP(E982,[1]EMPREENDIMENTO!C:C,[1]EMPREENDIMENTO!E:E),"0")</f>
        <v>512</v>
      </c>
      <c r="J982" s="30"/>
      <c r="K982" s="28" t="s">
        <v>164</v>
      </c>
      <c r="L982" s="31">
        <v>46162</v>
      </c>
      <c r="M982" s="32">
        <v>133438340</v>
      </c>
      <c r="N982" s="32">
        <v>151887027</v>
      </c>
      <c r="O982" s="32">
        <v>139006800</v>
      </c>
      <c r="P982" s="28" t="s">
        <v>2</v>
      </c>
      <c r="Q982" s="28" t="s">
        <v>1807</v>
      </c>
      <c r="R982" s="30">
        <v>46286</v>
      </c>
      <c r="S982" s="30"/>
      <c r="T982" s="33"/>
      <c r="U982" s="34" t="str">
        <f>IFERROR(_xlfn.XLOOKUP(E982,[1]EMPREENDIMENTO!C:C,[1]EMPREENDIMENTO!D:D),"")</f>
        <v>26F7B9DB-5017-ED11-BA45-005056890018</v>
      </c>
    </row>
    <row r="983" spans="1:21" hidden="1" x14ac:dyDescent="0.35">
      <c r="A983" s="28" t="str">
        <f>IFERROR(_xlfn.XLOOKUP(C983,[1]DIRETORIA!C:C,[1]DIRETORIA!A:A),"-")</f>
        <v>DIR. COM E CRED MG E ES</v>
      </c>
      <c r="B983" s="28" t="str">
        <f>IFERROR(_xlfn.XLOOKUP(C983,[1]DIRETORIA!C:C,[1]DIRETORIA!B:B),"-")</f>
        <v>GST. COM ES</v>
      </c>
      <c r="C983" s="28" t="str">
        <f>IFERROR(_xlfn.XLOOKUP(E983,[1]EMPREENDIMENTO!C:C,[1]EMPREENDIMENTO!A:A),"-")</f>
        <v>SERRA</v>
      </c>
      <c r="D983" s="28" t="s">
        <v>29</v>
      </c>
      <c r="E983" s="28" t="s">
        <v>1805</v>
      </c>
      <c r="F983" s="28" t="s">
        <v>39</v>
      </c>
      <c r="G983" s="28" t="s">
        <v>1809</v>
      </c>
      <c r="H983" s="28">
        <v>59745</v>
      </c>
      <c r="I983" s="29">
        <f>IFERROR(_xlfn.XLOOKUP(E983,[1]EMPREENDIMENTO!C:C,[1]EMPREENDIMENTO!E:E),"0")</f>
        <v>512</v>
      </c>
      <c r="J983" s="30"/>
      <c r="K983" s="28" t="s">
        <v>164</v>
      </c>
      <c r="L983" s="31">
        <v>46162</v>
      </c>
      <c r="M983" s="32">
        <v>133438340</v>
      </c>
      <c r="N983" s="32">
        <v>151887027</v>
      </c>
      <c r="O983" s="32">
        <v>139006800</v>
      </c>
      <c r="P983" s="28" t="s">
        <v>2</v>
      </c>
      <c r="Q983" s="28" t="s">
        <v>1807</v>
      </c>
      <c r="R983" s="30">
        <v>46286</v>
      </c>
      <c r="S983" s="30"/>
      <c r="T983" s="33"/>
      <c r="U983" s="34" t="str">
        <f>IFERROR(_xlfn.XLOOKUP(E983,[1]EMPREENDIMENTO!C:C,[1]EMPREENDIMENTO!D:D),"")</f>
        <v>26F7B9DB-5017-ED11-BA45-005056890018</v>
      </c>
    </row>
    <row r="984" spans="1:21" hidden="1" x14ac:dyDescent="0.35">
      <c r="A984" s="28" t="str">
        <f>IFERROR(_xlfn.XLOOKUP(C984,[1]DIRETORIA!C:C,[1]DIRETORIA!A:A),"-")</f>
        <v>DIR. COM E CRED CO E AM</v>
      </c>
      <c r="B984" s="28" t="str">
        <f>IFERROR(_xlfn.XLOOKUP(C984,[1]DIRETORIA!C:C,[1]DIRETORIA!B:B),"-")</f>
        <v>GST. COM TO</v>
      </c>
      <c r="C984" s="28" t="str">
        <f>IFERROR(_xlfn.XLOOKUP(E984,[1]EMPREENDIMENTO!C:C,[1]EMPREENDIMENTO!A:A),"-")</f>
        <v>PALMAS</v>
      </c>
      <c r="D984" s="28" t="s">
        <v>29</v>
      </c>
      <c r="E984" s="28" t="s">
        <v>1810</v>
      </c>
      <c r="F984" s="28" t="s">
        <v>31</v>
      </c>
      <c r="G984" s="28" t="s">
        <v>1811</v>
      </c>
      <c r="H984" s="28">
        <v>53615</v>
      </c>
      <c r="I984" s="29">
        <f>IFERROR(_xlfn.XLOOKUP(E984,[1]EMPREENDIMENTO!C:C,[1]EMPREENDIMENTO!E:E),"0")</f>
        <v>288</v>
      </c>
      <c r="J984" s="30"/>
      <c r="K984" s="28" t="s">
        <v>164</v>
      </c>
      <c r="L984" s="31">
        <v>46129</v>
      </c>
      <c r="M984" s="32">
        <v>92193300</v>
      </c>
      <c r="N984" s="32">
        <v>114437860</v>
      </c>
      <c r="O984" s="32">
        <v>99436470</v>
      </c>
      <c r="P984" s="28" t="s">
        <v>34</v>
      </c>
      <c r="Q984" s="28" t="s">
        <v>1812</v>
      </c>
      <c r="R984" s="30">
        <v>46132</v>
      </c>
      <c r="S984" s="30">
        <v>46132</v>
      </c>
      <c r="T984" s="33"/>
      <c r="U984" s="34" t="str">
        <f>IFERROR(_xlfn.XLOOKUP(E984,[1]EMPREENDIMENTO!C:C,[1]EMPREENDIMENTO!D:D),"")</f>
        <v>977810b8-a87a-ef11-b65c-009c02b0cb58</v>
      </c>
    </row>
    <row r="985" spans="1:21" hidden="1" x14ac:dyDescent="0.35">
      <c r="A985" s="28" t="str">
        <f>IFERROR(_xlfn.XLOOKUP(C985,[1]DIRETORIA!C:C,[1]DIRETORIA!A:A),"-")</f>
        <v>DIR. COM E CRED CO E AM</v>
      </c>
      <c r="B985" s="28" t="str">
        <f>IFERROR(_xlfn.XLOOKUP(C985,[1]DIRETORIA!C:C,[1]DIRETORIA!B:B),"-")</f>
        <v>GST. COM TO</v>
      </c>
      <c r="C985" s="28" t="str">
        <f>IFERROR(_xlfn.XLOOKUP(E985,[1]EMPREENDIMENTO!C:C,[1]EMPREENDIMENTO!A:A),"-")</f>
        <v>PALMAS</v>
      </c>
      <c r="D985" s="28" t="s">
        <v>29</v>
      </c>
      <c r="E985" s="28" t="s">
        <v>1810</v>
      </c>
      <c r="F985" s="28" t="s">
        <v>36</v>
      </c>
      <c r="G985" s="28" t="s">
        <v>1813</v>
      </c>
      <c r="H985" s="28">
        <v>59527</v>
      </c>
      <c r="I985" s="29">
        <f>IFERROR(_xlfn.XLOOKUP(E985,[1]EMPREENDIMENTO!C:C,[1]EMPREENDIMENTO!E:E),"0")</f>
        <v>288</v>
      </c>
      <c r="J985" s="30"/>
      <c r="K985" s="28" t="s">
        <v>164</v>
      </c>
      <c r="L985" s="31">
        <v>46129</v>
      </c>
      <c r="M985" s="32">
        <v>92193300</v>
      </c>
      <c r="N985" s="32">
        <v>114437860</v>
      </c>
      <c r="O985" s="32">
        <v>99436470</v>
      </c>
      <c r="P985" s="28" t="s">
        <v>34</v>
      </c>
      <c r="Q985" s="28" t="s">
        <v>1812</v>
      </c>
      <c r="R985" s="30">
        <v>46132</v>
      </c>
      <c r="S985" s="30">
        <v>46132</v>
      </c>
      <c r="T985" s="33"/>
      <c r="U985" s="34" t="str">
        <f>IFERROR(_xlfn.XLOOKUP(E985,[1]EMPREENDIMENTO!C:C,[1]EMPREENDIMENTO!D:D),"")</f>
        <v>977810b8-a87a-ef11-b65c-009c02b0cb58</v>
      </c>
    </row>
    <row r="986" spans="1:21" hidden="1" x14ac:dyDescent="0.35">
      <c r="A986" s="28" t="str">
        <f>IFERROR(_xlfn.XLOOKUP(C986,[1]DIRETORIA!C:C,[1]DIRETORIA!A:A),"-")</f>
        <v>DIR. COM E CRED MG E ES</v>
      </c>
      <c r="B986" s="28" t="str">
        <f>IFERROR(_xlfn.XLOOKUP(C986,[1]DIRETORIA!C:C,[1]DIRETORIA!B:B),"-")</f>
        <v>GST. COM BH E INT</v>
      </c>
      <c r="C986" s="28" t="str">
        <f>IFERROR(_xlfn.XLOOKUP(E986,[1]EMPREENDIMENTO!C:C,[1]EMPREENDIMENTO!A:A),"-")</f>
        <v>BELO HORIZONTE</v>
      </c>
      <c r="D986" s="28" t="s">
        <v>29</v>
      </c>
      <c r="E986" s="28" t="s">
        <v>1814</v>
      </c>
      <c r="F986" s="28" t="s">
        <v>42</v>
      </c>
      <c r="G986" s="28" t="s">
        <v>1815</v>
      </c>
      <c r="H986" s="28">
        <v>53625</v>
      </c>
      <c r="I986" s="29">
        <f>IFERROR(_xlfn.XLOOKUP(E986,[1]EMPREENDIMENTO!C:C,[1]EMPREENDIMENTO!E:E),"0")</f>
        <v>160</v>
      </c>
      <c r="J986" s="30"/>
      <c r="K986" s="28" t="s">
        <v>164</v>
      </c>
      <c r="L986" s="31">
        <v>46261</v>
      </c>
      <c r="M986" s="32">
        <v>92470000</v>
      </c>
      <c r="N986" s="32">
        <v>100301979</v>
      </c>
      <c r="O986" s="32">
        <v>96508475</v>
      </c>
      <c r="P986" s="28" t="s">
        <v>34</v>
      </c>
      <c r="Q986" s="28" t="s">
        <v>1816</v>
      </c>
      <c r="R986" s="30">
        <v>46265</v>
      </c>
      <c r="S986" s="30">
        <v>46262</v>
      </c>
      <c r="T986" s="33"/>
      <c r="U986" s="34" t="str">
        <f>IFERROR(_xlfn.XLOOKUP(E986,[1]EMPREENDIMENTO!C:C,[1]EMPREENDIMENTO!D:D),"")</f>
        <v>854d8ef9-1f62-ee11-8acd-80c16e075108</v>
      </c>
    </row>
    <row r="987" spans="1:21" hidden="1" x14ac:dyDescent="0.35">
      <c r="A987" s="28" t="str">
        <f>IFERROR(_xlfn.XLOOKUP(C987,[1]DIRETORIA!C:C,[1]DIRETORIA!A:A),"-")</f>
        <v>DIR. COM E CRED SP E VL</v>
      </c>
      <c r="B987" s="28" t="str">
        <f>IFERROR(_xlfn.XLOOKUP(C987,[1]DIRETORIA!C:C,[1]DIRETORIA!B:B),"-")</f>
        <v>GST. COM SP2</v>
      </c>
      <c r="C987" s="28" t="str">
        <f>IFERROR(_xlfn.XLOOKUP(E987,[1]EMPREENDIMENTO!C:C,[1]EMPREENDIMENTO!A:A),"-")</f>
        <v>SÃO PAULO</v>
      </c>
      <c r="D987" s="28" t="s">
        <v>29</v>
      </c>
      <c r="E987" s="28" t="s">
        <v>1817</v>
      </c>
      <c r="F987" s="28" t="s">
        <v>31</v>
      </c>
      <c r="G987" s="28" t="s">
        <v>1818</v>
      </c>
      <c r="H987" s="28">
        <v>53240</v>
      </c>
      <c r="I987" s="29">
        <f>IFERROR(_xlfn.XLOOKUP(E987,[1]EMPREENDIMENTO!C:C,[1]EMPREENDIMENTO!E:E),"0")</f>
        <v>480</v>
      </c>
      <c r="J987" s="30"/>
      <c r="K987" s="28" t="s">
        <v>33</v>
      </c>
      <c r="L987" s="31">
        <v>46079</v>
      </c>
      <c r="M987" s="32">
        <v>127822000</v>
      </c>
      <c r="N987" s="32">
        <v>133272298</v>
      </c>
      <c r="O987" s="32">
        <v>131379944</v>
      </c>
      <c r="P987" s="28" t="s">
        <v>34</v>
      </c>
      <c r="Q987" s="28" t="s">
        <v>1819</v>
      </c>
      <c r="R987" s="30">
        <v>46083</v>
      </c>
      <c r="S987" s="30">
        <v>46079</v>
      </c>
      <c r="T987" s="33"/>
      <c r="U987" s="34" t="str">
        <f>IFERROR(_xlfn.XLOOKUP(E987,[1]EMPREENDIMENTO!C:C,[1]EMPREENDIMENTO!D:D),"")</f>
        <v>514a7ec1-7230-ee11-8acd-80c16e075108</v>
      </c>
    </row>
    <row r="988" spans="1:21" hidden="1" x14ac:dyDescent="0.35">
      <c r="A988" s="28" t="str">
        <f>IFERROR(_xlfn.XLOOKUP(C988,[1]DIRETORIA!C:C,[1]DIRETORIA!A:A),"-")</f>
        <v>DIR. COM E CRED SP E VL</v>
      </c>
      <c r="B988" s="28" t="str">
        <f>IFERROR(_xlfn.XLOOKUP(C988,[1]DIRETORIA!C:C,[1]DIRETORIA!B:B),"-")</f>
        <v>GST. COM SP2</v>
      </c>
      <c r="C988" s="28" t="str">
        <f>IFERROR(_xlfn.XLOOKUP(E988,[1]EMPREENDIMENTO!C:C,[1]EMPREENDIMENTO!A:A),"-")</f>
        <v>SÃO PAULO</v>
      </c>
      <c r="D988" s="28" t="s">
        <v>29</v>
      </c>
      <c r="E988" s="28" t="s">
        <v>1817</v>
      </c>
      <c r="F988" s="28" t="s">
        <v>36</v>
      </c>
      <c r="G988" s="28" t="s">
        <v>1820</v>
      </c>
      <c r="H988" s="28">
        <v>57976</v>
      </c>
      <c r="I988" s="29">
        <f>IFERROR(_xlfn.XLOOKUP(E988,[1]EMPREENDIMENTO!C:C,[1]EMPREENDIMENTO!E:E),"0")</f>
        <v>480</v>
      </c>
      <c r="J988" s="30"/>
      <c r="K988" s="28" t="s">
        <v>33</v>
      </c>
      <c r="L988" s="31">
        <v>46079</v>
      </c>
      <c r="M988" s="32">
        <v>127822000</v>
      </c>
      <c r="N988" s="32">
        <v>133272298</v>
      </c>
      <c r="O988" s="32">
        <v>131379944</v>
      </c>
      <c r="P988" s="28" t="s">
        <v>34</v>
      </c>
      <c r="Q988" s="28" t="s">
        <v>1819</v>
      </c>
      <c r="R988" s="30">
        <v>46083</v>
      </c>
      <c r="S988" s="30">
        <v>46079</v>
      </c>
      <c r="T988" s="33"/>
      <c r="U988" s="34" t="str">
        <f>IFERROR(_xlfn.XLOOKUP(E988,[1]EMPREENDIMENTO!C:C,[1]EMPREENDIMENTO!D:D),"")</f>
        <v>514a7ec1-7230-ee11-8acd-80c16e075108</v>
      </c>
    </row>
    <row r="989" spans="1:21" hidden="1" x14ac:dyDescent="0.35">
      <c r="A989" s="28" t="str">
        <f>IFERROR(_xlfn.XLOOKUP(C989,[1]DIRETORIA!C:C,[1]DIRETORIA!A:A),"-")</f>
        <v>DIR. COM E CRED SUL</v>
      </c>
      <c r="B989" s="28" t="str">
        <f>IFERROR(_xlfn.XLOOKUP(C989,[1]DIRETORIA!C:C,[1]DIRETORIA!B:B),"-")</f>
        <v>GST. COM RS NORTE</v>
      </c>
      <c r="C989" s="28" t="str">
        <f>IFERROR(_xlfn.XLOOKUP(E989,[1]EMPREENDIMENTO!C:C,[1]EMPREENDIMENTO!A:A),"-")</f>
        <v>SÃO LEOPOLDO</v>
      </c>
      <c r="D989" s="28" t="s">
        <v>29</v>
      </c>
      <c r="E989" s="28" t="s">
        <v>1821</v>
      </c>
      <c r="F989" s="28" t="s">
        <v>31</v>
      </c>
      <c r="G989" s="28" t="s">
        <v>1822</v>
      </c>
      <c r="H989" s="28">
        <v>53735</v>
      </c>
      <c r="I989" s="29">
        <f>IFERROR(_xlfn.XLOOKUP(E989,[1]EMPREENDIMENTO!C:C,[1]EMPREENDIMENTO!E:E),"0")</f>
        <v>480</v>
      </c>
      <c r="J989" s="30"/>
      <c r="K989" s="28" t="s">
        <v>33</v>
      </c>
      <c r="L989" s="31">
        <v>46007</v>
      </c>
      <c r="M989" s="32">
        <v>109606000</v>
      </c>
      <c r="N989" s="32">
        <v>112894180</v>
      </c>
      <c r="O989" s="32">
        <v>110571000</v>
      </c>
      <c r="P989" s="28" t="s">
        <v>34</v>
      </c>
      <c r="Q989" s="28">
        <v>768681</v>
      </c>
      <c r="R989" s="30">
        <v>46027</v>
      </c>
      <c r="S989" s="30">
        <v>46008</v>
      </c>
      <c r="T989" s="33"/>
      <c r="U989" s="34" t="str">
        <f>IFERROR(_xlfn.XLOOKUP(E989,[1]EMPREENDIMENTO!C:C,[1]EMPREENDIMENTO!D:D),"")</f>
        <v>04501323-ADF2-EE11-9E4D-009C02B0CB58</v>
      </c>
    </row>
    <row r="990" spans="1:21" hidden="1" x14ac:dyDescent="0.35">
      <c r="A990" s="28" t="str">
        <f>IFERROR(_xlfn.XLOOKUP(C990,[1]DIRETORIA!C:C,[1]DIRETORIA!A:A),"-")</f>
        <v>DIR. COM E CRED SUL</v>
      </c>
      <c r="B990" s="28" t="str">
        <f>IFERROR(_xlfn.XLOOKUP(C990,[1]DIRETORIA!C:C,[1]DIRETORIA!B:B),"-")</f>
        <v>GST. COM RS NORTE</v>
      </c>
      <c r="C990" s="28" t="str">
        <f>IFERROR(_xlfn.XLOOKUP(E990,[1]EMPREENDIMENTO!C:C,[1]EMPREENDIMENTO!A:A),"-")</f>
        <v>SÃO LEOPOLDO</v>
      </c>
      <c r="D990" s="28" t="s">
        <v>85</v>
      </c>
      <c r="E990" s="28" t="s">
        <v>1821</v>
      </c>
      <c r="F990" s="28" t="s">
        <v>36</v>
      </c>
      <c r="G990" s="28" t="s">
        <v>268</v>
      </c>
      <c r="H990" s="28">
        <v>67247</v>
      </c>
      <c r="I990" s="29">
        <f>IFERROR(_xlfn.XLOOKUP(E990,[1]EMPREENDIMENTO!C:C,[1]EMPREENDIMENTO!E:E),"0")</f>
        <v>480</v>
      </c>
      <c r="J990" s="30"/>
      <c r="K990" s="28" t="s">
        <v>33</v>
      </c>
      <c r="L990" s="31">
        <v>46007</v>
      </c>
      <c r="M990" s="32">
        <v>109606000</v>
      </c>
      <c r="N990" s="32">
        <v>112894180</v>
      </c>
      <c r="O990" s="32">
        <v>110571000</v>
      </c>
      <c r="P990" s="28" t="s">
        <v>34</v>
      </c>
      <c r="Q990" s="28">
        <v>768681</v>
      </c>
      <c r="R990" s="30">
        <v>46027</v>
      </c>
      <c r="S990" s="30">
        <v>46008</v>
      </c>
      <c r="T990" s="33"/>
      <c r="U990" s="34" t="str">
        <f>IFERROR(_xlfn.XLOOKUP(E990,[1]EMPREENDIMENTO!C:C,[1]EMPREENDIMENTO!D:D),"")</f>
        <v>04501323-ADF2-EE11-9E4D-009C02B0CB58</v>
      </c>
    </row>
    <row r="991" spans="1:21" hidden="1" x14ac:dyDescent="0.35">
      <c r="A991" s="28" t="str">
        <f>IFERROR(_xlfn.XLOOKUP(C991,[1]DIRETORIA!C:C,[1]DIRETORIA!A:A),"-")</f>
        <v>DIR. COM E CRED SUL</v>
      </c>
      <c r="B991" s="28" t="str">
        <f>IFERROR(_xlfn.XLOOKUP(C991,[1]DIRETORIA!C:C,[1]DIRETORIA!B:B),"-")</f>
        <v>GST. COM RS NORTE</v>
      </c>
      <c r="C991" s="28" t="str">
        <f>IFERROR(_xlfn.XLOOKUP(E991,[1]EMPREENDIMENTO!C:C,[1]EMPREENDIMENTO!A:A),"-")</f>
        <v>SÃO LEOPOLDO</v>
      </c>
      <c r="D991" s="28" t="s">
        <v>85</v>
      </c>
      <c r="E991" s="28" t="s">
        <v>1821</v>
      </c>
      <c r="F991" s="28" t="s">
        <v>39</v>
      </c>
      <c r="G991" s="28" t="s">
        <v>268</v>
      </c>
      <c r="H991" s="28">
        <v>67248</v>
      </c>
      <c r="I991" s="29">
        <f>IFERROR(_xlfn.XLOOKUP(E991,[1]EMPREENDIMENTO!C:C,[1]EMPREENDIMENTO!E:E),"0")</f>
        <v>480</v>
      </c>
      <c r="J991" s="30"/>
      <c r="K991" s="28" t="s">
        <v>33</v>
      </c>
      <c r="L991" s="31">
        <v>46007</v>
      </c>
      <c r="M991" s="32">
        <v>109606000</v>
      </c>
      <c r="N991" s="32">
        <v>112894180</v>
      </c>
      <c r="O991" s="32">
        <v>110571000</v>
      </c>
      <c r="P991" s="28" t="s">
        <v>34</v>
      </c>
      <c r="Q991" s="28">
        <v>768681</v>
      </c>
      <c r="R991" s="30">
        <v>46027</v>
      </c>
      <c r="S991" s="30">
        <v>46008</v>
      </c>
      <c r="T991" s="33"/>
      <c r="U991" s="34" t="str">
        <f>IFERROR(_xlfn.XLOOKUP(E991,[1]EMPREENDIMENTO!C:C,[1]EMPREENDIMENTO!D:D),"")</f>
        <v>04501323-ADF2-EE11-9E4D-009C02B0CB58</v>
      </c>
    </row>
    <row r="992" spans="1:21" x14ac:dyDescent="0.35">
      <c r="A992" s="28" t="str">
        <f>IFERROR(_xlfn.XLOOKUP(C992,[1]DIRETORIA!C:C,[1]DIRETORIA!A:A),"-")</f>
        <v>DIR. COM E CRED SPI</v>
      </c>
      <c r="B992" s="28" t="str">
        <f>IFERROR(_xlfn.XLOOKUP(C992,[1]DIRETORIA!C:C,[1]DIRETORIA!B:B),"-")</f>
        <v>GST. COM RP 1</v>
      </c>
      <c r="C992" s="28" t="str">
        <f>IFERROR(_xlfn.XLOOKUP(E992,[1]EMPREENDIMENTO!C:C,[1]EMPREENDIMENTO!A:A),"-")</f>
        <v>RIBEIRÃO PRETO</v>
      </c>
      <c r="D992" s="28" t="s">
        <v>85</v>
      </c>
      <c r="E992" s="28" t="s">
        <v>1823</v>
      </c>
      <c r="F992" s="28" t="s">
        <v>1444</v>
      </c>
      <c r="G992" s="28" t="s">
        <v>1824</v>
      </c>
      <c r="H992" s="28">
        <v>53570</v>
      </c>
      <c r="I992" s="29">
        <f>IFERROR(_xlfn.XLOOKUP(E992,[1]EMPREENDIMENTO!C:C,[1]EMPREENDIMENTO!E:E),"0")</f>
        <v>320</v>
      </c>
      <c r="J992" s="30"/>
      <c r="K992" s="28" t="s">
        <v>33</v>
      </c>
      <c r="L992" s="31">
        <v>45722</v>
      </c>
      <c r="M992" s="32">
        <v>170658933</v>
      </c>
      <c r="N992" s="32">
        <v>170658933</v>
      </c>
      <c r="O992" s="32">
        <v>165395204</v>
      </c>
      <c r="P992" s="28" t="s">
        <v>34</v>
      </c>
      <c r="Q992" s="28"/>
      <c r="R992" s="30"/>
      <c r="S992" s="30">
        <v>45726</v>
      </c>
      <c r="T992" s="33"/>
      <c r="U992" s="34" t="str">
        <f>IFERROR(_xlfn.XLOOKUP(E992,[1]EMPREENDIMENTO!C:C,[1]EMPREENDIMENTO!D:D),"")</f>
        <v>b4126abc-7cb5-e611-b1e9-009c02b0cb58</v>
      </c>
    </row>
    <row r="993" spans="1:21" hidden="1" x14ac:dyDescent="0.35">
      <c r="A993" s="28" t="str">
        <f>IFERROR(_xlfn.XLOOKUP(C993,[1]DIRETORIA!C:C,[1]DIRETORIA!A:A),"-")</f>
        <v>DIR. COM E CRED SP E VL</v>
      </c>
      <c r="B993" s="28" t="str">
        <f>IFERROR(_xlfn.XLOOKUP(C993,[1]DIRETORIA!C:C,[1]DIRETORIA!B:B),"-")</f>
        <v>GST. COM SP2</v>
      </c>
      <c r="C993" s="28" t="str">
        <f>IFERROR(_xlfn.XLOOKUP(E993,[1]EMPREENDIMENTO!C:C,[1]EMPREENDIMENTO!A:A),"-")</f>
        <v>SÃO PAULO</v>
      </c>
      <c r="D993" s="28" t="s">
        <v>29</v>
      </c>
      <c r="E993" s="28" t="s">
        <v>1825</v>
      </c>
      <c r="F993" s="28" t="s">
        <v>31</v>
      </c>
      <c r="G993" s="28" t="s">
        <v>1826</v>
      </c>
      <c r="H993" s="28">
        <v>53311</v>
      </c>
      <c r="I993" s="29">
        <f>IFERROR(_xlfn.XLOOKUP(E993,[1]EMPREENDIMENTO!C:C,[1]EMPREENDIMENTO!E:E),"0")</f>
        <v>560</v>
      </c>
      <c r="J993" s="30"/>
      <c r="K993" s="28" t="s">
        <v>33</v>
      </c>
      <c r="L993" s="31">
        <v>46071</v>
      </c>
      <c r="M993" s="32">
        <v>177820000</v>
      </c>
      <c r="N993" s="32">
        <v>196726364</v>
      </c>
      <c r="O993" s="32">
        <v>181413750</v>
      </c>
      <c r="P993" s="28" t="s">
        <v>34</v>
      </c>
      <c r="Q993" s="28" t="s">
        <v>1827</v>
      </c>
      <c r="R993" s="30">
        <v>46073</v>
      </c>
      <c r="S993" s="30">
        <v>46071</v>
      </c>
      <c r="T993" s="33"/>
      <c r="U993" s="34" t="str">
        <f>IFERROR(_xlfn.XLOOKUP(E993,[1]EMPREENDIMENTO!C:C,[1]EMPREENDIMENTO!D:D),"")</f>
        <v>f8cb0b6f-50eb-ec11-ba45-005056890018</v>
      </c>
    </row>
    <row r="994" spans="1:21" hidden="1" x14ac:dyDescent="0.35">
      <c r="A994" s="28" t="str">
        <f>IFERROR(_xlfn.XLOOKUP(C994,[1]DIRETORIA!C:C,[1]DIRETORIA!A:A),"-")</f>
        <v>DIR. COM E CRED SP E VL</v>
      </c>
      <c r="B994" s="28" t="str">
        <f>IFERROR(_xlfn.XLOOKUP(C994,[1]DIRETORIA!C:C,[1]DIRETORIA!B:B),"-")</f>
        <v>GST. COM SP2</v>
      </c>
      <c r="C994" s="28" t="str">
        <f>IFERROR(_xlfn.XLOOKUP(E994,[1]EMPREENDIMENTO!C:C,[1]EMPREENDIMENTO!A:A),"-")</f>
        <v>SÃO PAULO</v>
      </c>
      <c r="D994" s="28" t="s">
        <v>85</v>
      </c>
      <c r="E994" s="28" t="s">
        <v>1825</v>
      </c>
      <c r="F994" s="28" t="s">
        <v>36</v>
      </c>
      <c r="G994" s="28" t="s">
        <v>1828</v>
      </c>
      <c r="H994" s="28">
        <v>59362</v>
      </c>
      <c r="I994" s="29">
        <f>IFERROR(_xlfn.XLOOKUP(E994,[1]EMPREENDIMENTO!C:C,[1]EMPREENDIMENTO!E:E),"0")</f>
        <v>560</v>
      </c>
      <c r="J994" s="30"/>
      <c r="K994" s="28" t="s">
        <v>33</v>
      </c>
      <c r="L994" s="31">
        <v>46071</v>
      </c>
      <c r="M994" s="32">
        <v>177820000</v>
      </c>
      <c r="N994" s="32">
        <v>196726364</v>
      </c>
      <c r="O994" s="32">
        <v>181413750</v>
      </c>
      <c r="P994" s="28" t="s">
        <v>34</v>
      </c>
      <c r="Q994" s="28" t="s">
        <v>1827</v>
      </c>
      <c r="R994" s="30">
        <v>46073</v>
      </c>
      <c r="S994" s="30">
        <v>46071</v>
      </c>
      <c r="T994" s="33"/>
      <c r="U994" s="34" t="str">
        <f>IFERROR(_xlfn.XLOOKUP(E994,[1]EMPREENDIMENTO!C:C,[1]EMPREENDIMENTO!D:D),"")</f>
        <v>f8cb0b6f-50eb-ec11-ba45-005056890018</v>
      </c>
    </row>
    <row r="995" spans="1:21" hidden="1" x14ac:dyDescent="0.35">
      <c r="A995" s="28" t="str">
        <f>IFERROR(_xlfn.XLOOKUP(C995,[1]DIRETORIA!C:C,[1]DIRETORIA!A:A),"-")</f>
        <v>DIR. COM E CRED SP E VL</v>
      </c>
      <c r="B995" s="28" t="str">
        <f>IFERROR(_xlfn.XLOOKUP(C995,[1]DIRETORIA!C:C,[1]DIRETORIA!B:B),"-")</f>
        <v>GST. COM SP2</v>
      </c>
      <c r="C995" s="28" t="str">
        <f>IFERROR(_xlfn.XLOOKUP(E995,[1]EMPREENDIMENTO!C:C,[1]EMPREENDIMENTO!A:A),"-")</f>
        <v>SÃO PAULO</v>
      </c>
      <c r="D995" s="28" t="s">
        <v>85</v>
      </c>
      <c r="E995" s="28" t="s">
        <v>1825</v>
      </c>
      <c r="F995" s="28" t="s">
        <v>39</v>
      </c>
      <c r="G995" s="28" t="s">
        <v>268</v>
      </c>
      <c r="H995" s="28">
        <v>59370</v>
      </c>
      <c r="I995" s="29">
        <f>IFERROR(_xlfn.XLOOKUP(E995,[1]EMPREENDIMENTO!C:C,[1]EMPREENDIMENTO!E:E),"0")</f>
        <v>560</v>
      </c>
      <c r="J995" s="30"/>
      <c r="K995" s="28" t="s">
        <v>33</v>
      </c>
      <c r="L995" s="31">
        <v>46071</v>
      </c>
      <c r="M995" s="32">
        <v>177820000</v>
      </c>
      <c r="N995" s="32">
        <v>196726364</v>
      </c>
      <c r="O995" s="32">
        <v>181413750</v>
      </c>
      <c r="P995" s="28" t="s">
        <v>34</v>
      </c>
      <c r="Q995" s="28" t="s">
        <v>1827</v>
      </c>
      <c r="R995" s="30">
        <v>46073</v>
      </c>
      <c r="S995" s="30">
        <v>46071</v>
      </c>
      <c r="T995" s="33"/>
      <c r="U995" s="34" t="str">
        <f>IFERROR(_xlfn.XLOOKUP(E995,[1]EMPREENDIMENTO!C:C,[1]EMPREENDIMENTO!D:D),"")</f>
        <v>f8cb0b6f-50eb-ec11-ba45-005056890018</v>
      </c>
    </row>
    <row r="996" spans="1:21" hidden="1" x14ac:dyDescent="0.35">
      <c r="A996" s="28" t="str">
        <f>IFERROR(_xlfn.XLOOKUP(C996,[1]DIRETORIA!C:C,[1]DIRETORIA!A:A),"-")</f>
        <v>DIR. COM E CRED SP E VL</v>
      </c>
      <c r="B996" s="28" t="str">
        <f>IFERROR(_xlfn.XLOOKUP(C996,[1]DIRETORIA!C:C,[1]DIRETORIA!B:B),"-")</f>
        <v>GST. COM SP2</v>
      </c>
      <c r="C996" s="28" t="str">
        <f>IFERROR(_xlfn.XLOOKUP(E996,[1]EMPREENDIMENTO!C:C,[1]EMPREENDIMENTO!A:A),"-")</f>
        <v>SÃO PAULO</v>
      </c>
      <c r="D996" s="28" t="s">
        <v>85</v>
      </c>
      <c r="E996" s="28" t="s">
        <v>1825</v>
      </c>
      <c r="F996" s="28" t="s">
        <v>50</v>
      </c>
      <c r="G996" s="28" t="s">
        <v>268</v>
      </c>
      <c r="H996" s="28">
        <v>59372</v>
      </c>
      <c r="I996" s="29">
        <f>IFERROR(_xlfn.XLOOKUP(E996,[1]EMPREENDIMENTO!C:C,[1]EMPREENDIMENTO!E:E),"0")</f>
        <v>560</v>
      </c>
      <c r="J996" s="30"/>
      <c r="K996" s="28" t="s">
        <v>33</v>
      </c>
      <c r="L996" s="31">
        <v>46071</v>
      </c>
      <c r="M996" s="32">
        <v>177820000</v>
      </c>
      <c r="N996" s="32">
        <v>196726364</v>
      </c>
      <c r="O996" s="32">
        <v>181413750</v>
      </c>
      <c r="P996" s="28" t="s">
        <v>34</v>
      </c>
      <c r="Q996" s="28" t="s">
        <v>1827</v>
      </c>
      <c r="R996" s="30">
        <v>46073</v>
      </c>
      <c r="S996" s="30">
        <v>46071</v>
      </c>
      <c r="T996" s="33"/>
      <c r="U996" s="34" t="str">
        <f>IFERROR(_xlfn.XLOOKUP(E996,[1]EMPREENDIMENTO!C:C,[1]EMPREENDIMENTO!D:D),"")</f>
        <v>f8cb0b6f-50eb-ec11-ba45-005056890018</v>
      </c>
    </row>
    <row r="997" spans="1:21" hidden="1" x14ac:dyDescent="0.35">
      <c r="A997" s="28" t="str">
        <f>IFERROR(_xlfn.XLOOKUP(C997,[1]DIRETORIA!C:C,[1]DIRETORIA!A:A),"-")</f>
        <v>DIR. COM E CRED MG E ES</v>
      </c>
      <c r="B997" s="28" t="str">
        <f>IFERROR(_xlfn.XLOOKUP(C997,[1]DIRETORIA!C:C,[1]DIRETORIA!B:B),"-")</f>
        <v>GST. COM BH E INT</v>
      </c>
      <c r="C997" s="28" t="str">
        <f>IFERROR(_xlfn.XLOOKUP(E997,[1]EMPREENDIMENTO!C:C,[1]EMPREENDIMENTO!A:A),"-")</f>
        <v>BELO HORIZONTE</v>
      </c>
      <c r="D997" s="28" t="s">
        <v>29</v>
      </c>
      <c r="E997" s="28" t="s">
        <v>1829</v>
      </c>
      <c r="F997" s="28" t="s">
        <v>1444</v>
      </c>
      <c r="G997" s="28" t="s">
        <v>1830</v>
      </c>
      <c r="H997" s="28">
        <v>53851</v>
      </c>
      <c r="I997" s="29">
        <f>IFERROR(_xlfn.XLOOKUP(E997,[1]EMPREENDIMENTO!C:C,[1]EMPREENDIMENTO!E:E),"0")</f>
        <v>136</v>
      </c>
      <c r="J997" s="30"/>
      <c r="K997" s="28" t="s">
        <v>33</v>
      </c>
      <c r="L997" s="31">
        <v>46212</v>
      </c>
      <c r="M997" s="32">
        <v>55137336</v>
      </c>
      <c r="N997" s="32">
        <v>65238785</v>
      </c>
      <c r="O997" s="32">
        <v>61171818</v>
      </c>
      <c r="P997" s="28" t="s">
        <v>34</v>
      </c>
      <c r="Q997" s="28" t="s">
        <v>1831</v>
      </c>
      <c r="R997" s="30">
        <v>46213</v>
      </c>
      <c r="S997" s="30">
        <v>46213</v>
      </c>
      <c r="T997" s="33"/>
      <c r="U997" s="34" t="str">
        <f>IFERROR(_xlfn.XLOOKUP(E997,[1]EMPREENDIMENTO!C:C,[1]EMPREENDIMENTO!D:D),"")</f>
        <v>38e8eee6-53e9-dc11-abd0-001b7845b4a6</v>
      </c>
    </row>
    <row r="998" spans="1:21" hidden="1" x14ac:dyDescent="0.35">
      <c r="A998" s="28" t="str">
        <f>IFERROR(_xlfn.XLOOKUP(C998,[1]DIRETORIA!C:C,[1]DIRETORIA!A:A),"-")</f>
        <v>DIR. COM E CRED MG E ES</v>
      </c>
      <c r="B998" s="28" t="str">
        <f>IFERROR(_xlfn.XLOOKUP(C998,[1]DIRETORIA!C:C,[1]DIRETORIA!B:B),"-")</f>
        <v>GST. COM ES</v>
      </c>
      <c r="C998" s="28" t="str">
        <f>IFERROR(_xlfn.XLOOKUP(E998,[1]EMPREENDIMENTO!C:C,[1]EMPREENDIMENTO!A:A),"-")</f>
        <v>CARIACICA</v>
      </c>
      <c r="D998" s="28" t="s">
        <v>29</v>
      </c>
      <c r="E998" s="28" t="s">
        <v>1832</v>
      </c>
      <c r="F998" s="28" t="s">
        <v>31</v>
      </c>
      <c r="G998" s="28" t="s">
        <v>1833</v>
      </c>
      <c r="H998" s="28">
        <v>53969</v>
      </c>
      <c r="I998" s="29">
        <f>IFERROR(_xlfn.XLOOKUP(E998,[1]EMPREENDIMENTO!C:C,[1]EMPREENDIMENTO!E:E),"0")</f>
        <v>200</v>
      </c>
      <c r="J998" s="30"/>
      <c r="K998" s="28" t="s">
        <v>33</v>
      </c>
      <c r="L998" s="31">
        <v>45985</v>
      </c>
      <c r="M998" s="32">
        <v>51026750</v>
      </c>
      <c r="N998" s="32">
        <v>55190170</v>
      </c>
      <c r="O998" s="32">
        <v>52667000</v>
      </c>
      <c r="P998" s="28" t="s">
        <v>34</v>
      </c>
      <c r="Q998" s="28" t="s">
        <v>1834</v>
      </c>
      <c r="R998" s="30">
        <v>45992</v>
      </c>
      <c r="S998" s="30">
        <v>45985</v>
      </c>
      <c r="T998" s="33"/>
      <c r="U998" s="34" t="str">
        <f>IFERROR(_xlfn.XLOOKUP(E998,[1]EMPREENDIMENTO!C:C,[1]EMPREENDIMENTO!D:D),"")</f>
        <v>a501a918-3a7a-ed11-879a-80c16e075108</v>
      </c>
    </row>
    <row r="999" spans="1:21" hidden="1" x14ac:dyDescent="0.35">
      <c r="A999" s="28" t="str">
        <f>IFERROR(_xlfn.XLOOKUP(C999,[1]DIRETORIA!C:C,[1]DIRETORIA!A:A),"-")</f>
        <v>DIR. COM E CRED MG E ES</v>
      </c>
      <c r="B999" s="28" t="str">
        <f>IFERROR(_xlfn.XLOOKUP(C999,[1]DIRETORIA!C:C,[1]DIRETORIA!B:B),"-")</f>
        <v>GST. COM ES</v>
      </c>
      <c r="C999" s="28" t="str">
        <f>IFERROR(_xlfn.XLOOKUP(E999,[1]EMPREENDIMENTO!C:C,[1]EMPREENDIMENTO!A:A),"-")</f>
        <v>CARIACICA</v>
      </c>
      <c r="D999" s="28" t="s">
        <v>29</v>
      </c>
      <c r="E999" s="28" t="s">
        <v>1832</v>
      </c>
      <c r="F999" s="28" t="s">
        <v>36</v>
      </c>
      <c r="G999" s="28" t="s">
        <v>1835</v>
      </c>
      <c r="H999" s="28">
        <v>57807</v>
      </c>
      <c r="I999" s="29">
        <f>IFERROR(_xlfn.XLOOKUP(E999,[1]EMPREENDIMENTO!C:C,[1]EMPREENDIMENTO!E:E),"0")</f>
        <v>200</v>
      </c>
      <c r="J999" s="30"/>
      <c r="K999" s="28" t="s">
        <v>33</v>
      </c>
      <c r="L999" s="31">
        <v>45985</v>
      </c>
      <c r="M999" s="32">
        <v>51026750</v>
      </c>
      <c r="N999" s="32">
        <v>55190170</v>
      </c>
      <c r="O999" s="32">
        <v>52667000</v>
      </c>
      <c r="P999" s="28" t="s">
        <v>34</v>
      </c>
      <c r="Q999" s="28" t="s">
        <v>1834</v>
      </c>
      <c r="R999" s="30">
        <v>45992</v>
      </c>
      <c r="S999" s="30">
        <v>45985</v>
      </c>
      <c r="T999" s="33"/>
      <c r="U999" s="34" t="str">
        <f>IFERROR(_xlfn.XLOOKUP(E999,[1]EMPREENDIMENTO!C:C,[1]EMPREENDIMENTO!D:D),"")</f>
        <v>a501a918-3a7a-ed11-879a-80c16e075108</v>
      </c>
    </row>
    <row r="1000" spans="1:21" hidden="1" x14ac:dyDescent="0.35">
      <c r="A1000" s="28" t="str">
        <f>IFERROR(_xlfn.XLOOKUP(C1000,[1]DIRETORIA!C:C,[1]DIRETORIA!A:A),"-")</f>
        <v>DIR. COM E CRED SP E VL</v>
      </c>
      <c r="B1000" s="28" t="str">
        <f>IFERROR(_xlfn.XLOOKUP(C1000,[1]DIRETORIA!C:C,[1]DIRETORIA!B:B),"-")</f>
        <v>GST. COM VL1</v>
      </c>
      <c r="C1000" s="28" t="str">
        <f>IFERROR(_xlfn.XLOOKUP(E1000,[1]EMPREENDIMENTO!C:C,[1]EMPREENDIMENTO!A:A),"-")</f>
        <v>SÃO JOSÉ DOS CAMPOS</v>
      </c>
      <c r="D1000" s="28" t="s">
        <v>29</v>
      </c>
      <c r="E1000" s="28" t="s">
        <v>1836</v>
      </c>
      <c r="F1000" s="28" t="s">
        <v>42</v>
      </c>
      <c r="G1000" s="28" t="s">
        <v>1837</v>
      </c>
      <c r="H1000" s="28">
        <v>53711</v>
      </c>
      <c r="I1000" s="29">
        <f>IFERROR(_xlfn.XLOOKUP(E1000,[1]EMPREENDIMENTO!C:C,[1]EMPREENDIMENTO!E:E),"0")</f>
        <v>195</v>
      </c>
      <c r="J1000" s="30"/>
      <c r="K1000" s="28" t="s">
        <v>164</v>
      </c>
      <c r="L1000" s="31">
        <v>46041</v>
      </c>
      <c r="M1000" s="32">
        <v>52204902</v>
      </c>
      <c r="N1000" s="32">
        <v>58118843</v>
      </c>
      <c r="O1000" s="32">
        <v>54515377</v>
      </c>
      <c r="P1000" s="28" t="s">
        <v>34</v>
      </c>
      <c r="Q1000" s="28" t="s">
        <v>1838</v>
      </c>
      <c r="R1000" s="30">
        <v>45850</v>
      </c>
      <c r="S1000" s="30">
        <v>46041</v>
      </c>
      <c r="T1000" s="33"/>
      <c r="U1000" s="34" t="str">
        <f>IFERROR(_xlfn.XLOOKUP(E1000,[1]EMPREENDIMENTO!C:C,[1]EMPREENDIMENTO!D:D),"")</f>
        <v>54523f85-b166-ee11-8acd-80c16e075108</v>
      </c>
    </row>
    <row r="1001" spans="1:21" hidden="1" x14ac:dyDescent="0.35">
      <c r="A1001" s="28" t="str">
        <f>IFERROR(_xlfn.XLOOKUP(C1001,[1]DIRETORIA!C:C,[1]DIRETORIA!A:A),"-")</f>
        <v>DIR. COM E CRED NE</v>
      </c>
      <c r="B1001" s="28" t="str">
        <f>IFERROR(_xlfn.XLOOKUP(C1001,[1]DIRETORIA!C:C,[1]DIRETORIA!B:B),"-")</f>
        <v>GST. COM NE4 (CE)</v>
      </c>
      <c r="C1001" s="28" t="str">
        <f>IFERROR(_xlfn.XLOOKUP(E1001,[1]EMPREENDIMENTO!C:C,[1]EMPREENDIMENTO!A:A),"-")</f>
        <v>FORTALEZA</v>
      </c>
      <c r="D1001" s="28" t="s">
        <v>29</v>
      </c>
      <c r="E1001" s="28" t="s">
        <v>1839</v>
      </c>
      <c r="F1001" s="28" t="s">
        <v>31</v>
      </c>
      <c r="G1001" s="28" t="s">
        <v>1840</v>
      </c>
      <c r="H1001" s="28">
        <v>36553</v>
      </c>
      <c r="I1001" s="29">
        <f>IFERROR(_xlfn.XLOOKUP(E1001,[1]EMPREENDIMENTO!C:C,[1]EMPREENDIMENTO!E:E),"0")</f>
        <v>384</v>
      </c>
      <c r="J1001" s="30"/>
      <c r="K1001" s="28" t="s">
        <v>33</v>
      </c>
      <c r="L1001" s="31">
        <v>46220</v>
      </c>
      <c r="M1001" s="32">
        <v>111454125</v>
      </c>
      <c r="N1001" s="32">
        <v>116842645</v>
      </c>
      <c r="O1001" s="32">
        <v>115356357</v>
      </c>
      <c r="P1001" s="28" t="s">
        <v>34</v>
      </c>
      <c r="Q1001" s="28"/>
      <c r="R1001" s="30">
        <v>46220</v>
      </c>
      <c r="S1001" s="30">
        <v>46220</v>
      </c>
      <c r="T1001" s="33"/>
      <c r="U1001" s="34" t="str">
        <f>IFERROR(_xlfn.XLOOKUP(E1001,[1]EMPREENDIMENTO!C:C,[1]EMPREENDIMENTO!D:D),"")</f>
        <v>F006C008-257A-EC11-A871-005056895191</v>
      </c>
    </row>
    <row r="1002" spans="1:21" hidden="1" x14ac:dyDescent="0.35">
      <c r="A1002" s="28" t="str">
        <f>IFERROR(_xlfn.XLOOKUP(C1002,[1]DIRETORIA!C:C,[1]DIRETORIA!A:A),"-")</f>
        <v>DIR. COM E CRED NE</v>
      </c>
      <c r="B1002" s="28" t="str">
        <f>IFERROR(_xlfn.XLOOKUP(C1002,[1]DIRETORIA!C:C,[1]DIRETORIA!B:B),"-")</f>
        <v>GST. COM NE4 (CE)</v>
      </c>
      <c r="C1002" s="28" t="str">
        <f>IFERROR(_xlfn.XLOOKUP(E1002,[1]EMPREENDIMENTO!C:C,[1]EMPREENDIMENTO!A:A),"-")</f>
        <v>FORTALEZA</v>
      </c>
      <c r="D1002" s="28" t="s">
        <v>85</v>
      </c>
      <c r="E1002" s="28" t="s">
        <v>1839</v>
      </c>
      <c r="F1002" s="28" t="s">
        <v>36</v>
      </c>
      <c r="G1002" s="28" t="s">
        <v>268</v>
      </c>
      <c r="H1002" s="28">
        <v>68343</v>
      </c>
      <c r="I1002" s="29">
        <f>IFERROR(_xlfn.XLOOKUP(E1002,[1]EMPREENDIMENTO!C:C,[1]EMPREENDIMENTO!E:E),"0")</f>
        <v>384</v>
      </c>
      <c r="J1002" s="30"/>
      <c r="K1002" s="28" t="s">
        <v>33</v>
      </c>
      <c r="L1002" s="31">
        <v>46220</v>
      </c>
      <c r="M1002" s="32">
        <v>111454125</v>
      </c>
      <c r="N1002" s="32">
        <v>116842645</v>
      </c>
      <c r="O1002" s="32">
        <v>115356357</v>
      </c>
      <c r="P1002" s="28" t="s">
        <v>34</v>
      </c>
      <c r="Q1002" s="28"/>
      <c r="R1002" s="30">
        <v>46220</v>
      </c>
      <c r="S1002" s="30">
        <v>46220</v>
      </c>
      <c r="T1002" s="33"/>
      <c r="U1002" s="34" t="str">
        <f>IFERROR(_xlfn.XLOOKUP(E1002,[1]EMPREENDIMENTO!C:C,[1]EMPREENDIMENTO!D:D),"")</f>
        <v>F006C008-257A-EC11-A871-005056895191</v>
      </c>
    </row>
    <row r="1003" spans="1:21" hidden="1" x14ac:dyDescent="0.35">
      <c r="A1003" s="28" t="str">
        <f>IFERROR(_xlfn.XLOOKUP(C1003,[1]DIRETORIA!C:C,[1]DIRETORIA!A:A),"-")</f>
        <v>DIR. COM E CRED MG E ES</v>
      </c>
      <c r="B1003" s="28" t="str">
        <f>IFERROR(_xlfn.XLOOKUP(C1003,[1]DIRETORIA!C:C,[1]DIRETORIA!B:B),"-")</f>
        <v>GST. COM TM</v>
      </c>
      <c r="C1003" s="28" t="str">
        <f>IFERROR(_xlfn.XLOOKUP(E1003,[1]EMPREENDIMENTO!C:C,[1]EMPREENDIMENTO!A:A),"-")</f>
        <v>UBERLÂNDIA</v>
      </c>
      <c r="D1003" s="28" t="s">
        <v>29</v>
      </c>
      <c r="E1003" s="28" t="s">
        <v>1841</v>
      </c>
      <c r="F1003" s="28" t="s">
        <v>31</v>
      </c>
      <c r="G1003" s="28" t="s">
        <v>1842</v>
      </c>
      <c r="H1003" s="28">
        <v>33844</v>
      </c>
      <c r="I1003" s="29">
        <f>IFERROR(_xlfn.XLOOKUP(E1003,[1]EMPREENDIMENTO!C:C,[1]EMPREENDIMENTO!E:E),"0")</f>
        <v>448</v>
      </c>
      <c r="J1003" s="30"/>
      <c r="K1003" s="28" t="s">
        <v>164</v>
      </c>
      <c r="L1003" s="31">
        <v>46135</v>
      </c>
      <c r="M1003" s="32">
        <v>115618473</v>
      </c>
      <c r="N1003" s="32">
        <v>127340516</v>
      </c>
      <c r="O1003" s="32">
        <v>121377200</v>
      </c>
      <c r="P1003" s="28" t="s">
        <v>2</v>
      </c>
      <c r="Q1003" s="28" t="s">
        <v>1843</v>
      </c>
      <c r="R1003" s="30">
        <v>46269</v>
      </c>
      <c r="S1003" s="30"/>
      <c r="T1003" s="33"/>
      <c r="U1003" s="34" t="str">
        <f>IFERROR(_xlfn.XLOOKUP(E1003,[1]EMPREENDIMENTO!C:C,[1]EMPREENDIMENTO!D:D),"")</f>
        <v>ad6ad5e7-de18-e511-a3a7-80c16e075108</v>
      </c>
    </row>
    <row r="1004" spans="1:21" hidden="1" x14ac:dyDescent="0.35">
      <c r="A1004" s="28" t="str">
        <f>IFERROR(_xlfn.XLOOKUP(C1004,[1]DIRETORIA!C:C,[1]DIRETORIA!A:A),"-")</f>
        <v>DIR. COM E CRED MG E ES</v>
      </c>
      <c r="B1004" s="28" t="str">
        <f>IFERROR(_xlfn.XLOOKUP(C1004,[1]DIRETORIA!C:C,[1]DIRETORIA!B:B),"-")</f>
        <v>GST. COM TM</v>
      </c>
      <c r="C1004" s="28" t="str">
        <f>IFERROR(_xlfn.XLOOKUP(E1004,[1]EMPREENDIMENTO!C:C,[1]EMPREENDIMENTO!A:A),"-")</f>
        <v>UBERLÂNDIA</v>
      </c>
      <c r="D1004" s="28" t="s">
        <v>29</v>
      </c>
      <c r="E1004" s="28" t="s">
        <v>1841</v>
      </c>
      <c r="F1004" s="28" t="s">
        <v>36</v>
      </c>
      <c r="G1004" s="28" t="s">
        <v>1844</v>
      </c>
      <c r="H1004" s="28">
        <v>63906</v>
      </c>
      <c r="I1004" s="29">
        <f>IFERROR(_xlfn.XLOOKUP(E1004,[1]EMPREENDIMENTO!C:C,[1]EMPREENDIMENTO!E:E),"0")</f>
        <v>448</v>
      </c>
      <c r="J1004" s="30"/>
      <c r="K1004" s="28" t="s">
        <v>164</v>
      </c>
      <c r="L1004" s="31">
        <v>46135</v>
      </c>
      <c r="M1004" s="32">
        <v>115618473</v>
      </c>
      <c r="N1004" s="32">
        <v>127340516</v>
      </c>
      <c r="O1004" s="32">
        <v>121377200</v>
      </c>
      <c r="P1004" s="28" t="s">
        <v>2</v>
      </c>
      <c r="Q1004" s="28" t="s">
        <v>1843</v>
      </c>
      <c r="R1004" s="30">
        <v>46269</v>
      </c>
      <c r="S1004" s="30"/>
      <c r="T1004" s="33"/>
      <c r="U1004" s="34" t="str">
        <f>IFERROR(_xlfn.XLOOKUP(E1004,[1]EMPREENDIMENTO!C:C,[1]EMPREENDIMENTO!D:D),"")</f>
        <v>ad6ad5e7-de18-e511-a3a7-80c16e075108</v>
      </c>
    </row>
    <row r="1005" spans="1:21" hidden="1" x14ac:dyDescent="0.35">
      <c r="A1005" s="28" t="str">
        <f>IFERROR(_xlfn.XLOOKUP(C1005,[1]DIRETORIA!C:C,[1]DIRETORIA!A:A),"-")</f>
        <v>DIR. COM E CRED MG E ES</v>
      </c>
      <c r="B1005" s="28" t="str">
        <f>IFERROR(_xlfn.XLOOKUP(C1005,[1]DIRETORIA!C:C,[1]DIRETORIA!B:B),"-")</f>
        <v>GST. COM TM</v>
      </c>
      <c r="C1005" s="28" t="str">
        <f>IFERROR(_xlfn.XLOOKUP(E1005,[1]EMPREENDIMENTO!C:C,[1]EMPREENDIMENTO!A:A),"-")</f>
        <v>UBERLÂNDIA</v>
      </c>
      <c r="D1005" s="28" t="s">
        <v>85</v>
      </c>
      <c r="E1005" s="28" t="s">
        <v>1841</v>
      </c>
      <c r="F1005" s="28" t="s">
        <v>39</v>
      </c>
      <c r="G1005" s="28" t="s">
        <v>268</v>
      </c>
      <c r="H1005" s="28" t="s">
        <v>268</v>
      </c>
      <c r="I1005" s="29">
        <f>IFERROR(_xlfn.XLOOKUP(E1005,[1]EMPREENDIMENTO!C:C,[1]EMPREENDIMENTO!E:E),"0")</f>
        <v>448</v>
      </c>
      <c r="J1005" s="30"/>
      <c r="K1005" s="28" t="s">
        <v>164</v>
      </c>
      <c r="L1005" s="31">
        <v>46135</v>
      </c>
      <c r="M1005" s="32">
        <v>115618473</v>
      </c>
      <c r="N1005" s="32">
        <v>127340516</v>
      </c>
      <c r="O1005" s="32">
        <v>121377200</v>
      </c>
      <c r="P1005" s="28" t="s">
        <v>2</v>
      </c>
      <c r="Q1005" s="28" t="s">
        <v>1843</v>
      </c>
      <c r="R1005" s="30">
        <v>46269</v>
      </c>
      <c r="S1005" s="30"/>
      <c r="T1005" s="33"/>
      <c r="U1005" s="34" t="str">
        <f>IFERROR(_xlfn.XLOOKUP(E1005,[1]EMPREENDIMENTO!C:C,[1]EMPREENDIMENTO!D:D),"")</f>
        <v>ad6ad5e7-de18-e511-a3a7-80c16e075108</v>
      </c>
    </row>
    <row r="1006" spans="1:21" hidden="1" x14ac:dyDescent="0.35">
      <c r="A1006" s="28" t="str">
        <f>IFERROR(_xlfn.XLOOKUP(C1006,[1]DIRETORIA!C:C,[1]DIRETORIA!A:A),"-")</f>
        <v>DIR. COM E CRED MG E ES</v>
      </c>
      <c r="B1006" s="28" t="str">
        <f>IFERROR(_xlfn.XLOOKUP(C1006,[1]DIRETORIA!C:C,[1]DIRETORIA!B:B),"-")</f>
        <v>GST. COM TM</v>
      </c>
      <c r="C1006" s="28" t="str">
        <f>IFERROR(_xlfn.XLOOKUP(E1006,[1]EMPREENDIMENTO!C:C,[1]EMPREENDIMENTO!A:A),"-")</f>
        <v>UBERLÂNDIA</v>
      </c>
      <c r="D1006" s="28" t="s">
        <v>85</v>
      </c>
      <c r="E1006" s="28" t="s">
        <v>1841</v>
      </c>
      <c r="F1006" s="28" t="s">
        <v>50</v>
      </c>
      <c r="G1006" s="28" t="s">
        <v>268</v>
      </c>
      <c r="H1006" s="28" t="s">
        <v>268</v>
      </c>
      <c r="I1006" s="29">
        <f>IFERROR(_xlfn.XLOOKUP(E1006,[1]EMPREENDIMENTO!C:C,[1]EMPREENDIMENTO!E:E),"0")</f>
        <v>448</v>
      </c>
      <c r="J1006" s="30"/>
      <c r="K1006" s="28" t="s">
        <v>164</v>
      </c>
      <c r="L1006" s="31">
        <v>46135</v>
      </c>
      <c r="M1006" s="32">
        <v>115618473</v>
      </c>
      <c r="N1006" s="32">
        <v>127340516</v>
      </c>
      <c r="O1006" s="32">
        <v>121377200</v>
      </c>
      <c r="P1006" s="28" t="s">
        <v>2</v>
      </c>
      <c r="Q1006" s="28" t="s">
        <v>1843</v>
      </c>
      <c r="R1006" s="30">
        <v>46269</v>
      </c>
      <c r="S1006" s="30"/>
      <c r="T1006" s="33"/>
      <c r="U1006" s="34" t="str">
        <f>IFERROR(_xlfn.XLOOKUP(E1006,[1]EMPREENDIMENTO!C:C,[1]EMPREENDIMENTO!D:D),"")</f>
        <v>ad6ad5e7-de18-e511-a3a7-80c16e075108</v>
      </c>
    </row>
    <row r="1007" spans="1:21" hidden="1" x14ac:dyDescent="0.35">
      <c r="A1007" s="28" t="str">
        <f>IFERROR(_xlfn.XLOOKUP(C1007,[1]DIRETORIA!C:C,[1]DIRETORIA!A:A),"-")</f>
        <v>DIR. COM E CRED RJ</v>
      </c>
      <c r="B1007" s="28" t="str">
        <f>IFERROR(_xlfn.XLOOKUP(C1007,[1]DIRETORIA!C:C,[1]DIRETORIA!B:B),"-")</f>
        <v>GST. COM RJ2</v>
      </c>
      <c r="C1007" s="28" t="str">
        <f>IFERROR(_xlfn.XLOOKUP(E1007,[1]EMPREENDIMENTO!C:C,[1]EMPREENDIMENTO!A:A),"-")</f>
        <v>DUQUE DE CAXIAS</v>
      </c>
      <c r="D1007" s="28" t="s">
        <v>29</v>
      </c>
      <c r="E1007" s="28" t="s">
        <v>1845</v>
      </c>
      <c r="F1007" s="28" t="s">
        <v>31</v>
      </c>
      <c r="G1007" s="28" t="s">
        <v>1846</v>
      </c>
      <c r="H1007" s="28">
        <v>53573</v>
      </c>
      <c r="I1007" s="29">
        <f>IFERROR(_xlfn.XLOOKUP(E1007,[1]EMPREENDIMENTO!C:C,[1]EMPREENDIMENTO!E:E),"0")</f>
        <v>312</v>
      </c>
      <c r="J1007" s="30"/>
      <c r="K1007" s="28" t="s">
        <v>164</v>
      </c>
      <c r="L1007" s="31">
        <v>46092</v>
      </c>
      <c r="M1007" s="32">
        <v>85110095</v>
      </c>
      <c r="N1007" s="32">
        <v>91612348</v>
      </c>
      <c r="O1007" s="32">
        <v>91043088</v>
      </c>
      <c r="P1007" s="28" t="s">
        <v>34</v>
      </c>
      <c r="Q1007" s="28" t="s">
        <v>1847</v>
      </c>
      <c r="R1007" s="30">
        <v>46104</v>
      </c>
      <c r="S1007" s="30">
        <v>46093</v>
      </c>
      <c r="T1007" s="33"/>
      <c r="U1007" s="34" t="str">
        <f>IFERROR(_xlfn.XLOOKUP(E1007,[1]EMPREENDIMENTO!C:C,[1]EMPREENDIMENTO!D:D),"")</f>
        <v>26e8cd80-66b5-ee11-8e2d-009c02b0cb58</v>
      </c>
    </row>
    <row r="1008" spans="1:21" hidden="1" x14ac:dyDescent="0.35">
      <c r="A1008" s="28" t="str">
        <f>IFERROR(_xlfn.XLOOKUP(C1008,[1]DIRETORIA!C:C,[1]DIRETORIA!A:A),"-")</f>
        <v>DIR. COM E CRED RJ</v>
      </c>
      <c r="B1008" s="28" t="str">
        <f>IFERROR(_xlfn.XLOOKUP(C1008,[1]DIRETORIA!C:C,[1]DIRETORIA!B:B),"-")</f>
        <v>GST. COM RJ2</v>
      </c>
      <c r="C1008" s="28" t="str">
        <f>IFERROR(_xlfn.XLOOKUP(E1008,[1]EMPREENDIMENTO!C:C,[1]EMPREENDIMENTO!A:A),"-")</f>
        <v>DUQUE DE CAXIAS</v>
      </c>
      <c r="D1008" s="28" t="s">
        <v>85</v>
      </c>
      <c r="E1008" s="28" t="s">
        <v>1845</v>
      </c>
      <c r="F1008" s="28" t="s">
        <v>36</v>
      </c>
      <c r="G1008" s="28" t="s">
        <v>268</v>
      </c>
      <c r="H1008" s="28">
        <v>68172</v>
      </c>
      <c r="I1008" s="29">
        <f>IFERROR(_xlfn.XLOOKUP(E1008,[1]EMPREENDIMENTO!C:C,[1]EMPREENDIMENTO!E:E),"0")</f>
        <v>312</v>
      </c>
      <c r="J1008" s="30"/>
      <c r="K1008" s="28" t="s">
        <v>164</v>
      </c>
      <c r="L1008" s="31">
        <v>46092</v>
      </c>
      <c r="M1008" s="32">
        <v>85110095</v>
      </c>
      <c r="N1008" s="32">
        <v>91612348</v>
      </c>
      <c r="O1008" s="32">
        <v>91043088</v>
      </c>
      <c r="P1008" s="28" t="s">
        <v>34</v>
      </c>
      <c r="Q1008" s="28" t="s">
        <v>1847</v>
      </c>
      <c r="R1008" s="30">
        <v>46104</v>
      </c>
      <c r="S1008" s="30">
        <v>46093</v>
      </c>
      <c r="T1008" s="33"/>
      <c r="U1008" s="34" t="str">
        <f>IFERROR(_xlfn.XLOOKUP(E1008,[1]EMPREENDIMENTO!C:C,[1]EMPREENDIMENTO!D:D),"")</f>
        <v>26e8cd80-66b5-ee11-8e2d-009c02b0cb58</v>
      </c>
    </row>
    <row r="1009" spans="1:21" hidden="1" x14ac:dyDescent="0.35">
      <c r="A1009" s="28" t="str">
        <f>IFERROR(_xlfn.XLOOKUP(C1009,[1]DIRETORIA!C:C,[1]DIRETORIA!A:A),"-")</f>
        <v>DIR. COM E CRED NE</v>
      </c>
      <c r="B1009" s="28" t="str">
        <f>IFERROR(_xlfn.XLOOKUP(C1009,[1]DIRETORIA!C:C,[1]DIRETORIA!B:B),"-")</f>
        <v>GST. COM NE4 (CE)</v>
      </c>
      <c r="C1009" s="28" t="str">
        <f>IFERROR(_xlfn.XLOOKUP(E1009,[1]EMPREENDIMENTO!C:C,[1]EMPREENDIMENTO!A:A),"-")</f>
        <v>CAUCAIA</v>
      </c>
      <c r="D1009" s="28" t="s">
        <v>29</v>
      </c>
      <c r="E1009" s="28" t="s">
        <v>1848</v>
      </c>
      <c r="F1009" s="28" t="s">
        <v>42</v>
      </c>
      <c r="G1009" s="28" t="s">
        <v>1849</v>
      </c>
      <c r="H1009" s="28">
        <v>53516</v>
      </c>
      <c r="I1009" s="29">
        <f>IFERROR(_xlfn.XLOOKUP(E1009,[1]EMPREENDIMENTO!C:C,[1]EMPREENDIMENTO!E:E),"0")</f>
        <v>300</v>
      </c>
      <c r="J1009" s="30"/>
      <c r="K1009" s="28" t="s">
        <v>33</v>
      </c>
      <c r="L1009" s="31">
        <v>46259</v>
      </c>
      <c r="M1009" s="32">
        <v>71778540</v>
      </c>
      <c r="N1009" s="32">
        <v>76539821</v>
      </c>
      <c r="O1009" s="32">
        <v>71778540</v>
      </c>
      <c r="P1009" s="28" t="s">
        <v>6</v>
      </c>
      <c r="Q1009" s="28" t="s">
        <v>1850</v>
      </c>
      <c r="R1009" s="30">
        <v>46258</v>
      </c>
      <c r="S1009" s="30"/>
      <c r="T1009" s="33"/>
      <c r="U1009" s="34" t="str">
        <f>IFERROR(_xlfn.XLOOKUP(E1009,[1]EMPREENDIMENTO!C:C,[1]EMPREENDIMENTO!D:D),"")</f>
        <v>8D67F122-685D-EE11-8ACD-80C16E075108</v>
      </c>
    </row>
    <row r="1010" spans="1:21" hidden="1" x14ac:dyDescent="0.35">
      <c r="A1010" s="28" t="str">
        <f>IFERROR(_xlfn.XLOOKUP(C1010,[1]DIRETORIA!C:C,[1]DIRETORIA!A:A),"-")</f>
        <v>DIR. COM E CRED NE</v>
      </c>
      <c r="B1010" s="28" t="str">
        <f>IFERROR(_xlfn.XLOOKUP(C1010,[1]DIRETORIA!C:C,[1]DIRETORIA!B:B),"-")</f>
        <v>GST. COM NE 7 (PI+MA)</v>
      </c>
      <c r="C1010" s="28" t="str">
        <f>IFERROR(_xlfn.XLOOKUP(E1010,[1]EMPREENDIMENTO!C:C,[1]EMPREENDIMENTO!A:A),"-")</f>
        <v>TERESINA</v>
      </c>
      <c r="D1010" s="28" t="s">
        <v>85</v>
      </c>
      <c r="E1010" s="28" t="s">
        <v>1851</v>
      </c>
      <c r="F1010" s="28" t="s">
        <v>42</v>
      </c>
      <c r="G1010" s="28" t="s">
        <v>1852</v>
      </c>
      <c r="H1010" s="28">
        <v>53608</v>
      </c>
      <c r="I1010" s="29">
        <f>IFERROR(_xlfn.XLOOKUP(E1010,[1]EMPREENDIMENTO!C:C,[1]EMPREENDIMENTO!E:E),"0")</f>
        <v>0</v>
      </c>
      <c r="J1010" s="30"/>
      <c r="K1010" s="28" t="s">
        <v>33</v>
      </c>
      <c r="L1010" s="31">
        <v>46140</v>
      </c>
      <c r="M1010" s="32">
        <v>120652069</v>
      </c>
      <c r="N1010" s="32">
        <v>132121423</v>
      </c>
      <c r="O1010" s="32">
        <v>131066424</v>
      </c>
      <c r="P1010" s="28" t="s">
        <v>34</v>
      </c>
      <c r="Q1010" s="28"/>
      <c r="R1010" s="30">
        <v>46157</v>
      </c>
      <c r="S1010" s="30">
        <v>46141</v>
      </c>
      <c r="T1010" s="33"/>
      <c r="U1010" s="34" t="str">
        <f>IFERROR(_xlfn.XLOOKUP(E1010,[1]EMPREENDIMENTO!C:C,[1]EMPREENDIMENTO!D:D),"")</f>
        <v>A4AA1A83-1AC3-EB11-BA93-005056856875</v>
      </c>
    </row>
    <row r="1011" spans="1:21" hidden="1" x14ac:dyDescent="0.35">
      <c r="A1011" s="28" t="str">
        <f>IFERROR(_xlfn.XLOOKUP(C1011,[1]DIRETORIA!C:C,[1]DIRETORIA!A:A),"-")</f>
        <v>DIR. COM E CRED NE</v>
      </c>
      <c r="B1011" s="28" t="str">
        <f>IFERROR(_xlfn.XLOOKUP(C1011,[1]DIRETORIA!C:C,[1]DIRETORIA!B:B),"-")</f>
        <v>GST. COM NE1 (BA 1)</v>
      </c>
      <c r="C1011" s="28" t="str">
        <f>IFERROR(_xlfn.XLOOKUP(E1011,[1]EMPREENDIMENTO!C:C,[1]EMPREENDIMENTO!A:A),"-")</f>
        <v>CAMAÇARI</v>
      </c>
      <c r="D1011" s="28" t="s">
        <v>85</v>
      </c>
      <c r="E1011" s="28" t="s">
        <v>1853</v>
      </c>
      <c r="F1011" s="28" t="s">
        <v>42</v>
      </c>
      <c r="G1011" s="28" t="s">
        <v>1854</v>
      </c>
      <c r="H1011" s="28">
        <v>53683</v>
      </c>
      <c r="I1011" s="29">
        <f>IFERROR(_xlfn.XLOOKUP(E1011,[1]EMPREENDIMENTO!C:C,[1]EMPREENDIMENTO!E:E),"0")</f>
        <v>0</v>
      </c>
      <c r="J1011" s="30"/>
      <c r="K1011" s="28" t="s">
        <v>33</v>
      </c>
      <c r="L1011" s="31">
        <v>45961</v>
      </c>
      <c r="M1011" s="32">
        <v>81685000</v>
      </c>
      <c r="N1011" s="32">
        <v>88851981</v>
      </c>
      <c r="O1011" s="32">
        <v>85546900</v>
      </c>
      <c r="P1011" s="28" t="s">
        <v>34</v>
      </c>
      <c r="Q1011" s="28"/>
      <c r="R1011" s="30"/>
      <c r="S1011" s="30">
        <v>45961</v>
      </c>
      <c r="T1011" s="33"/>
      <c r="U1011" s="34" t="str">
        <f>IFERROR(_xlfn.XLOOKUP(E1011,[1]EMPREENDIMENTO!C:C,[1]EMPREENDIMENTO!D:D),"")</f>
        <v>2E33479A-FDC0-EE11-A95E-005056856875</v>
      </c>
    </row>
    <row r="1012" spans="1:21" hidden="1" x14ac:dyDescent="0.35">
      <c r="A1012" s="28" t="str">
        <f>IFERROR(_xlfn.XLOOKUP(C1012,[1]DIRETORIA!C:C,[1]DIRETORIA!A:A),"-")</f>
        <v>DIR. COM E CRED MG E ES</v>
      </c>
      <c r="B1012" s="28" t="str">
        <f>IFERROR(_xlfn.XLOOKUP(C1012,[1]DIRETORIA!C:C,[1]DIRETORIA!B:B),"-")</f>
        <v>GST. COM TM</v>
      </c>
      <c r="C1012" s="28" t="str">
        <f>IFERROR(_xlfn.XLOOKUP(E1012,[1]EMPREENDIMENTO!C:C,[1]EMPREENDIMENTO!A:A),"-")</f>
        <v>UBERLÂNDIA</v>
      </c>
      <c r="D1012" s="28" t="s">
        <v>85</v>
      </c>
      <c r="E1012" s="28" t="s">
        <v>1855</v>
      </c>
      <c r="F1012" s="28" t="s">
        <v>42</v>
      </c>
      <c r="G1012" s="28" t="s">
        <v>1856</v>
      </c>
      <c r="H1012" s="28">
        <v>54108</v>
      </c>
      <c r="I1012" s="29">
        <f>IFERROR(_xlfn.XLOOKUP(E1012,[1]EMPREENDIMENTO!C:C,[1]EMPREENDIMENTO!E:E),"0")</f>
        <v>0</v>
      </c>
      <c r="J1012" s="30"/>
      <c r="K1012" s="28" t="s">
        <v>33</v>
      </c>
      <c r="L1012" s="31">
        <v>46190</v>
      </c>
      <c r="M1012" s="32">
        <v>130623790</v>
      </c>
      <c r="N1012" s="32">
        <v>130623790</v>
      </c>
      <c r="O1012" s="32">
        <v>103553400</v>
      </c>
      <c r="P1012" s="28" t="s">
        <v>2</v>
      </c>
      <c r="Q1012" s="28">
        <v>881079</v>
      </c>
      <c r="R1012" s="30">
        <v>46295</v>
      </c>
      <c r="S1012" s="30"/>
      <c r="T1012" s="33"/>
      <c r="U1012" s="34" t="str">
        <f>IFERROR(_xlfn.XLOOKUP(E1012,[1]EMPREENDIMENTO!C:C,[1]EMPREENDIMENTO!D:D),"")</f>
        <v>7EA92C4F-746F-EE11-9832-005056856875</v>
      </c>
    </row>
    <row r="1013" spans="1:21" hidden="1" x14ac:dyDescent="0.35">
      <c r="A1013" s="28" t="str">
        <f>IFERROR(_xlfn.XLOOKUP(C1013,[1]DIRETORIA!C:C,[1]DIRETORIA!A:A),"-")</f>
        <v>DIR. COM E CRED CO E AM</v>
      </c>
      <c r="B1013" s="28" t="str">
        <f>IFERROR(_xlfn.XLOOKUP(C1013,[1]DIRETORIA!C:C,[1]DIRETORIA!B:B),"-")</f>
        <v>GST. COM MS</v>
      </c>
      <c r="C1013" s="28" t="str">
        <f>IFERROR(_xlfn.XLOOKUP(E1013,[1]EMPREENDIMENTO!C:C,[1]EMPREENDIMENTO!A:A),"-")</f>
        <v>CAMPO GRANDE</v>
      </c>
      <c r="D1013" s="28" t="s">
        <v>29</v>
      </c>
      <c r="E1013" s="28" t="s">
        <v>1857</v>
      </c>
      <c r="F1013" s="28" t="s">
        <v>31</v>
      </c>
      <c r="G1013" s="28" t="s">
        <v>1858</v>
      </c>
      <c r="H1013" s="28">
        <v>54396</v>
      </c>
      <c r="I1013" s="29">
        <f>IFERROR(_xlfn.XLOOKUP(E1013,[1]EMPREENDIMENTO!C:C,[1]EMPREENDIMENTO!E:E),"0")</f>
        <v>440</v>
      </c>
      <c r="J1013" s="30"/>
      <c r="K1013" s="28" t="s">
        <v>33</v>
      </c>
      <c r="L1013" s="31">
        <v>46234</v>
      </c>
      <c r="M1013" s="32">
        <v>115451000</v>
      </c>
      <c r="N1013" s="32">
        <v>122005130</v>
      </c>
      <c r="O1013" s="32">
        <v>121763910</v>
      </c>
      <c r="P1013" s="28" t="s">
        <v>34</v>
      </c>
      <c r="Q1013" s="28" t="s">
        <v>1859</v>
      </c>
      <c r="R1013" s="30">
        <v>46237</v>
      </c>
      <c r="S1013" s="30">
        <v>46234</v>
      </c>
      <c r="T1013" s="33"/>
      <c r="U1013" s="34" t="str">
        <f>IFERROR(_xlfn.XLOOKUP(E1013,[1]EMPREENDIMENTO!C:C,[1]EMPREENDIMENTO!D:D),"")</f>
        <v>b59a3b84-7c5e-ec11-b501-005056856b6c</v>
      </c>
    </row>
    <row r="1014" spans="1:21" hidden="1" x14ac:dyDescent="0.35">
      <c r="A1014" s="28" t="str">
        <f>IFERROR(_xlfn.XLOOKUP(C1014,[1]DIRETORIA!C:C,[1]DIRETORIA!A:A),"-")</f>
        <v>DIR. COM E CRED CO E AM</v>
      </c>
      <c r="B1014" s="28" t="str">
        <f>IFERROR(_xlfn.XLOOKUP(C1014,[1]DIRETORIA!C:C,[1]DIRETORIA!B:B),"-")</f>
        <v>GST. COM MS</v>
      </c>
      <c r="C1014" s="28" t="str">
        <f>IFERROR(_xlfn.XLOOKUP(E1014,[1]EMPREENDIMENTO!C:C,[1]EMPREENDIMENTO!A:A),"-")</f>
        <v>CAMPO GRANDE</v>
      </c>
      <c r="D1014" s="28" t="s">
        <v>29</v>
      </c>
      <c r="E1014" s="28" t="s">
        <v>1857</v>
      </c>
      <c r="F1014" s="28" t="s">
        <v>36</v>
      </c>
      <c r="G1014" s="28" t="s">
        <v>1860</v>
      </c>
      <c r="H1014" s="28">
        <v>61660</v>
      </c>
      <c r="I1014" s="29">
        <f>IFERROR(_xlfn.XLOOKUP(E1014,[1]EMPREENDIMENTO!C:C,[1]EMPREENDIMENTO!E:E),"0")</f>
        <v>440</v>
      </c>
      <c r="J1014" s="30"/>
      <c r="K1014" s="28" t="s">
        <v>33</v>
      </c>
      <c r="L1014" s="31">
        <v>46234</v>
      </c>
      <c r="M1014" s="32">
        <v>115451000</v>
      </c>
      <c r="N1014" s="32">
        <v>122005130</v>
      </c>
      <c r="O1014" s="32">
        <v>121763910</v>
      </c>
      <c r="P1014" s="28" t="s">
        <v>34</v>
      </c>
      <c r="Q1014" s="28" t="s">
        <v>1859</v>
      </c>
      <c r="R1014" s="30">
        <v>46237</v>
      </c>
      <c r="S1014" s="30">
        <v>46234</v>
      </c>
      <c r="T1014" s="33"/>
      <c r="U1014" s="34" t="str">
        <f>IFERROR(_xlfn.XLOOKUP(E1014,[1]EMPREENDIMENTO!C:C,[1]EMPREENDIMENTO!D:D),"")</f>
        <v>b59a3b84-7c5e-ec11-b501-005056856b6c</v>
      </c>
    </row>
    <row r="1015" spans="1:21" hidden="1" x14ac:dyDescent="0.35">
      <c r="A1015" s="28" t="str">
        <f>IFERROR(_xlfn.XLOOKUP(C1015,[1]DIRETORIA!C:C,[1]DIRETORIA!A:A),"-")</f>
        <v>DIR. COM E CRED CO E AM</v>
      </c>
      <c r="B1015" s="28" t="str">
        <f>IFERROR(_xlfn.XLOOKUP(C1015,[1]DIRETORIA!C:C,[1]DIRETORIA!B:B),"-")</f>
        <v>GST. COM MS</v>
      </c>
      <c r="C1015" s="28" t="str">
        <f>IFERROR(_xlfn.XLOOKUP(E1015,[1]EMPREENDIMENTO!C:C,[1]EMPREENDIMENTO!A:A),"-")</f>
        <v>CAMPO GRANDE</v>
      </c>
      <c r="D1015" s="28" t="s">
        <v>85</v>
      </c>
      <c r="E1015" s="28" t="s">
        <v>1857</v>
      </c>
      <c r="F1015" s="28" t="s">
        <v>39</v>
      </c>
      <c r="G1015" s="28" t="s">
        <v>1861</v>
      </c>
      <c r="H1015" s="28">
        <v>62509</v>
      </c>
      <c r="I1015" s="29">
        <f>IFERROR(_xlfn.XLOOKUP(E1015,[1]EMPREENDIMENTO!C:C,[1]EMPREENDIMENTO!E:E),"0")</f>
        <v>440</v>
      </c>
      <c r="J1015" s="30"/>
      <c r="K1015" s="28" t="s">
        <v>33</v>
      </c>
      <c r="L1015" s="31">
        <v>46234</v>
      </c>
      <c r="M1015" s="32">
        <v>115451000</v>
      </c>
      <c r="N1015" s="32">
        <v>122005130</v>
      </c>
      <c r="O1015" s="32">
        <v>121763910</v>
      </c>
      <c r="P1015" s="28" t="s">
        <v>34</v>
      </c>
      <c r="Q1015" s="28" t="s">
        <v>1859</v>
      </c>
      <c r="R1015" s="30">
        <v>46237</v>
      </c>
      <c r="S1015" s="30">
        <v>46234</v>
      </c>
      <c r="T1015" s="33"/>
      <c r="U1015" s="34" t="str">
        <f>IFERROR(_xlfn.XLOOKUP(E1015,[1]EMPREENDIMENTO!C:C,[1]EMPREENDIMENTO!D:D),"")</f>
        <v>b59a3b84-7c5e-ec11-b501-005056856b6c</v>
      </c>
    </row>
    <row r="1016" spans="1:21" hidden="1" x14ac:dyDescent="0.35">
      <c r="A1016" s="28" t="str">
        <f>IFERROR(_xlfn.XLOOKUP(C1016,[1]DIRETORIA!C:C,[1]DIRETORIA!A:A),"-")</f>
        <v>DIR. COM E CRED CO E AM</v>
      </c>
      <c r="B1016" s="28" t="str">
        <f>IFERROR(_xlfn.XLOOKUP(C1016,[1]DIRETORIA!C:C,[1]DIRETORIA!B:B),"-")</f>
        <v>GST. COM DF</v>
      </c>
      <c r="C1016" s="28" t="str">
        <f>IFERROR(_xlfn.XLOOKUP(E1016,[1]EMPREENDIMENTO!C:C,[1]EMPREENDIMENTO!A:A),"-")</f>
        <v>BRASÍLIA</v>
      </c>
      <c r="D1016" s="28" t="s">
        <v>29</v>
      </c>
      <c r="E1016" s="28" t="s">
        <v>1862</v>
      </c>
      <c r="F1016" s="28" t="s">
        <v>31</v>
      </c>
      <c r="G1016" s="28" t="s">
        <v>1863</v>
      </c>
      <c r="H1016" s="28">
        <v>54214</v>
      </c>
      <c r="I1016" s="29">
        <f>IFERROR(_xlfn.XLOOKUP(E1016,[1]EMPREENDIMENTO!C:C,[1]EMPREENDIMENTO!E:E),"0")</f>
        <v>288</v>
      </c>
      <c r="J1016" s="30"/>
      <c r="K1016" s="28" t="s">
        <v>164</v>
      </c>
      <c r="L1016" s="31">
        <v>46163</v>
      </c>
      <c r="M1016" s="32">
        <v>86559410.799999997</v>
      </c>
      <c r="N1016" s="32"/>
      <c r="O1016" s="32"/>
      <c r="P1016" s="28" t="s">
        <v>2</v>
      </c>
      <c r="Q1016" s="28" t="s">
        <v>1864</v>
      </c>
      <c r="R1016" s="30">
        <v>46289</v>
      </c>
      <c r="S1016" s="30"/>
      <c r="T1016" s="33"/>
      <c r="U1016" s="34" t="str">
        <f>IFERROR(_xlfn.XLOOKUP(E1016,[1]EMPREENDIMENTO!C:C,[1]EMPREENDIMENTO!D:D),"")</f>
        <v>31AFB7BB-9940-EC11-B2FE-005056895191</v>
      </c>
    </row>
    <row r="1017" spans="1:21" hidden="1" x14ac:dyDescent="0.35">
      <c r="A1017" s="28" t="str">
        <f>IFERROR(_xlfn.XLOOKUP(C1017,[1]DIRETORIA!C:C,[1]DIRETORIA!A:A),"-")</f>
        <v>DIR. COM E CRED CO E AM</v>
      </c>
      <c r="B1017" s="28" t="str">
        <f>IFERROR(_xlfn.XLOOKUP(C1017,[1]DIRETORIA!C:C,[1]DIRETORIA!B:B),"-")</f>
        <v>GST. COM DF</v>
      </c>
      <c r="C1017" s="28" t="str">
        <f>IFERROR(_xlfn.XLOOKUP(E1017,[1]EMPREENDIMENTO!C:C,[1]EMPREENDIMENTO!A:A),"-")</f>
        <v>BRASÍLIA</v>
      </c>
      <c r="D1017" s="28" t="s">
        <v>29</v>
      </c>
      <c r="E1017" s="28" t="s">
        <v>1862</v>
      </c>
      <c r="F1017" s="28" t="s">
        <v>36</v>
      </c>
      <c r="G1017" s="28" t="s">
        <v>1865</v>
      </c>
      <c r="H1017" s="28">
        <v>63957</v>
      </c>
      <c r="I1017" s="29">
        <f>IFERROR(_xlfn.XLOOKUP(E1017,[1]EMPREENDIMENTO!C:C,[1]EMPREENDIMENTO!E:E),"0")</f>
        <v>288</v>
      </c>
      <c r="J1017" s="30"/>
      <c r="K1017" s="28" t="s">
        <v>164</v>
      </c>
      <c r="L1017" s="31">
        <v>46163</v>
      </c>
      <c r="M1017" s="32">
        <v>86559410.799999997</v>
      </c>
      <c r="N1017" s="32"/>
      <c r="O1017" s="32"/>
      <c r="P1017" s="28" t="s">
        <v>2</v>
      </c>
      <c r="Q1017" s="28" t="s">
        <v>1864</v>
      </c>
      <c r="R1017" s="30">
        <v>46289</v>
      </c>
      <c r="S1017" s="30"/>
      <c r="T1017" s="33"/>
      <c r="U1017" s="34" t="str">
        <f>IFERROR(_xlfn.XLOOKUP(E1017,[1]EMPREENDIMENTO!C:C,[1]EMPREENDIMENTO!D:D),"")</f>
        <v>31AFB7BB-9940-EC11-B2FE-005056895191</v>
      </c>
    </row>
    <row r="1018" spans="1:21" hidden="1" x14ac:dyDescent="0.35">
      <c r="A1018" s="28" t="str">
        <f>IFERROR(_xlfn.XLOOKUP(C1018,[1]DIRETORIA!C:C,[1]DIRETORIA!A:A),"-")</f>
        <v>DIR. COM E CRED CO E AM</v>
      </c>
      <c r="B1018" s="28" t="str">
        <f>IFERROR(_xlfn.XLOOKUP(C1018,[1]DIRETORIA!C:C,[1]DIRETORIA!B:B),"-")</f>
        <v>GST. COM DF</v>
      </c>
      <c r="C1018" s="28" t="str">
        <f>IFERROR(_xlfn.XLOOKUP(E1018,[1]EMPREENDIMENTO!C:C,[1]EMPREENDIMENTO!A:A),"-")</f>
        <v>BRASÍLIA</v>
      </c>
      <c r="D1018" s="28" t="s">
        <v>85</v>
      </c>
      <c r="E1018" s="28" t="s">
        <v>1862</v>
      </c>
      <c r="F1018" s="28" t="s">
        <v>39</v>
      </c>
      <c r="G1018" s="28" t="s">
        <v>268</v>
      </c>
      <c r="H1018" s="28" t="s">
        <v>268</v>
      </c>
      <c r="I1018" s="29">
        <f>IFERROR(_xlfn.XLOOKUP(E1018,[1]EMPREENDIMENTO!C:C,[1]EMPREENDIMENTO!E:E),"0")</f>
        <v>288</v>
      </c>
      <c r="J1018" s="30"/>
      <c r="K1018" s="28" t="s">
        <v>164</v>
      </c>
      <c r="L1018" s="31">
        <v>46163</v>
      </c>
      <c r="M1018" s="32">
        <v>86559410.799999997</v>
      </c>
      <c r="N1018" s="32"/>
      <c r="O1018" s="32"/>
      <c r="P1018" s="28" t="s">
        <v>2</v>
      </c>
      <c r="Q1018" s="28" t="s">
        <v>1864</v>
      </c>
      <c r="R1018" s="30">
        <v>46289</v>
      </c>
      <c r="S1018" s="30"/>
      <c r="T1018" s="33"/>
      <c r="U1018" s="34" t="str">
        <f>IFERROR(_xlfn.XLOOKUP(E1018,[1]EMPREENDIMENTO!C:C,[1]EMPREENDIMENTO!D:D),"")</f>
        <v>31AFB7BB-9940-EC11-B2FE-005056895191</v>
      </c>
    </row>
    <row r="1019" spans="1:21" hidden="1" x14ac:dyDescent="0.35">
      <c r="A1019" s="28" t="str">
        <f>IFERROR(_xlfn.XLOOKUP(C1019,[1]DIRETORIA!C:C,[1]DIRETORIA!A:A),"-")</f>
        <v>DIR. COM E CRED SUL</v>
      </c>
      <c r="B1019" s="28" t="str">
        <f>IFERROR(_xlfn.XLOOKUP(C1019,[1]DIRETORIA!C:C,[1]DIRETORIA!B:B),"-")</f>
        <v>GST. COM LONDRINA</v>
      </c>
      <c r="C1019" s="28" t="str">
        <f>IFERROR(_xlfn.XLOOKUP(E1019,[1]EMPREENDIMENTO!C:C,[1]EMPREENDIMENTO!A:A),"-")</f>
        <v>LONDRINA</v>
      </c>
      <c r="D1019" s="28" t="s">
        <v>29</v>
      </c>
      <c r="E1019" s="28" t="s">
        <v>1866</v>
      </c>
      <c r="F1019" s="28" t="s">
        <v>42</v>
      </c>
      <c r="G1019" s="28" t="s">
        <v>1867</v>
      </c>
      <c r="H1019" s="28">
        <v>54319</v>
      </c>
      <c r="I1019" s="29">
        <f>IFERROR(_xlfn.XLOOKUP(E1019,[1]EMPREENDIMENTO!C:C,[1]EMPREENDIMENTO!E:E),"0")</f>
        <v>152</v>
      </c>
      <c r="J1019" s="30"/>
      <c r="K1019" s="28" t="s">
        <v>164</v>
      </c>
      <c r="L1019" s="31">
        <v>46157</v>
      </c>
      <c r="M1019" s="32">
        <v>43089301</v>
      </c>
      <c r="N1019" s="32">
        <v>47398231</v>
      </c>
      <c r="O1019" s="32">
        <v>44866300</v>
      </c>
      <c r="P1019" s="28" t="s">
        <v>34</v>
      </c>
      <c r="Q1019" s="28" t="s">
        <v>1868</v>
      </c>
      <c r="R1019" s="30">
        <v>46160</v>
      </c>
      <c r="S1019" s="30"/>
      <c r="T1019" s="33"/>
      <c r="U1019" s="34" t="str">
        <f>IFERROR(_xlfn.XLOOKUP(E1019,[1]EMPREENDIMENTO!C:C,[1]EMPREENDIMENTO!D:D),"")</f>
        <v>df6b1cee-741a-ee11-8acd-80c16e075108</v>
      </c>
    </row>
    <row r="1020" spans="1:21" hidden="1" x14ac:dyDescent="0.35">
      <c r="A1020" s="28" t="str">
        <f>IFERROR(_xlfn.XLOOKUP(C1020,[1]DIRETORIA!C:C,[1]DIRETORIA!A:A),"-")</f>
        <v>DIR. COM E CRED NE</v>
      </c>
      <c r="B1020" s="28" t="str">
        <f>IFERROR(_xlfn.XLOOKUP(C1020,[1]DIRETORIA!C:C,[1]DIRETORIA!B:B),"-")</f>
        <v>GST. COM NE5 (RN+PB)</v>
      </c>
      <c r="C1020" s="28" t="str">
        <f>IFERROR(_xlfn.XLOOKUP(E1020,[1]EMPREENDIMENTO!C:C,[1]EMPREENDIMENTO!A:A),"-")</f>
        <v>NATAL</v>
      </c>
      <c r="D1020" s="28" t="s">
        <v>29</v>
      </c>
      <c r="E1020" s="28" t="s">
        <v>1869</v>
      </c>
      <c r="F1020" s="28" t="s">
        <v>31</v>
      </c>
      <c r="G1020" s="28" t="s">
        <v>1870</v>
      </c>
      <c r="H1020" s="28">
        <v>53984</v>
      </c>
      <c r="I1020" s="29">
        <f>IFERROR(_xlfn.XLOOKUP(E1020,[1]EMPREENDIMENTO!C:C,[1]EMPREENDIMENTO!E:E),"0")</f>
        <v>408</v>
      </c>
      <c r="J1020" s="30"/>
      <c r="K1020" s="28" t="s">
        <v>33</v>
      </c>
      <c r="L1020" s="31">
        <v>46106</v>
      </c>
      <c r="M1020" s="32">
        <v>116653236</v>
      </c>
      <c r="N1020" s="32"/>
      <c r="O1020" s="32"/>
      <c r="P1020" s="28" t="s">
        <v>2</v>
      </c>
      <c r="Q1020" s="28" t="s">
        <v>1871</v>
      </c>
      <c r="R1020" s="30">
        <v>46278</v>
      </c>
      <c r="S1020" s="30"/>
      <c r="T1020" s="33"/>
      <c r="U1020" s="34" t="str">
        <f>IFERROR(_xlfn.XLOOKUP(E1020,[1]EMPREENDIMENTO!C:C,[1]EMPREENDIMENTO!D:D),"")</f>
        <v>922d6b40-e421-ef11-9e4d-009c02b0cb58</v>
      </c>
    </row>
    <row r="1021" spans="1:21" hidden="1" x14ac:dyDescent="0.35">
      <c r="A1021" s="28" t="str">
        <f>IFERROR(_xlfn.XLOOKUP(C1021,[1]DIRETORIA!C:C,[1]DIRETORIA!A:A),"-")</f>
        <v>DIR. COM E CRED NE</v>
      </c>
      <c r="B1021" s="28" t="str">
        <f>IFERROR(_xlfn.XLOOKUP(C1021,[1]DIRETORIA!C:C,[1]DIRETORIA!B:B),"-")</f>
        <v>GST. COM NE5 (RN+PB)</v>
      </c>
      <c r="C1021" s="28" t="str">
        <f>IFERROR(_xlfn.XLOOKUP(E1021,[1]EMPREENDIMENTO!C:C,[1]EMPREENDIMENTO!A:A),"-")</f>
        <v>NATAL</v>
      </c>
      <c r="D1021" s="28" t="s">
        <v>29</v>
      </c>
      <c r="E1021" s="28" t="s">
        <v>1869</v>
      </c>
      <c r="F1021" s="28" t="s">
        <v>36</v>
      </c>
      <c r="G1021" s="28" t="s">
        <v>1872</v>
      </c>
      <c r="H1021" s="28">
        <v>57785</v>
      </c>
      <c r="I1021" s="29">
        <f>IFERROR(_xlfn.XLOOKUP(E1021,[1]EMPREENDIMENTO!C:C,[1]EMPREENDIMENTO!E:E),"0")</f>
        <v>408</v>
      </c>
      <c r="J1021" s="30"/>
      <c r="K1021" s="28" t="s">
        <v>33</v>
      </c>
      <c r="L1021" s="31">
        <v>46106</v>
      </c>
      <c r="M1021" s="32">
        <v>116653236</v>
      </c>
      <c r="N1021" s="32"/>
      <c r="O1021" s="32"/>
      <c r="P1021" s="28" t="s">
        <v>2</v>
      </c>
      <c r="Q1021" s="28" t="s">
        <v>1871</v>
      </c>
      <c r="R1021" s="30">
        <v>46278</v>
      </c>
      <c r="S1021" s="30"/>
      <c r="T1021" s="33"/>
      <c r="U1021" s="34" t="str">
        <f>IFERROR(_xlfn.XLOOKUP(E1021,[1]EMPREENDIMENTO!C:C,[1]EMPREENDIMENTO!D:D),"")</f>
        <v>922d6b40-e421-ef11-9e4d-009c02b0cb58</v>
      </c>
    </row>
    <row r="1022" spans="1:21" hidden="1" x14ac:dyDescent="0.35">
      <c r="A1022" s="28" t="str">
        <f>IFERROR(_xlfn.XLOOKUP(C1022,[1]DIRETORIA!C:C,[1]DIRETORIA!A:A),"-")</f>
        <v>DIR. COM E CRED CO E AM</v>
      </c>
      <c r="B1022" s="28" t="str">
        <f>IFERROR(_xlfn.XLOOKUP(C1022,[1]DIRETORIA!C:C,[1]DIRETORIA!B:B),"-")</f>
        <v>GST. COM GO</v>
      </c>
      <c r="C1022" s="28" t="str">
        <f>IFERROR(_xlfn.XLOOKUP(E1022,[1]EMPREENDIMENTO!C:C,[1]EMPREENDIMENTO!A:A),"-")</f>
        <v>GOIÂNIA</v>
      </c>
      <c r="D1022" s="28" t="s">
        <v>29</v>
      </c>
      <c r="E1022" s="28" t="s">
        <v>1873</v>
      </c>
      <c r="F1022" s="28" t="s">
        <v>31</v>
      </c>
      <c r="G1022" s="28" t="s">
        <v>1874</v>
      </c>
      <c r="H1022" s="28">
        <v>54395</v>
      </c>
      <c r="I1022" s="29">
        <f>IFERROR(_xlfn.XLOOKUP(E1022,[1]EMPREENDIMENTO!C:C,[1]EMPREENDIMENTO!E:E),"0")</f>
        <v>432</v>
      </c>
      <c r="J1022" s="30"/>
      <c r="K1022" s="28" t="s">
        <v>33</v>
      </c>
      <c r="L1022" s="31">
        <v>46195</v>
      </c>
      <c r="M1022" s="32">
        <v>162514160</v>
      </c>
      <c r="N1022" s="32">
        <v>184183040</v>
      </c>
      <c r="O1022" s="32">
        <v>170479120</v>
      </c>
      <c r="P1022" s="28" t="s">
        <v>34</v>
      </c>
      <c r="Q1022" s="28" t="s">
        <v>1875</v>
      </c>
      <c r="R1022" s="30">
        <v>46202</v>
      </c>
      <c r="S1022" s="30">
        <v>46195</v>
      </c>
      <c r="T1022" s="33"/>
      <c r="U1022" s="34" t="str">
        <f>IFERROR(_xlfn.XLOOKUP(E1022,[1]EMPREENDIMENTO!C:C,[1]EMPREENDIMENTO!D:D),"")</f>
        <v>31335405-692c-ec11-b501-005056856b6c</v>
      </c>
    </row>
    <row r="1023" spans="1:21" hidden="1" x14ac:dyDescent="0.35">
      <c r="A1023" s="28" t="str">
        <f>IFERROR(_xlfn.XLOOKUP(C1023,[1]DIRETORIA!C:C,[1]DIRETORIA!A:A),"-")</f>
        <v>DIR. COM E CRED CO E AM</v>
      </c>
      <c r="B1023" s="28" t="str">
        <f>IFERROR(_xlfn.XLOOKUP(C1023,[1]DIRETORIA!C:C,[1]DIRETORIA!B:B),"-")</f>
        <v>GST. COM GO</v>
      </c>
      <c r="C1023" s="28" t="str">
        <f>IFERROR(_xlfn.XLOOKUP(E1023,[1]EMPREENDIMENTO!C:C,[1]EMPREENDIMENTO!A:A),"-")</f>
        <v>GOIÂNIA</v>
      </c>
      <c r="D1023" s="28" t="s">
        <v>29</v>
      </c>
      <c r="E1023" s="28" t="s">
        <v>1873</v>
      </c>
      <c r="F1023" s="28" t="s">
        <v>36</v>
      </c>
      <c r="G1023" s="28" t="s">
        <v>1876</v>
      </c>
      <c r="H1023" s="28">
        <v>60278</v>
      </c>
      <c r="I1023" s="29">
        <f>IFERROR(_xlfn.XLOOKUP(E1023,[1]EMPREENDIMENTO!C:C,[1]EMPREENDIMENTO!E:E),"0")</f>
        <v>432</v>
      </c>
      <c r="J1023" s="30"/>
      <c r="K1023" s="28" t="s">
        <v>33</v>
      </c>
      <c r="L1023" s="31">
        <v>46195</v>
      </c>
      <c r="M1023" s="32">
        <v>162514160</v>
      </c>
      <c r="N1023" s="32">
        <v>184183040</v>
      </c>
      <c r="O1023" s="32">
        <v>170479120</v>
      </c>
      <c r="P1023" s="28" t="s">
        <v>34</v>
      </c>
      <c r="Q1023" s="28" t="s">
        <v>1875</v>
      </c>
      <c r="R1023" s="30">
        <v>46202</v>
      </c>
      <c r="S1023" s="30">
        <v>46195</v>
      </c>
      <c r="T1023" s="33"/>
      <c r="U1023" s="34" t="str">
        <f>IFERROR(_xlfn.XLOOKUP(E1023,[1]EMPREENDIMENTO!C:C,[1]EMPREENDIMENTO!D:D),"")</f>
        <v>31335405-692c-ec11-b501-005056856b6c</v>
      </c>
    </row>
    <row r="1024" spans="1:21" hidden="1" x14ac:dyDescent="0.35">
      <c r="A1024" s="28" t="str">
        <f>IFERROR(_xlfn.XLOOKUP(C1024,[1]DIRETORIA!C:C,[1]DIRETORIA!A:A),"-")</f>
        <v>DIR. COM E CRED CO E AM</v>
      </c>
      <c r="B1024" s="28" t="str">
        <f>IFERROR(_xlfn.XLOOKUP(C1024,[1]DIRETORIA!C:C,[1]DIRETORIA!B:B),"-")</f>
        <v>GST. COM GO</v>
      </c>
      <c r="C1024" s="28" t="str">
        <f>IFERROR(_xlfn.XLOOKUP(E1024,[1]EMPREENDIMENTO!C:C,[1]EMPREENDIMENTO!A:A),"-")</f>
        <v>GOIÂNIA</v>
      </c>
      <c r="D1024" s="28" t="s">
        <v>85</v>
      </c>
      <c r="E1024" s="28" t="s">
        <v>1873</v>
      </c>
      <c r="F1024" s="28" t="s">
        <v>39</v>
      </c>
      <c r="G1024" s="28" t="s">
        <v>268</v>
      </c>
      <c r="H1024" s="28" t="s">
        <v>268</v>
      </c>
      <c r="I1024" s="29">
        <f>IFERROR(_xlfn.XLOOKUP(E1024,[1]EMPREENDIMENTO!C:C,[1]EMPREENDIMENTO!E:E),"0")</f>
        <v>432</v>
      </c>
      <c r="J1024" s="30"/>
      <c r="K1024" s="28" t="s">
        <v>33</v>
      </c>
      <c r="L1024" s="31">
        <v>46195</v>
      </c>
      <c r="M1024" s="32">
        <v>162514160</v>
      </c>
      <c r="N1024" s="32">
        <v>184183040</v>
      </c>
      <c r="O1024" s="32">
        <v>170479120</v>
      </c>
      <c r="P1024" s="28" t="s">
        <v>34</v>
      </c>
      <c r="Q1024" s="28" t="s">
        <v>1875</v>
      </c>
      <c r="R1024" s="30">
        <v>46202</v>
      </c>
      <c r="S1024" s="30">
        <v>46195</v>
      </c>
      <c r="T1024" s="33"/>
      <c r="U1024" s="34" t="str">
        <f>IFERROR(_xlfn.XLOOKUP(E1024,[1]EMPREENDIMENTO!C:C,[1]EMPREENDIMENTO!D:D),"")</f>
        <v>31335405-692c-ec11-b501-005056856b6c</v>
      </c>
    </row>
    <row r="1025" spans="1:21" hidden="1" x14ac:dyDescent="0.35">
      <c r="A1025" s="28" t="str">
        <f>IFERROR(_xlfn.XLOOKUP(C1025,[1]DIRETORIA!C:C,[1]DIRETORIA!A:A),"-")</f>
        <v>DIR. COM E CRED RJ</v>
      </c>
      <c r="B1025" s="28" t="str">
        <f>IFERROR(_xlfn.XLOOKUP(C1025,[1]DIRETORIA!C:C,[1]DIRETORIA!B:B),"-")</f>
        <v>GST. COM RJ1</v>
      </c>
      <c r="C1025" s="28" t="str">
        <f>IFERROR(_xlfn.XLOOKUP(E1025,[1]EMPREENDIMENTO!C:C,[1]EMPREENDIMENTO!A:A),"-")</f>
        <v>RIO DE JANEIRO</v>
      </c>
      <c r="D1025" s="28" t="s">
        <v>85</v>
      </c>
      <c r="E1025" s="28" t="s">
        <v>1877</v>
      </c>
      <c r="F1025" s="28" t="s">
        <v>42</v>
      </c>
      <c r="G1025" s="28" t="s">
        <v>1878</v>
      </c>
      <c r="H1025" s="28">
        <v>53585</v>
      </c>
      <c r="I1025" s="29">
        <f>IFERROR(_xlfn.XLOOKUP(E1025,[1]EMPREENDIMENTO!C:C,[1]EMPREENDIMENTO!E:E),"0")</f>
        <v>0</v>
      </c>
      <c r="J1025" s="30"/>
      <c r="K1025" s="28" t="s">
        <v>33</v>
      </c>
      <c r="L1025" s="31">
        <v>45861</v>
      </c>
      <c r="M1025" s="32">
        <v>82893000</v>
      </c>
      <c r="N1025" s="32">
        <v>84208800</v>
      </c>
      <c r="O1025" s="32">
        <v>83228000</v>
      </c>
      <c r="P1025" s="28" t="s">
        <v>34</v>
      </c>
      <c r="Q1025" s="28">
        <v>657557</v>
      </c>
      <c r="R1025" s="30">
        <v>45806</v>
      </c>
      <c r="S1025" s="30">
        <v>45862</v>
      </c>
      <c r="T1025" s="33"/>
      <c r="U1025" s="34" t="str">
        <f>IFERROR(_xlfn.XLOOKUP(E1025,[1]EMPREENDIMENTO!C:C,[1]EMPREENDIMENTO!D:D),"")</f>
        <v>A7632651-02E5-ED11-879A-80C16E075108</v>
      </c>
    </row>
    <row r="1026" spans="1:21" hidden="1" x14ac:dyDescent="0.35">
      <c r="A1026" s="28" t="str">
        <f>IFERROR(_xlfn.XLOOKUP(C1026,[1]DIRETORIA!C:C,[1]DIRETORIA!A:A),"-")</f>
        <v>DIR. COM E CRED CO E AM</v>
      </c>
      <c r="B1026" s="28" t="str">
        <f>IFERROR(_xlfn.XLOOKUP(C1026,[1]DIRETORIA!C:C,[1]DIRETORIA!B:B),"-")</f>
        <v>GST. COM AM</v>
      </c>
      <c r="C1026" s="28" t="str">
        <f>IFERROR(_xlfn.XLOOKUP(E1026,[1]EMPREENDIMENTO!C:C,[1]EMPREENDIMENTO!A:A),"-")</f>
        <v>MANAUS</v>
      </c>
      <c r="D1026" s="28" t="s">
        <v>85</v>
      </c>
      <c r="E1026" s="28" t="s">
        <v>1879</v>
      </c>
      <c r="F1026" s="28" t="s">
        <v>42</v>
      </c>
      <c r="G1026" s="28" t="s">
        <v>1880</v>
      </c>
      <c r="H1026" s="28">
        <v>45449</v>
      </c>
      <c r="I1026" s="29">
        <f>IFERROR(_xlfn.XLOOKUP(E1026,[1]EMPREENDIMENTO!C:C,[1]EMPREENDIMENTO!E:E),"0")</f>
        <v>0</v>
      </c>
      <c r="J1026" s="30"/>
      <c r="K1026" s="28" t="s">
        <v>33</v>
      </c>
      <c r="L1026" s="31">
        <v>46020</v>
      </c>
      <c r="M1026" s="32">
        <v>80307549</v>
      </c>
      <c r="N1026" s="32">
        <v>92600960</v>
      </c>
      <c r="O1026" s="32">
        <v>85325244</v>
      </c>
      <c r="P1026" s="28" t="s">
        <v>34</v>
      </c>
      <c r="Q1026" s="28">
        <v>774421</v>
      </c>
      <c r="R1026" s="30">
        <v>46041</v>
      </c>
      <c r="S1026" s="30">
        <v>46028</v>
      </c>
      <c r="T1026" s="33"/>
      <c r="U1026" s="34" t="str">
        <f>IFERROR(_xlfn.XLOOKUP(E1026,[1]EMPREENDIMENTO!C:C,[1]EMPREENDIMENTO!D:D),"")</f>
        <v>48715CAE-623C-EE11-8ACD-80C16E075108</v>
      </c>
    </row>
    <row r="1027" spans="1:21" hidden="1" x14ac:dyDescent="0.35">
      <c r="A1027" s="28" t="str">
        <f>IFERROR(_xlfn.XLOOKUP(C1027,[1]DIRETORIA!C:C,[1]DIRETORIA!A:A),"-")</f>
        <v>DIR. COM E CRED SUL</v>
      </c>
      <c r="B1027" s="28" t="str">
        <f>IFERROR(_xlfn.XLOOKUP(C1027,[1]DIRETORIA!C:C,[1]DIRETORIA!B:B),"-")</f>
        <v>GST. COM RS SUL</v>
      </c>
      <c r="C1027" s="28" t="str">
        <f>IFERROR(_xlfn.XLOOKUP(E1027,[1]EMPREENDIMENTO!C:C,[1]EMPREENDIMENTO!A:A),"-")</f>
        <v>PORTO ALEGRE</v>
      </c>
      <c r="D1027" s="28" t="s">
        <v>29</v>
      </c>
      <c r="E1027" s="28" t="s">
        <v>1881</v>
      </c>
      <c r="F1027" s="28" t="s">
        <v>31</v>
      </c>
      <c r="G1027" s="28" t="s">
        <v>1882</v>
      </c>
      <c r="H1027" s="28">
        <v>54530</v>
      </c>
      <c r="I1027" s="29">
        <f>IFERROR(_xlfn.XLOOKUP(E1027,[1]EMPREENDIMENTO!C:C,[1]EMPREENDIMENTO!E:E),"0")</f>
        <v>200</v>
      </c>
      <c r="J1027" s="30"/>
      <c r="K1027" s="28" t="s">
        <v>164</v>
      </c>
      <c r="L1027" s="31">
        <v>45856</v>
      </c>
      <c r="M1027" s="32">
        <v>66529667</v>
      </c>
      <c r="N1027" s="32">
        <v>71929077.400000006</v>
      </c>
      <c r="O1027" s="32">
        <v>71929077.400000006</v>
      </c>
      <c r="P1027" s="28" t="s">
        <v>34</v>
      </c>
      <c r="Q1027" s="28" t="s">
        <v>1883</v>
      </c>
      <c r="R1027" s="30">
        <v>46002</v>
      </c>
      <c r="S1027" s="30">
        <v>45993</v>
      </c>
      <c r="T1027" s="33"/>
      <c r="U1027" s="34" t="str">
        <f>IFERROR(_xlfn.XLOOKUP(E1027,[1]EMPREENDIMENTO!C:C,[1]EMPREENDIMENTO!D:D),"")</f>
        <v>2a6c974d-3607-ec11-a30e-0050568a2e98</v>
      </c>
    </row>
    <row r="1028" spans="1:21" hidden="1" x14ac:dyDescent="0.35">
      <c r="A1028" s="28" t="str">
        <f>IFERROR(_xlfn.XLOOKUP(C1028,[1]DIRETORIA!C:C,[1]DIRETORIA!A:A),"-")</f>
        <v>DIR. COM E CRED SUL</v>
      </c>
      <c r="B1028" s="28" t="str">
        <f>IFERROR(_xlfn.XLOOKUP(C1028,[1]DIRETORIA!C:C,[1]DIRETORIA!B:B),"-")</f>
        <v>GST. COM RS SUL</v>
      </c>
      <c r="C1028" s="28" t="str">
        <f>IFERROR(_xlfn.XLOOKUP(E1028,[1]EMPREENDIMENTO!C:C,[1]EMPREENDIMENTO!A:A),"-")</f>
        <v>PORTO ALEGRE</v>
      </c>
      <c r="D1028" s="28" t="s">
        <v>29</v>
      </c>
      <c r="E1028" s="28" t="s">
        <v>1881</v>
      </c>
      <c r="F1028" s="28" t="s">
        <v>36</v>
      </c>
      <c r="G1028" s="28" t="s">
        <v>1884</v>
      </c>
      <c r="H1028" s="28">
        <v>58062</v>
      </c>
      <c r="I1028" s="29">
        <f>IFERROR(_xlfn.XLOOKUP(E1028,[1]EMPREENDIMENTO!C:C,[1]EMPREENDIMENTO!E:E),"0")</f>
        <v>200</v>
      </c>
      <c r="J1028" s="30"/>
      <c r="K1028" s="28" t="s">
        <v>164</v>
      </c>
      <c r="L1028" s="31">
        <v>45856</v>
      </c>
      <c r="M1028" s="32">
        <v>66529667</v>
      </c>
      <c r="N1028" s="32">
        <v>71929077.400000006</v>
      </c>
      <c r="O1028" s="32">
        <v>71929077.400000006</v>
      </c>
      <c r="P1028" s="28" t="s">
        <v>34</v>
      </c>
      <c r="Q1028" s="28" t="s">
        <v>1883</v>
      </c>
      <c r="R1028" s="30">
        <v>46002</v>
      </c>
      <c r="S1028" s="30">
        <v>45993</v>
      </c>
      <c r="T1028" s="33"/>
      <c r="U1028" s="34" t="str">
        <f>IFERROR(_xlfn.XLOOKUP(E1028,[1]EMPREENDIMENTO!C:C,[1]EMPREENDIMENTO!D:D),"")</f>
        <v>2a6c974d-3607-ec11-a30e-0050568a2e98</v>
      </c>
    </row>
    <row r="1029" spans="1:21" hidden="1" x14ac:dyDescent="0.35">
      <c r="A1029" s="28" t="str">
        <f>IFERROR(_xlfn.XLOOKUP(C1029,[1]DIRETORIA!C:C,[1]DIRETORIA!A:A),"-")</f>
        <v>DIR. COM E CRED RJ</v>
      </c>
      <c r="B1029" s="28" t="str">
        <f>IFERROR(_xlfn.XLOOKUP(C1029,[1]DIRETORIA!C:C,[1]DIRETORIA!B:B),"-")</f>
        <v>GST. COM RJ1</v>
      </c>
      <c r="C1029" s="28" t="str">
        <f>IFERROR(_xlfn.XLOOKUP(E1029,[1]EMPREENDIMENTO!C:C,[1]EMPREENDIMENTO!A:A),"-")</f>
        <v>RIO DE JANEIRO</v>
      </c>
      <c r="D1029" s="28" t="s">
        <v>29</v>
      </c>
      <c r="E1029" s="28" t="s">
        <v>1885</v>
      </c>
      <c r="F1029" s="28" t="s">
        <v>42</v>
      </c>
      <c r="G1029" s="28" t="s">
        <v>1886</v>
      </c>
      <c r="H1029" s="28">
        <v>53988</v>
      </c>
      <c r="I1029" s="29">
        <f>IFERROR(_xlfn.XLOOKUP(E1029,[1]EMPREENDIMENTO!C:C,[1]EMPREENDIMENTO!E:E),"0")</f>
        <v>380</v>
      </c>
      <c r="J1029" s="30"/>
      <c r="K1029" s="28" t="s">
        <v>33</v>
      </c>
      <c r="L1029" s="31">
        <v>46183</v>
      </c>
      <c r="M1029" s="32">
        <v>107127590</v>
      </c>
      <c r="N1029" s="32">
        <v>118622297</v>
      </c>
      <c r="O1029" s="32">
        <v>111922100</v>
      </c>
      <c r="P1029" s="28" t="s">
        <v>34</v>
      </c>
      <c r="Q1029" s="28" t="s">
        <v>1887</v>
      </c>
      <c r="R1029" s="30">
        <v>46184</v>
      </c>
      <c r="S1029" s="30">
        <v>46184</v>
      </c>
      <c r="T1029" s="33"/>
      <c r="U1029" s="34" t="str">
        <f>IFERROR(_xlfn.XLOOKUP(E1029,[1]EMPREENDIMENTO!C:C,[1]EMPREENDIMENTO!D:D),"")</f>
        <v>82E8A323-6C98-EF11-B65C-009C02B0CB58</v>
      </c>
    </row>
    <row r="1030" spans="1:21" hidden="1" x14ac:dyDescent="0.35">
      <c r="A1030" s="28" t="str">
        <f>IFERROR(_xlfn.XLOOKUP(C1030,[1]DIRETORIA!C:C,[1]DIRETORIA!A:A),"-")</f>
        <v>DIR. COM E CRED SUL</v>
      </c>
      <c r="B1030" s="28" t="str">
        <f>IFERROR(_xlfn.XLOOKUP(C1030,[1]DIRETORIA!C:C,[1]DIRETORIA!B:B),"-")</f>
        <v>GST. COM RS SUL</v>
      </c>
      <c r="C1030" s="28" t="str">
        <f>IFERROR(_xlfn.XLOOKUP(E1030,[1]EMPREENDIMENTO!C:C,[1]EMPREENDIMENTO!A:A),"-")</f>
        <v>PORTO ALEGRE</v>
      </c>
      <c r="D1030" s="28" t="s">
        <v>29</v>
      </c>
      <c r="E1030" s="28" t="s">
        <v>1888</v>
      </c>
      <c r="F1030" s="28" t="s">
        <v>31</v>
      </c>
      <c r="G1030" s="28" t="s">
        <v>1889</v>
      </c>
      <c r="H1030" s="28">
        <v>34668</v>
      </c>
      <c r="I1030" s="29">
        <f>IFERROR(_xlfn.XLOOKUP(E1030,[1]EMPREENDIMENTO!C:C,[1]EMPREENDIMENTO!E:E),"0")</f>
        <v>440</v>
      </c>
      <c r="J1030" s="30"/>
      <c r="K1030" s="28" t="s">
        <v>33</v>
      </c>
      <c r="L1030" s="31">
        <v>46227</v>
      </c>
      <c r="M1030" s="32">
        <v>128863901</v>
      </c>
      <c r="N1030" s="32">
        <v>136595735.06</v>
      </c>
      <c r="O1030" s="32">
        <v>133046712.16000001</v>
      </c>
      <c r="P1030" s="28" t="s">
        <v>34</v>
      </c>
      <c r="Q1030" s="28" t="s">
        <v>1890</v>
      </c>
      <c r="R1030" s="30">
        <v>46237</v>
      </c>
      <c r="S1030" s="30">
        <v>46230</v>
      </c>
      <c r="T1030" s="33"/>
      <c r="U1030" s="34" t="str">
        <f>IFERROR(_xlfn.XLOOKUP(E1030,[1]EMPREENDIMENTO!C:C,[1]EMPREENDIMENTO!D:D),"")</f>
        <v>ee8a424a-3f65-e611-b1e9-009c02b0cb58</v>
      </c>
    </row>
    <row r="1031" spans="1:21" hidden="1" x14ac:dyDescent="0.35">
      <c r="A1031" s="28" t="str">
        <f>IFERROR(_xlfn.XLOOKUP(C1031,[1]DIRETORIA!C:C,[1]DIRETORIA!A:A),"-")</f>
        <v>DIR. COM E CRED SUL</v>
      </c>
      <c r="B1031" s="28" t="str">
        <f>IFERROR(_xlfn.XLOOKUP(C1031,[1]DIRETORIA!C:C,[1]DIRETORIA!B:B),"-")</f>
        <v>GST. COM RS SUL</v>
      </c>
      <c r="C1031" s="28" t="str">
        <f>IFERROR(_xlfn.XLOOKUP(E1031,[1]EMPREENDIMENTO!C:C,[1]EMPREENDIMENTO!A:A),"-")</f>
        <v>PORTO ALEGRE</v>
      </c>
      <c r="D1031" s="28" t="s">
        <v>29</v>
      </c>
      <c r="E1031" s="28" t="s">
        <v>1888</v>
      </c>
      <c r="F1031" s="28" t="s">
        <v>36</v>
      </c>
      <c r="G1031" s="28" t="s">
        <v>1891</v>
      </c>
      <c r="H1031" s="28">
        <v>58592</v>
      </c>
      <c r="I1031" s="29">
        <f>IFERROR(_xlfn.XLOOKUP(E1031,[1]EMPREENDIMENTO!C:C,[1]EMPREENDIMENTO!E:E),"0")</f>
        <v>440</v>
      </c>
      <c r="J1031" s="30"/>
      <c r="K1031" s="28" t="s">
        <v>33</v>
      </c>
      <c r="L1031" s="31">
        <v>46227</v>
      </c>
      <c r="M1031" s="32">
        <v>128863901</v>
      </c>
      <c r="N1031" s="32">
        <v>136595735.06</v>
      </c>
      <c r="O1031" s="32">
        <v>133046712.16000001</v>
      </c>
      <c r="P1031" s="28" t="s">
        <v>34</v>
      </c>
      <c r="Q1031" s="28" t="s">
        <v>1890</v>
      </c>
      <c r="R1031" s="30">
        <v>46237</v>
      </c>
      <c r="S1031" s="30">
        <v>46230</v>
      </c>
      <c r="T1031" s="33"/>
      <c r="U1031" s="34" t="str">
        <f>IFERROR(_xlfn.XLOOKUP(E1031,[1]EMPREENDIMENTO!C:C,[1]EMPREENDIMENTO!D:D),"")</f>
        <v>ee8a424a-3f65-e611-b1e9-009c02b0cb58</v>
      </c>
    </row>
    <row r="1032" spans="1:21" hidden="1" x14ac:dyDescent="0.35">
      <c r="A1032" s="28" t="str">
        <f>IFERROR(_xlfn.XLOOKUP(C1032,[1]DIRETORIA!C:C,[1]DIRETORIA!A:A),"-")</f>
        <v>DIR. COM E CRED SUL</v>
      </c>
      <c r="B1032" s="28" t="str">
        <f>IFERROR(_xlfn.XLOOKUP(C1032,[1]DIRETORIA!C:C,[1]DIRETORIA!B:B),"-")</f>
        <v>GST. COM RS SUL</v>
      </c>
      <c r="C1032" s="28" t="str">
        <f>IFERROR(_xlfn.XLOOKUP(E1032,[1]EMPREENDIMENTO!C:C,[1]EMPREENDIMENTO!A:A),"-")</f>
        <v>PORTO ALEGRE</v>
      </c>
      <c r="D1032" s="28" t="s">
        <v>85</v>
      </c>
      <c r="E1032" s="28" t="s">
        <v>1888</v>
      </c>
      <c r="F1032" s="28" t="s">
        <v>39</v>
      </c>
      <c r="G1032" s="28" t="s">
        <v>268</v>
      </c>
      <c r="H1032" s="28">
        <v>58546</v>
      </c>
      <c r="I1032" s="29">
        <f>IFERROR(_xlfn.XLOOKUP(E1032,[1]EMPREENDIMENTO!C:C,[1]EMPREENDIMENTO!E:E),"0")</f>
        <v>440</v>
      </c>
      <c r="J1032" s="30"/>
      <c r="K1032" s="28" t="s">
        <v>33</v>
      </c>
      <c r="L1032" s="31">
        <v>46227</v>
      </c>
      <c r="M1032" s="32">
        <v>128863901</v>
      </c>
      <c r="N1032" s="32">
        <v>136595735.06</v>
      </c>
      <c r="O1032" s="32">
        <v>133046712.16000001</v>
      </c>
      <c r="P1032" s="28" t="s">
        <v>34</v>
      </c>
      <c r="Q1032" s="28" t="s">
        <v>1890</v>
      </c>
      <c r="R1032" s="30">
        <v>46237</v>
      </c>
      <c r="S1032" s="30">
        <v>46230</v>
      </c>
      <c r="T1032" s="33"/>
      <c r="U1032" s="34" t="str">
        <f>IFERROR(_xlfn.XLOOKUP(E1032,[1]EMPREENDIMENTO!C:C,[1]EMPREENDIMENTO!D:D),"")</f>
        <v>ee8a424a-3f65-e611-b1e9-009c02b0cb58</v>
      </c>
    </row>
    <row r="1033" spans="1:21" hidden="1" x14ac:dyDescent="0.35">
      <c r="A1033" s="28" t="str">
        <f>IFERROR(_xlfn.XLOOKUP(C1033,[1]DIRETORIA!C:C,[1]DIRETORIA!A:A),"-")</f>
        <v>DIR. COM E CRED SUL</v>
      </c>
      <c r="B1033" s="28" t="str">
        <f>IFERROR(_xlfn.XLOOKUP(C1033,[1]DIRETORIA!C:C,[1]DIRETORIA!B:B),"-")</f>
        <v>GST. COM RS SUL</v>
      </c>
      <c r="C1033" s="28" t="str">
        <f>IFERROR(_xlfn.XLOOKUP(E1033,[1]EMPREENDIMENTO!C:C,[1]EMPREENDIMENTO!A:A),"-")</f>
        <v>PORTO ALEGRE</v>
      </c>
      <c r="D1033" s="28" t="s">
        <v>85</v>
      </c>
      <c r="E1033" s="28" t="s">
        <v>1888</v>
      </c>
      <c r="F1033" s="28" t="s">
        <v>50</v>
      </c>
      <c r="G1033" s="28" t="s">
        <v>268</v>
      </c>
      <c r="H1033" s="28">
        <v>58596</v>
      </c>
      <c r="I1033" s="29">
        <f>IFERROR(_xlfn.XLOOKUP(E1033,[1]EMPREENDIMENTO!C:C,[1]EMPREENDIMENTO!E:E),"0")</f>
        <v>440</v>
      </c>
      <c r="J1033" s="30"/>
      <c r="K1033" s="28" t="s">
        <v>33</v>
      </c>
      <c r="L1033" s="31">
        <v>46227</v>
      </c>
      <c r="M1033" s="32">
        <v>128863901</v>
      </c>
      <c r="N1033" s="32">
        <v>136595735.06</v>
      </c>
      <c r="O1033" s="32">
        <v>133046712.16000001</v>
      </c>
      <c r="P1033" s="28" t="s">
        <v>34</v>
      </c>
      <c r="Q1033" s="28" t="s">
        <v>1890</v>
      </c>
      <c r="R1033" s="30">
        <v>46237</v>
      </c>
      <c r="S1033" s="30">
        <v>46230</v>
      </c>
      <c r="T1033" s="33"/>
      <c r="U1033" s="34" t="str">
        <f>IFERROR(_xlfn.XLOOKUP(E1033,[1]EMPREENDIMENTO!C:C,[1]EMPREENDIMENTO!D:D),"")</f>
        <v>ee8a424a-3f65-e611-b1e9-009c02b0cb58</v>
      </c>
    </row>
    <row r="1034" spans="1:21" x14ac:dyDescent="0.35">
      <c r="A1034" s="28" t="str">
        <f>IFERROR(_xlfn.XLOOKUP(C1034,[1]DIRETORIA!C:C,[1]DIRETORIA!A:A),"-")</f>
        <v>DIR. COM E CRED SPI</v>
      </c>
      <c r="B1034" s="28" t="str">
        <f>IFERROR(_xlfn.XLOOKUP(C1034,[1]DIRETORIA!C:C,[1]DIRETORIA!B:B),"-")</f>
        <v>GST. COM OP 1</v>
      </c>
      <c r="C1034" s="28" t="str">
        <f>IFERROR(_xlfn.XLOOKUP(E1034,[1]EMPREENDIMENTO!C:C,[1]EMPREENDIMENTO!A:A),"-")</f>
        <v>ARAÇATUBA</v>
      </c>
      <c r="D1034" s="28" t="s">
        <v>29</v>
      </c>
      <c r="E1034" s="28" t="s">
        <v>1892</v>
      </c>
      <c r="F1034" s="28" t="s">
        <v>31</v>
      </c>
      <c r="G1034" s="28" t="s">
        <v>1893</v>
      </c>
      <c r="H1034" s="28">
        <v>54984</v>
      </c>
      <c r="I1034" s="29">
        <f>IFERROR(_xlfn.XLOOKUP(E1034,[1]EMPREENDIMENTO!C:C,[1]EMPREENDIMENTO!E:E),"0")</f>
        <v>164</v>
      </c>
      <c r="J1034" s="30"/>
      <c r="K1034" s="28" t="s">
        <v>33</v>
      </c>
      <c r="L1034" s="31">
        <v>45826</v>
      </c>
      <c r="M1034" s="32">
        <v>3300000</v>
      </c>
      <c r="N1034" s="32">
        <v>3300000</v>
      </c>
      <c r="O1034" s="32">
        <v>3261100</v>
      </c>
      <c r="P1034" s="28" t="s">
        <v>34</v>
      </c>
      <c r="Q1034" s="28" t="s">
        <v>1894</v>
      </c>
      <c r="R1034" s="30">
        <v>45833</v>
      </c>
      <c r="S1034" s="30">
        <v>45826</v>
      </c>
      <c r="T1034" s="33"/>
      <c r="U1034" s="34" t="str">
        <f>IFERROR(_xlfn.XLOOKUP(E1034,[1]EMPREENDIMENTO!C:C,[1]EMPREENDIMENTO!D:D),"")</f>
        <v>9334b761-1c77-e911-b1cd-009c02b0cb58</v>
      </c>
    </row>
    <row r="1035" spans="1:21" x14ac:dyDescent="0.35">
      <c r="A1035" s="28" t="str">
        <f>IFERROR(_xlfn.XLOOKUP(C1035,[1]DIRETORIA!C:C,[1]DIRETORIA!A:A),"-")</f>
        <v>DIR. COM E CRED SPI</v>
      </c>
      <c r="B1035" s="28" t="str">
        <f>IFERROR(_xlfn.XLOOKUP(C1035,[1]DIRETORIA!C:C,[1]DIRETORIA!B:B),"-")</f>
        <v>GST. COM OP 1</v>
      </c>
      <c r="C1035" s="28" t="str">
        <f>IFERROR(_xlfn.XLOOKUP(E1035,[1]EMPREENDIMENTO!C:C,[1]EMPREENDIMENTO!A:A),"-")</f>
        <v>ARAÇATUBA</v>
      </c>
      <c r="D1035" s="28" t="s">
        <v>29</v>
      </c>
      <c r="E1035" s="28" t="s">
        <v>1892</v>
      </c>
      <c r="F1035" s="28" t="s">
        <v>36</v>
      </c>
      <c r="G1035" s="28" t="s">
        <v>1895</v>
      </c>
      <c r="H1035" s="28">
        <v>24235</v>
      </c>
      <c r="I1035" s="29">
        <f>IFERROR(_xlfn.XLOOKUP(E1035,[1]EMPREENDIMENTO!C:C,[1]EMPREENDIMENTO!E:E),"0")</f>
        <v>164</v>
      </c>
      <c r="J1035" s="30"/>
      <c r="K1035" s="28" t="s">
        <v>33</v>
      </c>
      <c r="L1035" s="31">
        <v>45826</v>
      </c>
      <c r="M1035" s="32">
        <v>3300000</v>
      </c>
      <c r="N1035" s="32">
        <v>3300000</v>
      </c>
      <c r="O1035" s="32">
        <v>3261100</v>
      </c>
      <c r="P1035" s="28" t="s">
        <v>34</v>
      </c>
      <c r="Q1035" s="28" t="s">
        <v>1894</v>
      </c>
      <c r="R1035" s="30">
        <v>45833</v>
      </c>
      <c r="S1035" s="30">
        <v>45826</v>
      </c>
      <c r="T1035" s="33"/>
      <c r="U1035" s="34" t="str">
        <f>IFERROR(_xlfn.XLOOKUP(E1035,[1]EMPREENDIMENTO!C:C,[1]EMPREENDIMENTO!D:D),"")</f>
        <v>9334b761-1c77-e911-b1cd-009c02b0cb58</v>
      </c>
    </row>
    <row r="1036" spans="1:21" hidden="1" x14ac:dyDescent="0.35">
      <c r="A1036" s="28" t="str">
        <f>IFERROR(_xlfn.XLOOKUP(C1036,[1]DIRETORIA!C:C,[1]DIRETORIA!A:A),"-")</f>
        <v>DIR. COM E CRED SP E VL</v>
      </c>
      <c r="B1036" s="28" t="str">
        <f>IFERROR(_xlfn.XLOOKUP(C1036,[1]DIRETORIA!C:C,[1]DIRETORIA!B:B),"-")</f>
        <v>GST. COM VL1</v>
      </c>
      <c r="C1036" s="28" t="str">
        <f>IFERROR(_xlfn.XLOOKUP(E1036,[1]EMPREENDIMENTO!C:C,[1]EMPREENDIMENTO!A:A),"-")</f>
        <v>SÃO JOSÉ DOS CAMPOS</v>
      </c>
      <c r="D1036" s="28" t="s">
        <v>29</v>
      </c>
      <c r="E1036" s="28" t="s">
        <v>1896</v>
      </c>
      <c r="F1036" s="28" t="s">
        <v>42</v>
      </c>
      <c r="G1036" s="28" t="s">
        <v>1897</v>
      </c>
      <c r="H1036" s="28">
        <v>54651</v>
      </c>
      <c r="I1036" s="29">
        <f>IFERROR(_xlfn.XLOOKUP(E1036,[1]EMPREENDIMENTO!C:C,[1]EMPREENDIMENTO!E:E),"0")</f>
        <v>299</v>
      </c>
      <c r="J1036" s="30"/>
      <c r="K1036" s="28" t="s">
        <v>164</v>
      </c>
      <c r="L1036" s="31">
        <v>46107</v>
      </c>
      <c r="M1036" s="32">
        <v>84973370</v>
      </c>
      <c r="N1036" s="32">
        <v>90980938</v>
      </c>
      <c r="O1036" s="32">
        <v>90105535</v>
      </c>
      <c r="P1036" s="28" t="s">
        <v>34</v>
      </c>
      <c r="Q1036" s="28" t="s">
        <v>1898</v>
      </c>
      <c r="R1036" s="30">
        <v>46108</v>
      </c>
      <c r="S1036" s="30">
        <v>46107</v>
      </c>
      <c r="T1036" s="33"/>
      <c r="U1036" s="34" t="str">
        <f>IFERROR(_xlfn.XLOOKUP(E1036,[1]EMPREENDIMENTO!C:C,[1]EMPREENDIMENTO!D:D),"")</f>
        <v>b424bbfe-a978-e911-a7ac-80c16e075108</v>
      </c>
    </row>
    <row r="1037" spans="1:21" hidden="1" x14ac:dyDescent="0.35">
      <c r="A1037" s="28" t="str">
        <f>IFERROR(_xlfn.XLOOKUP(C1037,[1]DIRETORIA!C:C,[1]DIRETORIA!A:A),"-")</f>
        <v>DIR. COM E CRED RJ</v>
      </c>
      <c r="B1037" s="28" t="str">
        <f>IFERROR(_xlfn.XLOOKUP(C1037,[1]DIRETORIA!C:C,[1]DIRETORIA!B:B),"-")</f>
        <v>GST. COM RJ2</v>
      </c>
      <c r="C1037" s="28" t="str">
        <f>IFERROR(_xlfn.XLOOKUP(E1037,[1]EMPREENDIMENTO!C:C,[1]EMPREENDIMENTO!A:A),"-")</f>
        <v>NITERÓI</v>
      </c>
      <c r="D1037" s="28" t="s">
        <v>85</v>
      </c>
      <c r="E1037" s="28" t="s">
        <v>1899</v>
      </c>
      <c r="F1037" s="28" t="s">
        <v>42</v>
      </c>
      <c r="G1037" s="28" t="s">
        <v>1900</v>
      </c>
      <c r="H1037" s="28">
        <v>54632</v>
      </c>
      <c r="I1037" s="29">
        <f>IFERROR(_xlfn.XLOOKUP(E1037,[1]EMPREENDIMENTO!C:C,[1]EMPREENDIMENTO!E:E),"0")</f>
        <v>0</v>
      </c>
      <c r="J1037" s="30"/>
      <c r="K1037" s="28" t="s">
        <v>33</v>
      </c>
      <c r="L1037" s="31">
        <v>46136</v>
      </c>
      <c r="M1037" s="32">
        <v>120652299</v>
      </c>
      <c r="N1037" s="32">
        <v>136277613</v>
      </c>
      <c r="O1037" s="32">
        <v>133448988</v>
      </c>
      <c r="P1037" s="28" t="s">
        <v>34</v>
      </c>
      <c r="Q1037" s="28"/>
      <c r="R1037" s="30"/>
      <c r="S1037" s="30">
        <v>46139</v>
      </c>
      <c r="T1037" s="33" t="s">
        <v>1901</v>
      </c>
      <c r="U1037" s="34" t="str">
        <f>IFERROR(_xlfn.XLOOKUP(E1037,[1]EMPREENDIMENTO!C:C,[1]EMPREENDIMENTO!D:D),"")</f>
        <v>EB895832-0A76-EB11-8864-0050568AA20F</v>
      </c>
    </row>
    <row r="1038" spans="1:21" hidden="1" x14ac:dyDescent="0.35">
      <c r="A1038" s="28" t="str">
        <f>IFERROR(_xlfn.XLOOKUP(C1038,[1]DIRETORIA!C:C,[1]DIRETORIA!A:A),"-")</f>
        <v>DIR. COM E CRED MG E ES</v>
      </c>
      <c r="B1038" s="28" t="str">
        <f>IFERROR(_xlfn.XLOOKUP(C1038,[1]DIRETORIA!C:C,[1]DIRETORIA!B:B),"-")</f>
        <v>GST. COM BH E INT</v>
      </c>
      <c r="C1038" s="28" t="str">
        <f>IFERROR(_xlfn.XLOOKUP(E1038,[1]EMPREENDIMENTO!C:C,[1]EMPREENDIMENTO!A:A),"-")</f>
        <v>CONTAGEM</v>
      </c>
      <c r="D1038" s="28" t="s">
        <v>29</v>
      </c>
      <c r="E1038" s="28" t="s">
        <v>1902</v>
      </c>
      <c r="F1038" s="28" t="s">
        <v>42</v>
      </c>
      <c r="G1038" s="28" t="s">
        <v>1903</v>
      </c>
      <c r="H1038" s="28">
        <v>54727</v>
      </c>
      <c r="I1038" s="29">
        <f>IFERROR(_xlfn.XLOOKUP(E1038,[1]EMPREENDIMENTO!C:C,[1]EMPREENDIMENTO!E:E),"0")</f>
        <v>128</v>
      </c>
      <c r="J1038" s="30"/>
      <c r="K1038" s="28" t="s">
        <v>33</v>
      </c>
      <c r="L1038" s="31">
        <v>46059</v>
      </c>
      <c r="M1038" s="32">
        <v>35906668</v>
      </c>
      <c r="N1038" s="32">
        <v>38607992</v>
      </c>
      <c r="O1038" s="32">
        <v>37135012</v>
      </c>
      <c r="P1038" s="28" t="s">
        <v>34</v>
      </c>
      <c r="Q1038" s="28" t="s">
        <v>1904</v>
      </c>
      <c r="R1038" s="30">
        <v>46069</v>
      </c>
      <c r="S1038" s="30">
        <v>46062</v>
      </c>
      <c r="T1038" s="33"/>
      <c r="U1038" s="34" t="str">
        <f>IFERROR(_xlfn.XLOOKUP(E1038,[1]EMPREENDIMENTO!C:C,[1]EMPREENDIMENTO!D:D),"")</f>
        <v>58752188-54e9-dc11-abd0-001b7845b4a6</v>
      </c>
    </row>
    <row r="1039" spans="1:21" hidden="1" x14ac:dyDescent="0.35">
      <c r="A1039" s="28" t="str">
        <f>IFERROR(_xlfn.XLOOKUP(C1039,[1]DIRETORIA!C:C,[1]DIRETORIA!A:A),"-")</f>
        <v>DIR. COM E CRED NE</v>
      </c>
      <c r="B1039" s="28" t="str">
        <f>IFERROR(_xlfn.XLOOKUP(C1039,[1]DIRETORIA!C:C,[1]DIRETORIA!B:B),"-")</f>
        <v>GST. COM NE1 (BA 1)</v>
      </c>
      <c r="C1039" s="28" t="str">
        <f>IFERROR(_xlfn.XLOOKUP(E1039,[1]EMPREENDIMENTO!C:C,[1]EMPREENDIMENTO!A:A),"-")</f>
        <v>SALVADOR</v>
      </c>
      <c r="D1039" s="28" t="s">
        <v>85</v>
      </c>
      <c r="E1039" s="28" t="s">
        <v>1905</v>
      </c>
      <c r="F1039" s="28" t="s">
        <v>42</v>
      </c>
      <c r="G1039" s="28" t="s">
        <v>1906</v>
      </c>
      <c r="H1039" s="28">
        <v>34294</v>
      </c>
      <c r="I1039" s="29">
        <f>IFERROR(_xlfn.XLOOKUP(E1039,[1]EMPREENDIMENTO!C:C,[1]EMPREENDIMENTO!E:E),"0")</f>
        <v>380</v>
      </c>
      <c r="J1039" s="30"/>
      <c r="K1039" s="28" t="s">
        <v>164</v>
      </c>
      <c r="L1039" s="31">
        <v>46142</v>
      </c>
      <c r="M1039" s="32">
        <v>94558800</v>
      </c>
      <c r="N1039" s="32">
        <v>114609019</v>
      </c>
      <c r="O1039" s="32">
        <v>110900448</v>
      </c>
      <c r="P1039" s="28" t="s">
        <v>34</v>
      </c>
      <c r="Q1039" s="28"/>
      <c r="R1039" s="30">
        <v>46162</v>
      </c>
      <c r="S1039" s="30">
        <v>46146</v>
      </c>
      <c r="T1039" s="33"/>
      <c r="U1039" s="34" t="str">
        <f>IFERROR(_xlfn.XLOOKUP(E1039,[1]EMPREENDIMENTO!C:C,[1]EMPREENDIMENTO!D:D),"")</f>
        <v>FB781D1A-660C-E611-A5BB-009C02B0CB58</v>
      </c>
    </row>
    <row r="1040" spans="1:21" x14ac:dyDescent="0.35">
      <c r="A1040" s="28" t="str">
        <f>IFERROR(_xlfn.XLOOKUP(C1040,[1]DIRETORIA!C:C,[1]DIRETORIA!A:A),"-")</f>
        <v>DIR. COM E CRED SPI CP</v>
      </c>
      <c r="B1040" s="28" t="str">
        <f>IFERROR(_xlfn.XLOOKUP(C1040,[1]DIRETORIA!C:C,[1]DIRETORIA!B:B),"-")</f>
        <v>GST. COM CP2</v>
      </c>
      <c r="C1040" s="28" t="s">
        <v>1907</v>
      </c>
      <c r="D1040" s="28" t="s">
        <v>29</v>
      </c>
      <c r="E1040" s="28" t="s">
        <v>1908</v>
      </c>
      <c r="F1040" s="28" t="s">
        <v>31</v>
      </c>
      <c r="G1040" s="28" t="s">
        <v>1909</v>
      </c>
      <c r="H1040" s="28">
        <v>54792</v>
      </c>
      <c r="I1040" s="29">
        <f>IFERROR(_xlfn.XLOOKUP(E1040,[1]EMPREENDIMENTO!C:C,[1]EMPREENDIMENTO!E:E),"0")</f>
        <v>220</v>
      </c>
      <c r="J1040" s="30"/>
      <c r="K1040" s="28" t="s">
        <v>33</v>
      </c>
      <c r="L1040" s="31">
        <v>46211</v>
      </c>
      <c r="M1040" s="32">
        <v>49744200</v>
      </c>
      <c r="N1040" s="32">
        <v>55652000</v>
      </c>
      <c r="O1040" s="32">
        <v>51216000</v>
      </c>
      <c r="P1040" s="28" t="s">
        <v>34</v>
      </c>
      <c r="Q1040" s="28" t="s">
        <v>1910</v>
      </c>
      <c r="R1040" s="30">
        <v>46220</v>
      </c>
      <c r="S1040" s="30">
        <v>46213</v>
      </c>
      <c r="T1040" s="33"/>
      <c r="U1040" s="34" t="str">
        <f>IFERROR(_xlfn.XLOOKUP(E1040,[1]EMPREENDIMENTO!C:C,[1]EMPREENDIMENTO!D:D),"")</f>
        <v>9e377698-3110-ee11-9510-005056856875</v>
      </c>
    </row>
    <row r="1041" spans="1:21" x14ac:dyDescent="0.35">
      <c r="A1041" s="28" t="str">
        <f>IFERROR(_xlfn.XLOOKUP(C1041,[1]DIRETORIA!C:C,[1]DIRETORIA!A:A),"-")</f>
        <v>DIR. COM E CRED SPI CP</v>
      </c>
      <c r="B1041" s="28" t="str">
        <f>IFERROR(_xlfn.XLOOKUP(C1041,[1]DIRETORIA!C:C,[1]DIRETORIA!B:B),"-")</f>
        <v>GST. COM CP2</v>
      </c>
      <c r="C1041" s="28" t="s">
        <v>1907</v>
      </c>
      <c r="D1041" s="28" t="s">
        <v>85</v>
      </c>
      <c r="E1041" s="28" t="s">
        <v>1908</v>
      </c>
      <c r="F1041" s="28" t="s">
        <v>36</v>
      </c>
      <c r="G1041" s="28" t="s">
        <v>268</v>
      </c>
      <c r="H1041" s="28" t="s">
        <v>268</v>
      </c>
      <c r="I1041" s="29">
        <f>IFERROR(_xlfn.XLOOKUP(E1041,[1]EMPREENDIMENTO!C:C,[1]EMPREENDIMENTO!E:E),"0")</f>
        <v>220</v>
      </c>
      <c r="J1041" s="30"/>
      <c r="K1041" s="28" t="s">
        <v>33</v>
      </c>
      <c r="L1041" s="31">
        <v>46211</v>
      </c>
      <c r="M1041" s="32">
        <v>49744200</v>
      </c>
      <c r="N1041" s="32">
        <v>55652000</v>
      </c>
      <c r="O1041" s="32">
        <v>51216000</v>
      </c>
      <c r="P1041" s="28" t="s">
        <v>34</v>
      </c>
      <c r="Q1041" s="28" t="s">
        <v>1910</v>
      </c>
      <c r="R1041" s="30">
        <v>46220</v>
      </c>
      <c r="S1041" s="30">
        <v>46213</v>
      </c>
      <c r="T1041" s="33"/>
      <c r="U1041" s="34" t="str">
        <f>IFERROR(_xlfn.XLOOKUP(E1041,[1]EMPREENDIMENTO!C:C,[1]EMPREENDIMENTO!D:D),"")</f>
        <v>9e377698-3110-ee11-9510-005056856875</v>
      </c>
    </row>
    <row r="1042" spans="1:21" hidden="1" x14ac:dyDescent="0.35">
      <c r="A1042" s="28" t="str">
        <f>IFERROR(_xlfn.XLOOKUP(C1042,[1]DIRETORIA!C:C,[1]DIRETORIA!A:A),"-")</f>
        <v>DIR. COM E CRED NE</v>
      </c>
      <c r="B1042" s="28" t="str">
        <f>IFERROR(_xlfn.XLOOKUP(C1042,[1]DIRETORIA!C:C,[1]DIRETORIA!B:B),"-")</f>
        <v>GST. COM NE4 (CE)</v>
      </c>
      <c r="C1042" s="28" t="str">
        <f>IFERROR(_xlfn.XLOOKUP(E1042,[1]EMPREENDIMENTO!C:C,[1]EMPREENDIMENTO!A:A),"-")</f>
        <v>FORTALEZA</v>
      </c>
      <c r="D1042" s="28" t="s">
        <v>29</v>
      </c>
      <c r="E1042" s="28" t="s">
        <v>1911</v>
      </c>
      <c r="F1042" s="28" t="s">
        <v>31</v>
      </c>
      <c r="G1042" s="28" t="s">
        <v>1912</v>
      </c>
      <c r="H1042" s="28">
        <v>54510</v>
      </c>
      <c r="I1042" s="29">
        <f>IFERROR(_xlfn.XLOOKUP(E1042,[1]EMPREENDIMENTO!C:C,[1]EMPREENDIMENTO!E:E),"0")</f>
        <v>576</v>
      </c>
      <c r="J1042" s="30"/>
      <c r="K1042" s="28" t="s">
        <v>164</v>
      </c>
      <c r="L1042" s="31">
        <v>46162</v>
      </c>
      <c r="M1042" s="32">
        <v>178602971</v>
      </c>
      <c r="N1042" s="32">
        <v>197295903</v>
      </c>
      <c r="O1042" s="32">
        <v>195864310</v>
      </c>
      <c r="P1042" s="28" t="s">
        <v>81</v>
      </c>
      <c r="Q1042" s="28" t="s">
        <v>1913</v>
      </c>
      <c r="R1042" s="30">
        <v>46169</v>
      </c>
      <c r="S1042" s="30">
        <v>46036</v>
      </c>
      <c r="T1042" s="33"/>
      <c r="U1042" s="34" t="str">
        <f>IFERROR(_xlfn.XLOOKUP(E1042,[1]EMPREENDIMENTO!C:C,[1]EMPREENDIMENTO!D:D),"")</f>
        <v>f3a9b239-22e2-ef11-ab5a-80c16e075108</v>
      </c>
    </row>
    <row r="1043" spans="1:21" hidden="1" x14ac:dyDescent="0.35">
      <c r="A1043" s="28" t="str">
        <f>IFERROR(_xlfn.XLOOKUP(C1043,[1]DIRETORIA!C:C,[1]DIRETORIA!A:A),"-")</f>
        <v>DIR. COM E CRED NE</v>
      </c>
      <c r="B1043" s="28" t="str">
        <f>IFERROR(_xlfn.XLOOKUP(C1043,[1]DIRETORIA!C:C,[1]DIRETORIA!B:B),"-")</f>
        <v>GST. COM NE4 (CE)</v>
      </c>
      <c r="C1043" s="28" t="str">
        <f>IFERROR(_xlfn.XLOOKUP(E1043,[1]EMPREENDIMENTO!C:C,[1]EMPREENDIMENTO!A:A),"-")</f>
        <v>FORTALEZA</v>
      </c>
      <c r="D1043" s="28" t="s">
        <v>85</v>
      </c>
      <c r="E1043" s="28" t="s">
        <v>1911</v>
      </c>
      <c r="F1043" s="28" t="s">
        <v>36</v>
      </c>
      <c r="G1043" s="28" t="s">
        <v>268</v>
      </c>
      <c r="H1043" s="28">
        <v>67309</v>
      </c>
      <c r="I1043" s="29">
        <f>IFERROR(_xlfn.XLOOKUP(E1043,[1]EMPREENDIMENTO!C:C,[1]EMPREENDIMENTO!E:E),"0")</f>
        <v>576</v>
      </c>
      <c r="J1043" s="30"/>
      <c r="K1043" s="28" t="s">
        <v>164</v>
      </c>
      <c r="L1043" s="31">
        <v>46162</v>
      </c>
      <c r="M1043" s="32">
        <v>178602971</v>
      </c>
      <c r="N1043" s="32">
        <v>197295903</v>
      </c>
      <c r="O1043" s="32">
        <v>195864310</v>
      </c>
      <c r="P1043" s="28" t="s">
        <v>81</v>
      </c>
      <c r="Q1043" s="28" t="s">
        <v>1913</v>
      </c>
      <c r="R1043" s="30">
        <v>46169</v>
      </c>
      <c r="S1043" s="30">
        <v>46036</v>
      </c>
      <c r="T1043" s="33"/>
      <c r="U1043" s="34" t="str">
        <f>IFERROR(_xlfn.XLOOKUP(E1043,[1]EMPREENDIMENTO!C:C,[1]EMPREENDIMENTO!D:D),"")</f>
        <v>f3a9b239-22e2-ef11-ab5a-80c16e075108</v>
      </c>
    </row>
    <row r="1044" spans="1:21" hidden="1" x14ac:dyDescent="0.35">
      <c r="A1044" s="28" t="str">
        <f>IFERROR(_xlfn.XLOOKUP(C1044,[1]DIRETORIA!C:C,[1]DIRETORIA!A:A),"-")</f>
        <v>DIR. COM E CRED NE</v>
      </c>
      <c r="B1044" s="28" t="str">
        <f>IFERROR(_xlfn.XLOOKUP(C1044,[1]DIRETORIA!C:C,[1]DIRETORIA!B:B),"-")</f>
        <v>GST. COM NE4 (CE)</v>
      </c>
      <c r="C1044" s="28" t="str">
        <f>IFERROR(_xlfn.XLOOKUP(E1044,[1]EMPREENDIMENTO!C:C,[1]EMPREENDIMENTO!A:A),"-")</f>
        <v>FORTALEZA</v>
      </c>
      <c r="D1044" s="28" t="s">
        <v>85</v>
      </c>
      <c r="E1044" s="28" t="s">
        <v>1911</v>
      </c>
      <c r="F1044" s="28" t="s">
        <v>39</v>
      </c>
      <c r="G1044" s="28" t="s">
        <v>268</v>
      </c>
      <c r="H1044" s="28" t="s">
        <v>268</v>
      </c>
      <c r="I1044" s="29">
        <f>IFERROR(_xlfn.XLOOKUP(E1044,[1]EMPREENDIMENTO!C:C,[1]EMPREENDIMENTO!E:E),"0")</f>
        <v>576</v>
      </c>
      <c r="J1044" s="30"/>
      <c r="K1044" s="28" t="s">
        <v>164</v>
      </c>
      <c r="L1044" s="31">
        <v>46162</v>
      </c>
      <c r="M1044" s="32">
        <v>178602971</v>
      </c>
      <c r="N1044" s="32">
        <v>197295903</v>
      </c>
      <c r="O1044" s="32">
        <v>195864310</v>
      </c>
      <c r="P1044" s="28" t="s">
        <v>81</v>
      </c>
      <c r="Q1044" s="28" t="s">
        <v>1913</v>
      </c>
      <c r="R1044" s="30">
        <v>46169</v>
      </c>
      <c r="S1044" s="30">
        <v>46036</v>
      </c>
      <c r="T1044" s="33"/>
      <c r="U1044" s="34" t="str">
        <f>IFERROR(_xlfn.XLOOKUP(E1044,[1]EMPREENDIMENTO!C:C,[1]EMPREENDIMENTO!D:D),"")</f>
        <v>f3a9b239-22e2-ef11-ab5a-80c16e075108</v>
      </c>
    </row>
    <row r="1045" spans="1:21" hidden="1" x14ac:dyDescent="0.35">
      <c r="A1045" s="28" t="str">
        <f>IFERROR(_xlfn.XLOOKUP(C1045,[1]DIRETORIA!C:C,[1]DIRETORIA!A:A),"-")</f>
        <v>DIR. COM E CRED NE</v>
      </c>
      <c r="B1045" s="28" t="str">
        <f>IFERROR(_xlfn.XLOOKUP(C1045,[1]DIRETORIA!C:C,[1]DIRETORIA!B:B),"-")</f>
        <v>GST. COM NE1 (BA 1)</v>
      </c>
      <c r="C1045" s="28" t="str">
        <f>IFERROR(_xlfn.XLOOKUP(E1045,[1]EMPREENDIMENTO!C:C,[1]EMPREENDIMENTO!A:A),"-")</f>
        <v>LAURO DE FREITAS</v>
      </c>
      <c r="D1045" s="28" t="s">
        <v>85</v>
      </c>
      <c r="E1045" s="28" t="s">
        <v>1914</v>
      </c>
      <c r="F1045" s="28" t="s">
        <v>42</v>
      </c>
      <c r="G1045" s="28" t="s">
        <v>1915</v>
      </c>
      <c r="H1045" s="28">
        <v>54282</v>
      </c>
      <c r="I1045" s="29">
        <f>IFERROR(_xlfn.XLOOKUP(E1045,[1]EMPREENDIMENTO!C:C,[1]EMPREENDIMENTO!E:E),"0")</f>
        <v>320</v>
      </c>
      <c r="J1045" s="30"/>
      <c r="K1045" s="28" t="s">
        <v>33</v>
      </c>
      <c r="L1045" s="31">
        <v>45792</v>
      </c>
      <c r="M1045" s="32">
        <v>115979321</v>
      </c>
      <c r="N1045" s="32">
        <v>115979321</v>
      </c>
      <c r="O1045" s="32">
        <v>115758329</v>
      </c>
      <c r="P1045" s="28" t="s">
        <v>34</v>
      </c>
      <c r="Q1045" s="28"/>
      <c r="R1045" s="30"/>
      <c r="S1045" s="30">
        <v>45793</v>
      </c>
      <c r="T1045" s="33"/>
      <c r="U1045" s="34" t="str">
        <f>IFERROR(_xlfn.XLOOKUP(E1045,[1]EMPREENDIMENTO!C:C,[1]EMPREENDIMENTO!D:D),"")</f>
        <v>65A898F2-79B9-EB11-94B3-005056856875</v>
      </c>
    </row>
    <row r="1046" spans="1:21" hidden="1" x14ac:dyDescent="0.35">
      <c r="A1046" s="28" t="str">
        <f>IFERROR(_xlfn.XLOOKUP(C1046,[1]DIRETORIA!C:C,[1]DIRETORIA!A:A),"-")</f>
        <v>DIR. COM E CRED SUL</v>
      </c>
      <c r="B1046" s="28" t="str">
        <f>IFERROR(_xlfn.XLOOKUP(C1046,[1]DIRETORIA!C:C,[1]DIRETORIA!B:B),"-")</f>
        <v>GST. COM LONDRINA</v>
      </c>
      <c r="C1046" s="28" t="str">
        <f>IFERROR(_xlfn.XLOOKUP(E1046,[1]EMPREENDIMENTO!C:C,[1]EMPREENDIMENTO!A:A),"-")</f>
        <v>MARINGÁ</v>
      </c>
      <c r="D1046" s="28" t="s">
        <v>29</v>
      </c>
      <c r="E1046" s="28" t="s">
        <v>1916</v>
      </c>
      <c r="F1046" s="28" t="s">
        <v>42</v>
      </c>
      <c r="G1046" s="28" t="s">
        <v>1917</v>
      </c>
      <c r="H1046" s="28">
        <v>54895</v>
      </c>
      <c r="I1046" s="29">
        <f>IFERROR(_xlfn.XLOOKUP(E1046,[1]EMPREENDIMENTO!C:C,[1]EMPREENDIMENTO!E:E),"0")</f>
        <v>144</v>
      </c>
      <c r="J1046" s="30"/>
      <c r="K1046" s="28" t="s">
        <v>33</v>
      </c>
      <c r="L1046" s="31">
        <v>46136</v>
      </c>
      <c r="M1046" s="32">
        <v>42534275</v>
      </c>
      <c r="N1046" s="32">
        <v>44748275</v>
      </c>
      <c r="O1046" s="32">
        <v>43704570</v>
      </c>
      <c r="P1046" s="28" t="s">
        <v>2</v>
      </c>
      <c r="Q1046" s="28" t="s">
        <v>1918</v>
      </c>
      <c r="R1046" s="30">
        <v>46290</v>
      </c>
      <c r="S1046" s="30"/>
      <c r="T1046" s="33"/>
      <c r="U1046" s="34" t="str">
        <f>IFERROR(_xlfn.XLOOKUP(E1046,[1]EMPREENDIMENTO!C:C,[1]EMPREENDIMENTO!D:D),"")</f>
        <v>3880eb69-aaad-ef11-b65c-009c02b0cb58</v>
      </c>
    </row>
    <row r="1047" spans="1:21" x14ac:dyDescent="0.35">
      <c r="A1047" s="28" t="str">
        <f>IFERROR(_xlfn.XLOOKUP(C1047,[1]DIRETORIA!C:C,[1]DIRETORIA!A:A),"-")</f>
        <v>DIR. COM E CRED SPI CP</v>
      </c>
      <c r="B1047" s="28" t="str">
        <f>IFERROR(_xlfn.XLOOKUP(C1047,[1]DIRETORIA!C:C,[1]DIRETORIA!B:B),"-")</f>
        <v>GST. COM CP1</v>
      </c>
      <c r="C1047" s="28" t="str">
        <f>IFERROR(_xlfn.XLOOKUP(E1047,[1]EMPREENDIMENTO!C:C,[1]EMPREENDIMENTO!A:A),"-")</f>
        <v>CAMPINAS</v>
      </c>
      <c r="D1047" s="28" t="s">
        <v>85</v>
      </c>
      <c r="E1047" s="28" t="s">
        <v>1919</v>
      </c>
      <c r="F1047" s="28" t="s">
        <v>42</v>
      </c>
      <c r="G1047" s="28" t="s">
        <v>1920</v>
      </c>
      <c r="H1047" s="28">
        <v>52612</v>
      </c>
      <c r="I1047" s="29">
        <f>IFERROR(_xlfn.XLOOKUP(E1047,[1]EMPREENDIMENTO!C:C,[1]EMPREENDIMENTO!E:E),"0")</f>
        <v>280</v>
      </c>
      <c r="J1047" s="30"/>
      <c r="K1047" s="28" t="s">
        <v>33</v>
      </c>
      <c r="L1047" s="31">
        <v>46045</v>
      </c>
      <c r="M1047" s="32">
        <v>208106091</v>
      </c>
      <c r="N1047" s="32">
        <v>227116142</v>
      </c>
      <c r="O1047" s="32">
        <v>211253925</v>
      </c>
      <c r="P1047" s="28" t="s">
        <v>34</v>
      </c>
      <c r="Q1047" s="28"/>
      <c r="R1047" s="30">
        <v>46066</v>
      </c>
      <c r="S1047" s="30">
        <v>46048</v>
      </c>
      <c r="T1047" s="33"/>
      <c r="U1047" s="34" t="str">
        <f>IFERROR(_xlfn.XLOOKUP(E1047,[1]EMPREENDIMENTO!C:C,[1]EMPREENDIMENTO!D:D),"")</f>
        <v>5a5f7f85-e25b-eb11-ac7f-005056856875</v>
      </c>
    </row>
    <row r="1048" spans="1:21" x14ac:dyDescent="0.35">
      <c r="A1048" s="28" t="str">
        <f>IFERROR(_xlfn.XLOOKUP(C1048,[1]DIRETORIA!C:C,[1]DIRETORIA!A:A),"-")</f>
        <v>DIR. COM E CRED SPI CP</v>
      </c>
      <c r="B1048" s="28" t="str">
        <f>IFERROR(_xlfn.XLOOKUP(C1048,[1]DIRETORIA!C:C,[1]DIRETORIA!B:B),"-")</f>
        <v>GST. COM CP1</v>
      </c>
      <c r="C1048" s="28" t="str">
        <f>IFERROR(_xlfn.XLOOKUP(E1048,[1]EMPREENDIMENTO!C:C,[1]EMPREENDIMENTO!A:A),"-")</f>
        <v>CAMPINAS</v>
      </c>
      <c r="D1048" s="28" t="s">
        <v>29</v>
      </c>
      <c r="E1048" s="28" t="s">
        <v>1921</v>
      </c>
      <c r="F1048" s="28" t="s">
        <v>42</v>
      </c>
      <c r="G1048" s="28" t="s">
        <v>1922</v>
      </c>
      <c r="H1048" s="28">
        <v>55026</v>
      </c>
      <c r="I1048" s="29">
        <f>IFERROR(_xlfn.XLOOKUP(E1048,[1]EMPREENDIMENTO!C:C,[1]EMPREENDIMENTO!E:E),"0")</f>
        <v>352</v>
      </c>
      <c r="J1048" s="30"/>
      <c r="K1048" s="28" t="s">
        <v>33</v>
      </c>
      <c r="L1048" s="31">
        <v>46021</v>
      </c>
      <c r="M1048" s="32">
        <v>111513300</v>
      </c>
      <c r="N1048" s="32">
        <v>111513300</v>
      </c>
      <c r="O1048" s="32">
        <v>109599164</v>
      </c>
      <c r="P1048" s="28" t="s">
        <v>34</v>
      </c>
      <c r="Q1048" s="28"/>
      <c r="R1048" s="30"/>
      <c r="S1048" s="30">
        <v>46021</v>
      </c>
      <c r="T1048" s="33"/>
      <c r="U1048" s="34" t="str">
        <f>IFERROR(_xlfn.XLOOKUP(E1048,[1]EMPREENDIMENTO!C:C,[1]EMPREENDIMENTO!D:D),"")</f>
        <v>07b6134b-294c-ee11-8acd-80c16e075108</v>
      </c>
    </row>
    <row r="1049" spans="1:21" hidden="1" x14ac:dyDescent="0.35">
      <c r="A1049" s="28" t="str">
        <f>IFERROR(_xlfn.XLOOKUP(C1049,[1]DIRETORIA!C:C,[1]DIRETORIA!A:A),"-")</f>
        <v>DIR. COM E CRED SUL</v>
      </c>
      <c r="B1049" s="28" t="str">
        <f>IFERROR(_xlfn.XLOOKUP(C1049,[1]DIRETORIA!C:C,[1]DIRETORIA!B:B),"-")</f>
        <v>GST. COM LONDRINA</v>
      </c>
      <c r="C1049" s="28" t="str">
        <f>IFERROR(_xlfn.XLOOKUP(E1049,[1]EMPREENDIMENTO!C:C,[1]EMPREENDIMENTO!A:A),"-")</f>
        <v>MARINGÁ</v>
      </c>
      <c r="D1049" s="28" t="s">
        <v>29</v>
      </c>
      <c r="E1049" s="28" t="s">
        <v>1923</v>
      </c>
      <c r="F1049" s="28" t="s">
        <v>31</v>
      </c>
      <c r="G1049" s="28" t="s">
        <v>1924</v>
      </c>
      <c r="H1049" s="28">
        <v>53290</v>
      </c>
      <c r="I1049" s="29">
        <f>IFERROR(_xlfn.XLOOKUP(E1049,[1]EMPREENDIMENTO!C:C,[1]EMPREENDIMENTO!E:E),"0")</f>
        <v>624</v>
      </c>
      <c r="J1049" s="30"/>
      <c r="K1049" s="28" t="s">
        <v>33</v>
      </c>
      <c r="L1049" s="31">
        <v>46161</v>
      </c>
      <c r="M1049" s="32">
        <v>184822108</v>
      </c>
      <c r="N1049" s="32">
        <v>187769903.68000001</v>
      </c>
      <c r="O1049" s="32">
        <v>187769903.68000001</v>
      </c>
      <c r="P1049" s="28" t="s">
        <v>34</v>
      </c>
      <c r="Q1049" s="28">
        <v>829286</v>
      </c>
      <c r="R1049" s="30">
        <v>46181</v>
      </c>
      <c r="S1049" s="30"/>
      <c r="T1049" s="33" t="s">
        <v>1925</v>
      </c>
      <c r="U1049" s="34" t="str">
        <f>IFERROR(_xlfn.XLOOKUP(E1049,[1]EMPREENDIMENTO!C:C,[1]EMPREENDIMENTO!D:D),"")</f>
        <v>672B4286-B168-EC11-A871-005056895191</v>
      </c>
    </row>
    <row r="1050" spans="1:21" hidden="1" x14ac:dyDescent="0.35">
      <c r="A1050" s="28" t="str">
        <f>IFERROR(_xlfn.XLOOKUP(C1050,[1]DIRETORIA!C:C,[1]DIRETORIA!A:A),"-")</f>
        <v>DIR. COM E CRED SUL</v>
      </c>
      <c r="B1050" s="28" t="str">
        <f>IFERROR(_xlfn.XLOOKUP(C1050,[1]DIRETORIA!C:C,[1]DIRETORIA!B:B),"-")</f>
        <v>GST. COM LONDRINA</v>
      </c>
      <c r="C1050" s="28" t="str">
        <f>IFERROR(_xlfn.XLOOKUP(E1050,[1]EMPREENDIMENTO!C:C,[1]EMPREENDIMENTO!A:A),"-")</f>
        <v>MARINGÁ</v>
      </c>
      <c r="D1050" s="28" t="s">
        <v>29</v>
      </c>
      <c r="E1050" s="28" t="s">
        <v>1923</v>
      </c>
      <c r="F1050" s="28" t="s">
        <v>36</v>
      </c>
      <c r="G1050" s="28" t="s">
        <v>1926</v>
      </c>
      <c r="H1050" s="28">
        <v>67249</v>
      </c>
      <c r="I1050" s="29">
        <f>IFERROR(_xlfn.XLOOKUP(E1050,[1]EMPREENDIMENTO!C:C,[1]EMPREENDIMENTO!E:E),"0")</f>
        <v>624</v>
      </c>
      <c r="J1050" s="30"/>
      <c r="K1050" s="28" t="s">
        <v>33</v>
      </c>
      <c r="L1050" s="31">
        <v>46161</v>
      </c>
      <c r="M1050" s="32">
        <v>184822108</v>
      </c>
      <c r="N1050" s="32">
        <v>187769903.68000001</v>
      </c>
      <c r="O1050" s="32">
        <v>187769903.68000001</v>
      </c>
      <c r="P1050" s="28" t="s">
        <v>34</v>
      </c>
      <c r="Q1050" s="28">
        <v>829286</v>
      </c>
      <c r="R1050" s="30">
        <v>46181</v>
      </c>
      <c r="S1050" s="30"/>
      <c r="T1050" s="33" t="s">
        <v>1925</v>
      </c>
      <c r="U1050" s="34" t="str">
        <f>IFERROR(_xlfn.XLOOKUP(E1050,[1]EMPREENDIMENTO!C:C,[1]EMPREENDIMENTO!D:D),"")</f>
        <v>672B4286-B168-EC11-A871-005056895191</v>
      </c>
    </row>
    <row r="1051" spans="1:21" hidden="1" x14ac:dyDescent="0.35">
      <c r="A1051" s="28" t="str">
        <f>IFERROR(_xlfn.XLOOKUP(C1051,[1]DIRETORIA!C:C,[1]DIRETORIA!A:A),"-")</f>
        <v>DIR. COM E CRED SUL</v>
      </c>
      <c r="B1051" s="28" t="str">
        <f>IFERROR(_xlfn.XLOOKUP(C1051,[1]DIRETORIA!C:C,[1]DIRETORIA!B:B),"-")</f>
        <v>GST. COM LONDRINA</v>
      </c>
      <c r="C1051" s="28" t="str">
        <f>IFERROR(_xlfn.XLOOKUP(E1051,[1]EMPREENDIMENTO!C:C,[1]EMPREENDIMENTO!A:A),"-")</f>
        <v>MARINGÁ</v>
      </c>
      <c r="D1051" s="28" t="s">
        <v>85</v>
      </c>
      <c r="E1051" s="28" t="s">
        <v>1923</v>
      </c>
      <c r="F1051" s="28" t="s">
        <v>39</v>
      </c>
      <c r="G1051" s="28" t="s">
        <v>268</v>
      </c>
      <c r="H1051" s="28">
        <v>67255</v>
      </c>
      <c r="I1051" s="29">
        <f>IFERROR(_xlfn.XLOOKUP(E1051,[1]EMPREENDIMENTO!C:C,[1]EMPREENDIMENTO!E:E),"0")</f>
        <v>624</v>
      </c>
      <c r="J1051" s="30"/>
      <c r="K1051" s="28" t="s">
        <v>33</v>
      </c>
      <c r="L1051" s="31">
        <v>46161</v>
      </c>
      <c r="M1051" s="32">
        <v>184822108</v>
      </c>
      <c r="N1051" s="32">
        <v>187769903.68000001</v>
      </c>
      <c r="O1051" s="32">
        <v>187769903.68000001</v>
      </c>
      <c r="P1051" s="28" t="s">
        <v>34</v>
      </c>
      <c r="Q1051" s="28">
        <v>829286</v>
      </c>
      <c r="R1051" s="30">
        <v>46181</v>
      </c>
      <c r="S1051" s="30"/>
      <c r="T1051" s="33" t="s">
        <v>1925</v>
      </c>
      <c r="U1051" s="34" t="str">
        <f>IFERROR(_xlfn.XLOOKUP(E1051,[1]EMPREENDIMENTO!C:C,[1]EMPREENDIMENTO!D:D),"")</f>
        <v>672B4286-B168-EC11-A871-005056895191</v>
      </c>
    </row>
    <row r="1052" spans="1:21" hidden="1" x14ac:dyDescent="0.35">
      <c r="A1052" s="28" t="str">
        <f>IFERROR(_xlfn.XLOOKUP(C1052,[1]DIRETORIA!C:C,[1]DIRETORIA!A:A),"-")</f>
        <v>DIR. COM E CRED CO E AM</v>
      </c>
      <c r="B1052" s="28" t="str">
        <f>IFERROR(_xlfn.XLOOKUP(C1052,[1]DIRETORIA!C:C,[1]DIRETORIA!B:B),"-")</f>
        <v>GST. COM TO</v>
      </c>
      <c r="C1052" s="28" t="str">
        <f>IFERROR(_xlfn.XLOOKUP(E1052,[1]EMPREENDIMENTO!C:C,[1]EMPREENDIMENTO!A:A),"-")</f>
        <v>PALMAS</v>
      </c>
      <c r="D1052" s="28" t="s">
        <v>85</v>
      </c>
      <c r="E1052" s="28" t="s">
        <v>1927</v>
      </c>
      <c r="F1052" s="28" t="s">
        <v>42</v>
      </c>
      <c r="G1052" s="28" t="s">
        <v>1928</v>
      </c>
      <c r="H1052" s="28">
        <v>55220</v>
      </c>
      <c r="I1052" s="29">
        <f>IFERROR(_xlfn.XLOOKUP(E1052,[1]EMPREENDIMENTO!C:C,[1]EMPREENDIMENTO!E:E),"0")</f>
        <v>0</v>
      </c>
      <c r="J1052" s="30"/>
      <c r="K1052" s="28" t="s">
        <v>33</v>
      </c>
      <c r="L1052" s="31">
        <v>46034</v>
      </c>
      <c r="M1052" s="32">
        <v>89928006</v>
      </c>
      <c r="N1052" s="32">
        <v>89928006</v>
      </c>
      <c r="O1052" s="32">
        <v>89040762</v>
      </c>
      <c r="P1052" s="28" t="s">
        <v>34</v>
      </c>
      <c r="Q1052" s="28"/>
      <c r="R1052" s="30"/>
      <c r="S1052" s="30">
        <v>46035</v>
      </c>
      <c r="T1052" s="33"/>
      <c r="U1052" s="34" t="str">
        <f>IFERROR(_xlfn.XLOOKUP(E1052,[1]EMPREENDIMENTO!C:C,[1]EMPREENDIMENTO!D:D),"")</f>
        <v>EF12F12A-905E-EC11-B501-005056856B6C</v>
      </c>
    </row>
    <row r="1053" spans="1:21" hidden="1" x14ac:dyDescent="0.35">
      <c r="A1053" s="28" t="str">
        <f>IFERROR(_xlfn.XLOOKUP(C1053,[1]DIRETORIA!C:C,[1]DIRETORIA!A:A),"-")</f>
        <v>DIR. COM E CRED CO E AM</v>
      </c>
      <c r="B1053" s="28" t="str">
        <f>IFERROR(_xlfn.XLOOKUP(C1053,[1]DIRETORIA!C:C,[1]DIRETORIA!B:B),"-")</f>
        <v>GST. COM AM</v>
      </c>
      <c r="C1053" s="28" t="str">
        <f>IFERROR(_xlfn.XLOOKUP(E1053,[1]EMPREENDIMENTO!C:C,[1]EMPREENDIMENTO!A:A),"-")</f>
        <v>MANAUS</v>
      </c>
      <c r="D1053" s="28" t="s">
        <v>85</v>
      </c>
      <c r="E1053" s="28" t="s">
        <v>1929</v>
      </c>
      <c r="F1053" s="28" t="s">
        <v>42</v>
      </c>
      <c r="G1053" s="28" t="s">
        <v>1930</v>
      </c>
      <c r="H1053" s="28">
        <v>55221</v>
      </c>
      <c r="I1053" s="29">
        <f>IFERROR(_xlfn.XLOOKUP(E1053,[1]EMPREENDIMENTO!C:C,[1]EMPREENDIMENTO!E:E),"0")</f>
        <v>0</v>
      </c>
      <c r="J1053" s="30"/>
      <c r="K1053" s="28" t="s">
        <v>33</v>
      </c>
      <c r="L1053" s="31">
        <v>45950</v>
      </c>
      <c r="M1053" s="32">
        <v>176711054</v>
      </c>
      <c r="N1053" s="32">
        <v>176711054</v>
      </c>
      <c r="O1053" s="32">
        <v>173606960</v>
      </c>
      <c r="P1053" s="28" t="s">
        <v>34</v>
      </c>
      <c r="Q1053" s="28">
        <v>759034</v>
      </c>
      <c r="R1053" s="30">
        <v>46003</v>
      </c>
      <c r="S1053" s="30">
        <v>46002</v>
      </c>
      <c r="T1053" s="33"/>
      <c r="U1053" s="34" t="str">
        <f>IFERROR(_xlfn.XLOOKUP(E1053,[1]EMPREENDIMENTO!C:C,[1]EMPREENDIMENTO!D:D),"")</f>
        <v>4DEB21E9-EA81-EF11-B65C-009C02B0CB58</v>
      </c>
    </row>
    <row r="1054" spans="1:21" hidden="1" x14ac:dyDescent="0.35">
      <c r="A1054" s="28" t="str">
        <f>IFERROR(_xlfn.XLOOKUP(C1054,[1]DIRETORIA!C:C,[1]DIRETORIA!A:A),"-")</f>
        <v>DIR. COM E CRED NE</v>
      </c>
      <c r="B1054" s="28" t="str">
        <f>IFERROR(_xlfn.XLOOKUP(C1054,[1]DIRETORIA!C:C,[1]DIRETORIA!B:B),"-")</f>
        <v>GST. COM NE1 (BA 1)</v>
      </c>
      <c r="C1054" s="28" t="str">
        <f>IFERROR(_xlfn.XLOOKUP(E1054,[1]EMPREENDIMENTO!C:C,[1]EMPREENDIMENTO!A:A),"-")</f>
        <v>SALVADOR</v>
      </c>
      <c r="D1054" s="28" t="s">
        <v>85</v>
      </c>
      <c r="E1054" s="28" t="s">
        <v>1931</v>
      </c>
      <c r="F1054" s="28" t="s">
        <v>42</v>
      </c>
      <c r="G1054" s="28" t="s">
        <v>1932</v>
      </c>
      <c r="H1054" s="28">
        <v>54643</v>
      </c>
      <c r="I1054" s="29">
        <f>IFERROR(_xlfn.XLOOKUP(E1054,[1]EMPREENDIMENTO!C:C,[1]EMPREENDIMENTO!E:E),"0")</f>
        <v>0</v>
      </c>
      <c r="J1054" s="30"/>
      <c r="K1054" s="28" t="s">
        <v>33</v>
      </c>
      <c r="L1054" s="31">
        <v>45814</v>
      </c>
      <c r="M1054" s="32">
        <v>234055257</v>
      </c>
      <c r="N1054" s="32">
        <v>234055257</v>
      </c>
      <c r="O1054" s="32">
        <v>232088224</v>
      </c>
      <c r="P1054" s="28" t="s">
        <v>34</v>
      </c>
      <c r="Q1054" s="28"/>
      <c r="R1054" s="30"/>
      <c r="S1054" s="30">
        <v>45814</v>
      </c>
      <c r="T1054" s="33"/>
      <c r="U1054" s="34" t="str">
        <f>IFERROR(_xlfn.XLOOKUP(E1054,[1]EMPREENDIMENTO!C:C,[1]EMPREENDIMENTO!D:D),"")</f>
        <v>E62EB985-A97A-EF11-B65C-009C02B0CB58</v>
      </c>
    </row>
    <row r="1055" spans="1:21" hidden="1" x14ac:dyDescent="0.35">
      <c r="A1055" s="28" t="str">
        <f>IFERROR(_xlfn.XLOOKUP(C1055,[1]DIRETORIA!C:C,[1]DIRETORIA!A:A),"-")</f>
        <v>DIR. COM E CRED NE</v>
      </c>
      <c r="B1055" s="28" t="str">
        <f>IFERROR(_xlfn.XLOOKUP(C1055,[1]DIRETORIA!C:C,[1]DIRETORIA!B:B),"-")</f>
        <v>GST. COM NE4 (CE)</v>
      </c>
      <c r="C1055" s="28" t="str">
        <f>IFERROR(_xlfn.XLOOKUP(E1055,[1]EMPREENDIMENTO!C:C,[1]EMPREENDIMENTO!A:A),"-")</f>
        <v>FORTALEZA</v>
      </c>
      <c r="D1055" s="28" t="s">
        <v>29</v>
      </c>
      <c r="E1055" s="28" t="s">
        <v>1933</v>
      </c>
      <c r="F1055" s="28" t="s">
        <v>42</v>
      </c>
      <c r="G1055" s="28" t="s">
        <v>1934</v>
      </c>
      <c r="H1055" s="28">
        <v>54822</v>
      </c>
      <c r="I1055" s="29">
        <f>IFERROR(_xlfn.XLOOKUP(E1055,[1]EMPREENDIMENTO!C:C,[1]EMPREENDIMENTO!E:E),"0")</f>
        <v>216</v>
      </c>
      <c r="J1055" s="30"/>
      <c r="K1055" s="28" t="s">
        <v>33</v>
      </c>
      <c r="L1055" s="31">
        <v>46125</v>
      </c>
      <c r="M1055" s="32">
        <v>63937729</v>
      </c>
      <c r="N1055" s="32"/>
      <c r="O1055" s="32"/>
      <c r="P1055" s="28" t="s">
        <v>2</v>
      </c>
      <c r="Q1055" s="28" t="s">
        <v>1935</v>
      </c>
      <c r="R1055" s="30">
        <v>46279</v>
      </c>
      <c r="S1055" s="30"/>
      <c r="T1055" s="33"/>
      <c r="U1055" s="34" t="str">
        <f>IFERROR(_xlfn.XLOOKUP(E1055,[1]EMPREENDIMENTO!C:C,[1]EMPREENDIMENTO!D:D),"")</f>
        <v>bf3a7299-f081-ef11-b65c-009c02b0cb58</v>
      </c>
    </row>
    <row r="1056" spans="1:21" hidden="1" x14ac:dyDescent="0.35">
      <c r="A1056" s="28" t="str">
        <f>IFERROR(_xlfn.XLOOKUP(C1056,[1]DIRETORIA!C:C,[1]DIRETORIA!A:A),"-")</f>
        <v>DIR. COM E CRED SP E VL</v>
      </c>
      <c r="B1056" s="28" t="str">
        <f>IFERROR(_xlfn.XLOOKUP(C1056,[1]DIRETORIA!C:C,[1]DIRETORIA!B:B),"-")</f>
        <v>GST. COM SP2</v>
      </c>
      <c r="C1056" s="28" t="str">
        <f>IFERROR(_xlfn.XLOOKUP(E1056,[1]EMPREENDIMENTO!C:C,[1]EMPREENDIMENTO!A:A),"-")</f>
        <v>SÃO PAULO</v>
      </c>
      <c r="D1056" s="28" t="s">
        <v>29</v>
      </c>
      <c r="E1056" s="28" t="s">
        <v>1936</v>
      </c>
      <c r="F1056" s="28" t="s">
        <v>31</v>
      </c>
      <c r="G1056" s="28" t="s">
        <v>1937</v>
      </c>
      <c r="H1056" s="28">
        <v>54877</v>
      </c>
      <c r="I1056" s="29">
        <f>IFERROR(_xlfn.XLOOKUP(E1056,[1]EMPREENDIMENTO!C:C,[1]EMPREENDIMENTO!E:E),"0")</f>
        <v>372</v>
      </c>
      <c r="J1056" s="30"/>
      <c r="K1056" s="28" t="s">
        <v>33</v>
      </c>
      <c r="L1056" s="31">
        <v>46175</v>
      </c>
      <c r="M1056" s="32">
        <v>103290103</v>
      </c>
      <c r="N1056" s="32">
        <v>110146361</v>
      </c>
      <c r="O1056" s="32">
        <v>108908420</v>
      </c>
      <c r="P1056" s="28" t="s">
        <v>34</v>
      </c>
      <c r="Q1056" s="28" t="s">
        <v>1938</v>
      </c>
      <c r="R1056" s="30">
        <v>46169</v>
      </c>
      <c r="S1056" s="30">
        <v>46175</v>
      </c>
      <c r="T1056" s="33"/>
      <c r="U1056" s="34" t="str">
        <f>IFERROR(_xlfn.XLOOKUP(E1056,[1]EMPREENDIMENTO!C:C,[1]EMPREENDIMENTO!D:D),"")</f>
        <v>925cabdc-6d47-ee11-9510-005056856875</v>
      </c>
    </row>
    <row r="1057" spans="1:21" hidden="1" x14ac:dyDescent="0.35">
      <c r="A1057" s="28" t="str">
        <f>IFERROR(_xlfn.XLOOKUP(C1057,[1]DIRETORIA!C:C,[1]DIRETORIA!A:A),"-")</f>
        <v>DIR. COM E CRED SP E VL</v>
      </c>
      <c r="B1057" s="28" t="str">
        <f>IFERROR(_xlfn.XLOOKUP(C1057,[1]DIRETORIA!C:C,[1]DIRETORIA!B:B),"-")</f>
        <v>GST. COM SP2</v>
      </c>
      <c r="C1057" s="28" t="str">
        <f>IFERROR(_xlfn.XLOOKUP(E1057,[1]EMPREENDIMENTO!C:C,[1]EMPREENDIMENTO!A:A),"-")</f>
        <v>SÃO PAULO</v>
      </c>
      <c r="D1057" s="28" t="s">
        <v>85</v>
      </c>
      <c r="E1057" s="28" t="s">
        <v>1936</v>
      </c>
      <c r="F1057" s="28" t="s">
        <v>36</v>
      </c>
      <c r="G1057" s="28" t="s">
        <v>268</v>
      </c>
      <c r="H1057" s="28" t="s">
        <v>268</v>
      </c>
      <c r="I1057" s="29">
        <f>IFERROR(_xlfn.XLOOKUP(E1057,[1]EMPREENDIMENTO!C:C,[1]EMPREENDIMENTO!E:E),"0")</f>
        <v>372</v>
      </c>
      <c r="J1057" s="30"/>
      <c r="K1057" s="28" t="s">
        <v>33</v>
      </c>
      <c r="L1057" s="31">
        <v>46175</v>
      </c>
      <c r="M1057" s="32">
        <v>103290103</v>
      </c>
      <c r="N1057" s="32">
        <v>110146361</v>
      </c>
      <c r="O1057" s="32">
        <v>108908420</v>
      </c>
      <c r="P1057" s="28" t="s">
        <v>34</v>
      </c>
      <c r="Q1057" s="28" t="s">
        <v>1938</v>
      </c>
      <c r="R1057" s="30">
        <v>46169</v>
      </c>
      <c r="S1057" s="30">
        <v>46175</v>
      </c>
      <c r="T1057" s="33"/>
      <c r="U1057" s="34" t="str">
        <f>IFERROR(_xlfn.XLOOKUP(E1057,[1]EMPREENDIMENTO!C:C,[1]EMPREENDIMENTO!D:D),"")</f>
        <v>925cabdc-6d47-ee11-9510-005056856875</v>
      </c>
    </row>
    <row r="1058" spans="1:21" hidden="1" x14ac:dyDescent="0.35">
      <c r="A1058" s="28" t="str">
        <f>IFERROR(_xlfn.XLOOKUP(C1058,[1]DIRETORIA!C:C,[1]DIRETORIA!A:A),"-")</f>
        <v>DIR. COM E CRED CO E AM</v>
      </c>
      <c r="B1058" s="28" t="str">
        <f>IFERROR(_xlfn.XLOOKUP(C1058,[1]DIRETORIA!C:C,[1]DIRETORIA!B:B),"-")</f>
        <v>GST. COM AM</v>
      </c>
      <c r="C1058" s="28" t="str">
        <f>IFERROR(_xlfn.XLOOKUP(E1058,[1]EMPREENDIMENTO!C:C,[1]EMPREENDIMENTO!A:A),"-")</f>
        <v>MANAUS</v>
      </c>
      <c r="D1058" s="28" t="s">
        <v>29</v>
      </c>
      <c r="E1058" s="28" t="s">
        <v>1939</v>
      </c>
      <c r="F1058" s="28" t="s">
        <v>31</v>
      </c>
      <c r="G1058" s="28" t="s">
        <v>1940</v>
      </c>
      <c r="H1058" s="28">
        <v>54923</v>
      </c>
      <c r="I1058" s="29">
        <f>IFERROR(_xlfn.XLOOKUP(E1058,[1]EMPREENDIMENTO!C:C,[1]EMPREENDIMENTO!E:E),"0")</f>
        <v>360</v>
      </c>
      <c r="J1058" s="30"/>
      <c r="K1058" s="28" t="s">
        <v>786</v>
      </c>
      <c r="L1058" s="31">
        <v>46122</v>
      </c>
      <c r="M1058" s="32">
        <v>85542464</v>
      </c>
      <c r="N1058" s="32">
        <v>90942464</v>
      </c>
      <c r="O1058" s="32">
        <v>90495074</v>
      </c>
      <c r="P1058" s="28" t="s">
        <v>34</v>
      </c>
      <c r="Q1058" s="28" t="s">
        <v>1941</v>
      </c>
      <c r="R1058" s="30">
        <v>46130</v>
      </c>
      <c r="S1058" s="30">
        <v>46125</v>
      </c>
      <c r="T1058" s="33"/>
      <c r="U1058" s="34" t="str">
        <f>IFERROR(_xlfn.XLOOKUP(E1058,[1]EMPREENDIMENTO!C:C,[1]EMPREENDIMENTO!D:D),"")</f>
        <v>11e7f9f4-fea7-ef11-aaae-005056856875</v>
      </c>
    </row>
    <row r="1059" spans="1:21" hidden="1" x14ac:dyDescent="0.35">
      <c r="A1059" s="28" t="str">
        <f>IFERROR(_xlfn.XLOOKUP(C1059,[1]DIRETORIA!C:C,[1]DIRETORIA!A:A),"-")</f>
        <v>DIR. COM E CRED CO E AM</v>
      </c>
      <c r="B1059" s="28" t="str">
        <f>IFERROR(_xlfn.XLOOKUP(C1059,[1]DIRETORIA!C:C,[1]DIRETORIA!B:B),"-")</f>
        <v>GST. COM AM</v>
      </c>
      <c r="C1059" s="28" t="str">
        <f>IFERROR(_xlfn.XLOOKUP(E1059,[1]EMPREENDIMENTO!C:C,[1]EMPREENDIMENTO!A:A),"-")</f>
        <v>MANAUS</v>
      </c>
      <c r="D1059" s="28" t="s">
        <v>29</v>
      </c>
      <c r="E1059" s="28" t="s">
        <v>1939</v>
      </c>
      <c r="F1059" s="28" t="s">
        <v>36</v>
      </c>
      <c r="G1059" s="28" t="s">
        <v>1942</v>
      </c>
      <c r="H1059" s="28">
        <v>63257</v>
      </c>
      <c r="I1059" s="29">
        <f>IFERROR(_xlfn.XLOOKUP(E1059,[1]EMPREENDIMENTO!C:C,[1]EMPREENDIMENTO!E:E),"0")</f>
        <v>360</v>
      </c>
      <c r="J1059" s="30"/>
      <c r="K1059" s="28" t="s">
        <v>786</v>
      </c>
      <c r="L1059" s="31">
        <v>46122</v>
      </c>
      <c r="M1059" s="32">
        <v>85542464</v>
      </c>
      <c r="N1059" s="32">
        <v>90942464</v>
      </c>
      <c r="O1059" s="32">
        <v>90495074</v>
      </c>
      <c r="P1059" s="28" t="s">
        <v>34</v>
      </c>
      <c r="Q1059" s="28" t="s">
        <v>1941</v>
      </c>
      <c r="R1059" s="30">
        <v>46130</v>
      </c>
      <c r="S1059" s="30">
        <v>46125</v>
      </c>
      <c r="T1059" s="33"/>
      <c r="U1059" s="34" t="str">
        <f>IFERROR(_xlfn.XLOOKUP(E1059,[1]EMPREENDIMENTO!C:C,[1]EMPREENDIMENTO!D:D),"")</f>
        <v>11e7f9f4-fea7-ef11-aaae-005056856875</v>
      </c>
    </row>
    <row r="1060" spans="1:21" hidden="1" x14ac:dyDescent="0.35">
      <c r="A1060" s="28" t="str">
        <f>IFERROR(_xlfn.XLOOKUP(C1060,[1]DIRETORIA!C:C,[1]DIRETORIA!A:A),"-")</f>
        <v>DIR. COM E CRED CO E AM</v>
      </c>
      <c r="B1060" s="28" t="str">
        <f>IFERROR(_xlfn.XLOOKUP(C1060,[1]DIRETORIA!C:C,[1]DIRETORIA!B:B),"-")</f>
        <v>GST. COM MS</v>
      </c>
      <c r="C1060" s="28" t="str">
        <f>IFERROR(_xlfn.XLOOKUP(E1060,[1]EMPREENDIMENTO!C:C,[1]EMPREENDIMENTO!A:A),"-")</f>
        <v>CAMPO GRANDE</v>
      </c>
      <c r="D1060" s="28" t="s">
        <v>29</v>
      </c>
      <c r="E1060" s="28" t="s">
        <v>1943</v>
      </c>
      <c r="F1060" s="28" t="s">
        <v>31</v>
      </c>
      <c r="G1060" s="28" t="s">
        <v>1944</v>
      </c>
      <c r="H1060" s="28">
        <v>55536</v>
      </c>
      <c r="I1060" s="29">
        <f>IFERROR(_xlfn.XLOOKUP(E1060,[1]EMPREENDIMENTO!C:C,[1]EMPREENDIMENTO!E:E),"0")</f>
        <v>576</v>
      </c>
      <c r="J1060" s="30"/>
      <c r="K1060" s="28" t="s">
        <v>33</v>
      </c>
      <c r="L1060" s="31">
        <v>46190</v>
      </c>
      <c r="M1060" s="32">
        <v>145727100</v>
      </c>
      <c r="N1060" s="32">
        <v>161140990</v>
      </c>
      <c r="O1060" s="32">
        <v>154611100</v>
      </c>
      <c r="P1060" s="28" t="s">
        <v>34</v>
      </c>
      <c r="Q1060" s="28" t="s">
        <v>1945</v>
      </c>
      <c r="R1060" s="30">
        <v>46195</v>
      </c>
      <c r="S1060" s="30">
        <v>46191</v>
      </c>
      <c r="T1060" s="33"/>
      <c r="U1060" s="34" t="str">
        <f>IFERROR(_xlfn.XLOOKUP(E1060,[1]EMPREENDIMENTO!C:C,[1]EMPREENDIMENTO!D:D),"")</f>
        <v>d188ae82-f61f-ed11-b1ad-005056856875</v>
      </c>
    </row>
    <row r="1061" spans="1:21" hidden="1" x14ac:dyDescent="0.35">
      <c r="A1061" s="28" t="str">
        <f>IFERROR(_xlfn.XLOOKUP(C1061,[1]DIRETORIA!C:C,[1]DIRETORIA!A:A),"-")</f>
        <v>DIR. COM E CRED CO E AM</v>
      </c>
      <c r="B1061" s="28" t="str">
        <f>IFERROR(_xlfn.XLOOKUP(C1061,[1]DIRETORIA!C:C,[1]DIRETORIA!B:B),"-")</f>
        <v>GST. COM MS</v>
      </c>
      <c r="C1061" s="28" t="str">
        <f>IFERROR(_xlfn.XLOOKUP(E1061,[1]EMPREENDIMENTO!C:C,[1]EMPREENDIMENTO!A:A),"-")</f>
        <v>CAMPO GRANDE</v>
      </c>
      <c r="D1061" s="28" t="s">
        <v>29</v>
      </c>
      <c r="E1061" s="28" t="s">
        <v>1943</v>
      </c>
      <c r="F1061" s="28" t="s">
        <v>36</v>
      </c>
      <c r="G1061" s="28" t="s">
        <v>1946</v>
      </c>
      <c r="H1061" s="28">
        <v>59742</v>
      </c>
      <c r="I1061" s="29">
        <f>IFERROR(_xlfn.XLOOKUP(E1061,[1]EMPREENDIMENTO!C:C,[1]EMPREENDIMENTO!E:E),"0")</f>
        <v>576</v>
      </c>
      <c r="J1061" s="30"/>
      <c r="K1061" s="28" t="s">
        <v>33</v>
      </c>
      <c r="L1061" s="31">
        <v>46190</v>
      </c>
      <c r="M1061" s="32">
        <v>145727100</v>
      </c>
      <c r="N1061" s="32">
        <v>161140990</v>
      </c>
      <c r="O1061" s="32">
        <v>154611100</v>
      </c>
      <c r="P1061" s="28" t="s">
        <v>34</v>
      </c>
      <c r="Q1061" s="28" t="s">
        <v>1945</v>
      </c>
      <c r="R1061" s="30">
        <v>46195</v>
      </c>
      <c r="S1061" s="30">
        <v>46191</v>
      </c>
      <c r="T1061" s="33"/>
      <c r="U1061" s="34" t="str">
        <f>IFERROR(_xlfn.XLOOKUP(E1061,[1]EMPREENDIMENTO!C:C,[1]EMPREENDIMENTO!D:D),"")</f>
        <v>d188ae82-f61f-ed11-b1ad-005056856875</v>
      </c>
    </row>
    <row r="1062" spans="1:21" hidden="1" x14ac:dyDescent="0.35">
      <c r="A1062" s="28" t="str">
        <f>IFERROR(_xlfn.XLOOKUP(C1062,[1]DIRETORIA!C:C,[1]DIRETORIA!A:A),"-")</f>
        <v>DIR. COM E CRED CO E AM</v>
      </c>
      <c r="B1062" s="28" t="str">
        <f>IFERROR(_xlfn.XLOOKUP(C1062,[1]DIRETORIA!C:C,[1]DIRETORIA!B:B),"-")</f>
        <v>GST. COM MS</v>
      </c>
      <c r="C1062" s="28" t="str">
        <f>IFERROR(_xlfn.XLOOKUP(E1062,[1]EMPREENDIMENTO!C:C,[1]EMPREENDIMENTO!A:A),"-")</f>
        <v>CAMPO GRANDE</v>
      </c>
      <c r="D1062" s="28" t="s">
        <v>29</v>
      </c>
      <c r="E1062" s="28" t="s">
        <v>1943</v>
      </c>
      <c r="F1062" s="28" t="s">
        <v>39</v>
      </c>
      <c r="G1062" s="28" t="s">
        <v>1947</v>
      </c>
      <c r="H1062" s="28">
        <v>59744</v>
      </c>
      <c r="I1062" s="29">
        <f>IFERROR(_xlfn.XLOOKUP(E1062,[1]EMPREENDIMENTO!C:C,[1]EMPREENDIMENTO!E:E),"0")</f>
        <v>576</v>
      </c>
      <c r="J1062" s="30"/>
      <c r="K1062" s="28" t="s">
        <v>33</v>
      </c>
      <c r="L1062" s="31">
        <v>46190</v>
      </c>
      <c r="M1062" s="32">
        <v>145727100</v>
      </c>
      <c r="N1062" s="32">
        <v>161140990</v>
      </c>
      <c r="O1062" s="32">
        <v>154611100</v>
      </c>
      <c r="P1062" s="28" t="s">
        <v>34</v>
      </c>
      <c r="Q1062" s="28" t="s">
        <v>1945</v>
      </c>
      <c r="R1062" s="30">
        <v>46195</v>
      </c>
      <c r="S1062" s="30">
        <v>46191</v>
      </c>
      <c r="T1062" s="33"/>
      <c r="U1062" s="34" t="str">
        <f>IFERROR(_xlfn.XLOOKUP(E1062,[1]EMPREENDIMENTO!C:C,[1]EMPREENDIMENTO!D:D),"")</f>
        <v>d188ae82-f61f-ed11-b1ad-005056856875</v>
      </c>
    </row>
    <row r="1063" spans="1:21" hidden="1" x14ac:dyDescent="0.35">
      <c r="A1063" s="28" t="str">
        <f>IFERROR(_xlfn.XLOOKUP(C1063,[1]DIRETORIA!C:C,[1]DIRETORIA!A:A),"-")</f>
        <v>DIR. COM E CRED CO E AM</v>
      </c>
      <c r="B1063" s="28" t="str">
        <f>IFERROR(_xlfn.XLOOKUP(C1063,[1]DIRETORIA!C:C,[1]DIRETORIA!B:B),"-")</f>
        <v>GST. COM DF</v>
      </c>
      <c r="C1063" s="28" t="str">
        <f>IFERROR(_xlfn.XLOOKUP(E1063,[1]EMPREENDIMENTO!C:C,[1]EMPREENDIMENTO!A:A),"-")</f>
        <v>BRASÍLIA</v>
      </c>
      <c r="D1063" s="28" t="s">
        <v>29</v>
      </c>
      <c r="E1063" s="28" t="s">
        <v>1948</v>
      </c>
      <c r="F1063" s="28" t="s">
        <v>31</v>
      </c>
      <c r="G1063" s="28" t="s">
        <v>1949</v>
      </c>
      <c r="H1063" s="28">
        <v>55299</v>
      </c>
      <c r="I1063" s="29">
        <f>IFERROR(_xlfn.XLOOKUP(E1063,[1]EMPREENDIMENTO!C:C,[1]EMPREENDIMENTO!E:E),"0")</f>
        <v>192</v>
      </c>
      <c r="J1063" s="30"/>
      <c r="K1063" s="28" t="s">
        <v>33</v>
      </c>
      <c r="L1063" s="31">
        <v>46210</v>
      </c>
      <c r="M1063" s="32">
        <v>53004000</v>
      </c>
      <c r="N1063" s="32"/>
      <c r="O1063" s="32"/>
      <c r="P1063" s="28" t="s">
        <v>34</v>
      </c>
      <c r="Q1063" s="28" t="s">
        <v>1950</v>
      </c>
      <c r="R1063" s="30">
        <v>46206</v>
      </c>
      <c r="S1063" s="30">
        <v>46211</v>
      </c>
      <c r="T1063" s="33"/>
      <c r="U1063" s="34" t="str">
        <f>IFERROR(_xlfn.XLOOKUP(E1063,[1]EMPREENDIMENTO!C:C,[1]EMPREENDIMENTO!D:D),"")</f>
        <v>5c9f870d-892c-ee11-8acd-80c16e075108</v>
      </c>
    </row>
    <row r="1064" spans="1:21" hidden="1" x14ac:dyDescent="0.35">
      <c r="A1064" s="28" t="str">
        <f>IFERROR(_xlfn.XLOOKUP(C1064,[1]DIRETORIA!C:C,[1]DIRETORIA!A:A),"-")</f>
        <v>DIR. COM E CRED CO E AM</v>
      </c>
      <c r="B1064" s="28" t="str">
        <f>IFERROR(_xlfn.XLOOKUP(C1064,[1]DIRETORIA!C:C,[1]DIRETORIA!B:B),"-")</f>
        <v>GST. COM DF</v>
      </c>
      <c r="C1064" s="28" t="str">
        <f>IFERROR(_xlfn.XLOOKUP(E1064,[1]EMPREENDIMENTO!C:C,[1]EMPREENDIMENTO!A:A),"-")</f>
        <v>BRASÍLIA</v>
      </c>
      <c r="D1064" s="28" t="s">
        <v>29</v>
      </c>
      <c r="E1064" s="28" t="s">
        <v>1948</v>
      </c>
      <c r="F1064" s="28" t="s">
        <v>36</v>
      </c>
      <c r="G1064" s="28" t="s">
        <v>1951</v>
      </c>
      <c r="H1064" s="28">
        <v>60279</v>
      </c>
      <c r="I1064" s="29">
        <f>IFERROR(_xlfn.XLOOKUP(E1064,[1]EMPREENDIMENTO!C:C,[1]EMPREENDIMENTO!E:E),"0")</f>
        <v>192</v>
      </c>
      <c r="J1064" s="30"/>
      <c r="K1064" s="28" t="s">
        <v>33</v>
      </c>
      <c r="L1064" s="31">
        <v>46210</v>
      </c>
      <c r="M1064" s="32">
        <v>53004000</v>
      </c>
      <c r="N1064" s="32"/>
      <c r="O1064" s="32"/>
      <c r="P1064" s="28" t="s">
        <v>34</v>
      </c>
      <c r="Q1064" s="28" t="s">
        <v>1950</v>
      </c>
      <c r="R1064" s="30">
        <v>46206</v>
      </c>
      <c r="S1064" s="30">
        <v>46211</v>
      </c>
      <c r="T1064" s="33"/>
      <c r="U1064" s="34" t="str">
        <f>IFERROR(_xlfn.XLOOKUP(E1064,[1]EMPREENDIMENTO!C:C,[1]EMPREENDIMENTO!D:D),"")</f>
        <v>5c9f870d-892c-ee11-8acd-80c16e075108</v>
      </c>
    </row>
    <row r="1065" spans="1:21" hidden="1" x14ac:dyDescent="0.35">
      <c r="A1065" s="28" t="str">
        <f>IFERROR(_xlfn.XLOOKUP(C1065,[1]DIRETORIA!C:C,[1]DIRETORIA!A:A),"-")</f>
        <v>DIR. COM E CRED MG E ES</v>
      </c>
      <c r="B1065" s="28" t="str">
        <f>IFERROR(_xlfn.XLOOKUP(C1065,[1]DIRETORIA!C:C,[1]DIRETORIA!B:B),"-")</f>
        <v>GST. COM TM</v>
      </c>
      <c r="C1065" s="28" t="str">
        <f>IFERROR(_xlfn.XLOOKUP(E1065,[1]EMPREENDIMENTO!C:C,[1]EMPREENDIMENTO!A:A),"-")</f>
        <v>UBERABA</v>
      </c>
      <c r="D1065" s="28" t="s">
        <v>85</v>
      </c>
      <c r="E1065" s="28" t="s">
        <v>1952</v>
      </c>
      <c r="F1065" s="28" t="s">
        <v>42</v>
      </c>
      <c r="G1065" s="28" t="s">
        <v>1953</v>
      </c>
      <c r="H1065" s="28">
        <v>55742</v>
      </c>
      <c r="I1065" s="29">
        <f>IFERROR(_xlfn.XLOOKUP(E1065,[1]EMPREENDIMENTO!C:C,[1]EMPREENDIMENTO!E:E),"0")</f>
        <v>0</v>
      </c>
      <c r="J1065" s="30"/>
      <c r="K1065" s="28" t="s">
        <v>33</v>
      </c>
      <c r="L1065" s="31">
        <v>46121</v>
      </c>
      <c r="M1065" s="32">
        <v>102155300</v>
      </c>
      <c r="N1065" s="32">
        <v>113425398</v>
      </c>
      <c r="O1065" s="32">
        <v>107444558</v>
      </c>
      <c r="P1065" s="28" t="s">
        <v>34</v>
      </c>
      <c r="Q1065" s="28">
        <v>811599</v>
      </c>
      <c r="R1065" s="30">
        <v>46139</v>
      </c>
      <c r="S1065" s="30">
        <v>46122</v>
      </c>
      <c r="T1065" s="33"/>
      <c r="U1065" s="34" t="str">
        <f>IFERROR(_xlfn.XLOOKUP(E1065,[1]EMPREENDIMENTO!C:C,[1]EMPREENDIMENTO!D:D),"")</f>
        <v>61FBDD77-402F-EF11-9143-80C16E075108</v>
      </c>
    </row>
    <row r="1066" spans="1:21" hidden="1" x14ac:dyDescent="0.35">
      <c r="A1066" s="28" t="str">
        <f>IFERROR(_xlfn.XLOOKUP(C1066,[1]DIRETORIA!C:C,[1]DIRETORIA!A:A),"-")</f>
        <v>DIR. COM E CRED MG E ES</v>
      </c>
      <c r="B1066" s="28" t="str">
        <f>IFERROR(_xlfn.XLOOKUP(C1066,[1]DIRETORIA!C:C,[1]DIRETORIA!B:B),"-")</f>
        <v>GST. COM ES</v>
      </c>
      <c r="C1066" s="28" t="str">
        <f>IFERROR(_xlfn.XLOOKUP(E1066,[1]EMPREENDIMENTO!C:C,[1]EMPREENDIMENTO!A:A),"-")</f>
        <v>SERRA</v>
      </c>
      <c r="D1066" s="28" t="s">
        <v>29</v>
      </c>
      <c r="E1066" s="28" t="s">
        <v>1954</v>
      </c>
      <c r="F1066" s="28" t="s">
        <v>31</v>
      </c>
      <c r="G1066" s="28" t="s">
        <v>1955</v>
      </c>
      <c r="H1066" s="28">
        <v>56025</v>
      </c>
      <c r="I1066" s="29">
        <f>IFERROR(_xlfn.XLOOKUP(E1066,[1]EMPREENDIMENTO!C:C,[1]EMPREENDIMENTO!E:E),"0")</f>
        <v>433</v>
      </c>
      <c r="J1066" s="30"/>
      <c r="K1066" s="28" t="s">
        <v>33</v>
      </c>
      <c r="L1066" s="31">
        <v>46205</v>
      </c>
      <c r="M1066" s="32">
        <v>180696493</v>
      </c>
      <c r="N1066" s="32">
        <v>205766140</v>
      </c>
      <c r="O1066" s="32">
        <v>193260690</v>
      </c>
      <c r="P1066" s="28" t="s">
        <v>34</v>
      </c>
      <c r="Q1066" s="28" t="s">
        <v>1956</v>
      </c>
      <c r="R1066" s="30">
        <v>46223</v>
      </c>
      <c r="S1066" s="30"/>
      <c r="T1066" s="33"/>
      <c r="U1066" s="34" t="str">
        <f>IFERROR(_xlfn.XLOOKUP(E1066,[1]EMPREENDIMENTO!C:C,[1]EMPREENDIMENTO!D:D),"")</f>
        <v>c412bca4-f62d-ec11-b501-005056856b6c</v>
      </c>
    </row>
    <row r="1067" spans="1:21" hidden="1" x14ac:dyDescent="0.35">
      <c r="A1067" s="28" t="str">
        <f>IFERROR(_xlfn.XLOOKUP(C1067,[1]DIRETORIA!C:C,[1]DIRETORIA!A:A),"-")</f>
        <v>DIR. COM E CRED MG E ES</v>
      </c>
      <c r="B1067" s="28" t="str">
        <f>IFERROR(_xlfn.XLOOKUP(C1067,[1]DIRETORIA!C:C,[1]DIRETORIA!B:B),"-")</f>
        <v>GST. COM ES</v>
      </c>
      <c r="C1067" s="28" t="str">
        <f>IFERROR(_xlfn.XLOOKUP(E1067,[1]EMPREENDIMENTO!C:C,[1]EMPREENDIMENTO!A:A),"-")</f>
        <v>SERRA</v>
      </c>
      <c r="D1067" s="28" t="s">
        <v>29</v>
      </c>
      <c r="E1067" s="28" t="s">
        <v>1954</v>
      </c>
      <c r="F1067" s="28" t="s">
        <v>36</v>
      </c>
      <c r="G1067" s="28" t="s">
        <v>1957</v>
      </c>
      <c r="H1067" s="28">
        <v>61339</v>
      </c>
      <c r="I1067" s="29">
        <f>IFERROR(_xlfn.XLOOKUP(E1067,[1]EMPREENDIMENTO!C:C,[1]EMPREENDIMENTO!E:E),"0")</f>
        <v>433</v>
      </c>
      <c r="J1067" s="30"/>
      <c r="K1067" s="28" t="s">
        <v>33</v>
      </c>
      <c r="L1067" s="31">
        <v>46205</v>
      </c>
      <c r="M1067" s="32">
        <v>180696493</v>
      </c>
      <c r="N1067" s="32">
        <v>205766140</v>
      </c>
      <c r="O1067" s="32">
        <v>193260690</v>
      </c>
      <c r="P1067" s="28" t="s">
        <v>34</v>
      </c>
      <c r="Q1067" s="28" t="s">
        <v>1956</v>
      </c>
      <c r="R1067" s="30">
        <v>46223</v>
      </c>
      <c r="S1067" s="30"/>
      <c r="T1067" s="33"/>
      <c r="U1067" s="34" t="str">
        <f>IFERROR(_xlfn.XLOOKUP(E1067,[1]EMPREENDIMENTO!C:C,[1]EMPREENDIMENTO!D:D),"")</f>
        <v>c412bca4-f62d-ec11-b501-005056856b6c</v>
      </c>
    </row>
    <row r="1068" spans="1:21" hidden="1" x14ac:dyDescent="0.35">
      <c r="A1068" s="28" t="str">
        <f>IFERROR(_xlfn.XLOOKUP(C1068,[1]DIRETORIA!C:C,[1]DIRETORIA!A:A),"-")</f>
        <v>DIR. COM E CRED MG E ES</v>
      </c>
      <c r="B1068" s="28" t="str">
        <f>IFERROR(_xlfn.XLOOKUP(C1068,[1]DIRETORIA!C:C,[1]DIRETORIA!B:B),"-")</f>
        <v>GST. COM ES</v>
      </c>
      <c r="C1068" s="28" t="str">
        <f>IFERROR(_xlfn.XLOOKUP(E1068,[1]EMPREENDIMENTO!C:C,[1]EMPREENDIMENTO!A:A),"-")</f>
        <v>SERRA</v>
      </c>
      <c r="D1068" s="28" t="s">
        <v>85</v>
      </c>
      <c r="E1068" s="28" t="s">
        <v>1954</v>
      </c>
      <c r="F1068" s="28" t="s">
        <v>39</v>
      </c>
      <c r="G1068" s="28" t="s">
        <v>1958</v>
      </c>
      <c r="H1068" s="28">
        <v>63412</v>
      </c>
      <c r="I1068" s="29">
        <f>IFERROR(_xlfn.XLOOKUP(E1068,[1]EMPREENDIMENTO!C:C,[1]EMPREENDIMENTO!E:E),"0")</f>
        <v>433</v>
      </c>
      <c r="J1068" s="30"/>
      <c r="K1068" s="28" t="s">
        <v>33</v>
      </c>
      <c r="L1068" s="31">
        <v>46205</v>
      </c>
      <c r="M1068" s="32">
        <v>180696493</v>
      </c>
      <c r="N1068" s="32">
        <v>205766140</v>
      </c>
      <c r="O1068" s="32">
        <v>193260690</v>
      </c>
      <c r="P1068" s="28" t="s">
        <v>34</v>
      </c>
      <c r="Q1068" s="28" t="s">
        <v>1956</v>
      </c>
      <c r="R1068" s="30">
        <v>46223</v>
      </c>
      <c r="S1068" s="30"/>
      <c r="T1068" s="33"/>
      <c r="U1068" s="34" t="str">
        <f>IFERROR(_xlfn.XLOOKUP(E1068,[1]EMPREENDIMENTO!C:C,[1]EMPREENDIMENTO!D:D),"")</f>
        <v>c412bca4-f62d-ec11-b501-005056856b6c</v>
      </c>
    </row>
    <row r="1069" spans="1:21" hidden="1" x14ac:dyDescent="0.35">
      <c r="A1069" s="28" t="str">
        <f>IFERROR(_xlfn.XLOOKUP(C1069,[1]DIRETORIA!C:C,[1]DIRETORIA!A:A),"-")</f>
        <v>DIR. COM E CRED NE</v>
      </c>
      <c r="B1069" s="28" t="str">
        <f>IFERROR(_xlfn.XLOOKUP(C1069,[1]DIRETORIA!C:C,[1]DIRETORIA!B:B),"-")</f>
        <v>GST. COM NE2 (PE)</v>
      </c>
      <c r="C1069" s="28" t="str">
        <f>IFERROR(_xlfn.XLOOKUP(E1069,[1]EMPREENDIMENTO!C:C,[1]EMPREENDIMENTO!A:A),"-")</f>
        <v>RECIFE</v>
      </c>
      <c r="D1069" s="28" t="s">
        <v>29</v>
      </c>
      <c r="E1069" s="28" t="s">
        <v>1959</v>
      </c>
      <c r="F1069" s="28" t="s">
        <v>31</v>
      </c>
      <c r="G1069" s="28" t="s">
        <v>1960</v>
      </c>
      <c r="H1069" s="28">
        <v>55611</v>
      </c>
      <c r="I1069" s="29">
        <f>IFERROR(_xlfn.XLOOKUP(E1069,[1]EMPREENDIMENTO!C:C,[1]EMPREENDIMENTO!E:E),"0")</f>
        <v>394</v>
      </c>
      <c r="J1069" s="30"/>
      <c r="K1069" s="28" t="s">
        <v>33</v>
      </c>
      <c r="L1069" s="31">
        <v>46227</v>
      </c>
      <c r="M1069" s="32">
        <v>125311045</v>
      </c>
      <c r="N1069" s="32">
        <v>129046307</v>
      </c>
      <c r="O1069" s="32">
        <v>128571168</v>
      </c>
      <c r="P1069" s="28" t="s">
        <v>34</v>
      </c>
      <c r="Q1069" s="28" t="s">
        <v>1961</v>
      </c>
      <c r="R1069" s="30">
        <v>46230</v>
      </c>
      <c r="S1069" s="30">
        <v>46227</v>
      </c>
      <c r="T1069" s="33"/>
      <c r="U1069" s="34" t="str">
        <f>IFERROR(_xlfn.XLOOKUP(E1069,[1]EMPREENDIMENTO!C:C,[1]EMPREENDIMENTO!D:D),"")</f>
        <v>b19e4b04-aef5-ed11-9510-005056856875</v>
      </c>
    </row>
    <row r="1070" spans="1:21" hidden="1" x14ac:dyDescent="0.35">
      <c r="A1070" s="28" t="str">
        <f>IFERROR(_xlfn.XLOOKUP(C1070,[1]DIRETORIA!C:C,[1]DIRETORIA!A:A),"-")</f>
        <v>DIR. COM E CRED NE</v>
      </c>
      <c r="B1070" s="28" t="str">
        <f>IFERROR(_xlfn.XLOOKUP(C1070,[1]DIRETORIA!C:C,[1]DIRETORIA!B:B),"-")</f>
        <v>GST. COM NE2 (PE)</v>
      </c>
      <c r="C1070" s="28" t="str">
        <f>IFERROR(_xlfn.XLOOKUP(E1070,[1]EMPREENDIMENTO!C:C,[1]EMPREENDIMENTO!A:A),"-")</f>
        <v>RECIFE</v>
      </c>
      <c r="D1070" s="28" t="s">
        <v>29</v>
      </c>
      <c r="E1070" s="28" t="s">
        <v>1959</v>
      </c>
      <c r="F1070" s="28" t="s">
        <v>36</v>
      </c>
      <c r="G1070" s="28" t="s">
        <v>1962</v>
      </c>
      <c r="H1070" s="28">
        <v>63836</v>
      </c>
      <c r="I1070" s="29">
        <f>IFERROR(_xlfn.XLOOKUP(E1070,[1]EMPREENDIMENTO!C:C,[1]EMPREENDIMENTO!E:E),"0")</f>
        <v>394</v>
      </c>
      <c r="J1070" s="30"/>
      <c r="K1070" s="28" t="s">
        <v>33</v>
      </c>
      <c r="L1070" s="31">
        <v>46227</v>
      </c>
      <c r="M1070" s="32">
        <v>125311045</v>
      </c>
      <c r="N1070" s="32">
        <v>129046307</v>
      </c>
      <c r="O1070" s="32">
        <v>128571168</v>
      </c>
      <c r="P1070" s="28" t="s">
        <v>34</v>
      </c>
      <c r="Q1070" s="28" t="s">
        <v>1961</v>
      </c>
      <c r="R1070" s="30">
        <v>46230</v>
      </c>
      <c r="S1070" s="30">
        <v>46227</v>
      </c>
      <c r="T1070" s="33"/>
      <c r="U1070" s="34" t="str">
        <f>IFERROR(_xlfn.XLOOKUP(E1070,[1]EMPREENDIMENTO!C:C,[1]EMPREENDIMENTO!D:D),"")</f>
        <v>b19e4b04-aef5-ed11-9510-005056856875</v>
      </c>
    </row>
    <row r="1071" spans="1:21" hidden="1" x14ac:dyDescent="0.35">
      <c r="A1071" s="28" t="str">
        <f>IFERROR(_xlfn.XLOOKUP(C1071,[1]DIRETORIA!C:C,[1]DIRETORIA!A:A),"-")</f>
        <v>DIR. COM E CRED NE</v>
      </c>
      <c r="B1071" s="28" t="str">
        <f>IFERROR(_xlfn.XLOOKUP(C1071,[1]DIRETORIA!C:C,[1]DIRETORIA!B:B),"-")</f>
        <v>GST. COM NE2 (PE)</v>
      </c>
      <c r="C1071" s="28" t="str">
        <f>IFERROR(_xlfn.XLOOKUP(E1071,[1]EMPREENDIMENTO!C:C,[1]EMPREENDIMENTO!A:A),"-")</f>
        <v>RECIFE</v>
      </c>
      <c r="D1071" s="28" t="s">
        <v>85</v>
      </c>
      <c r="E1071" s="28" t="s">
        <v>1959</v>
      </c>
      <c r="F1071" s="28" t="s">
        <v>39</v>
      </c>
      <c r="G1071" s="28" t="s">
        <v>268</v>
      </c>
      <c r="H1071" s="28">
        <v>68315</v>
      </c>
      <c r="I1071" s="29">
        <f>IFERROR(_xlfn.XLOOKUP(E1071,[1]EMPREENDIMENTO!C:C,[1]EMPREENDIMENTO!E:E),"0")</f>
        <v>394</v>
      </c>
      <c r="J1071" s="30"/>
      <c r="K1071" s="28" t="s">
        <v>33</v>
      </c>
      <c r="L1071" s="31">
        <v>46227</v>
      </c>
      <c r="M1071" s="32">
        <v>125311045</v>
      </c>
      <c r="N1071" s="32">
        <v>129046307</v>
      </c>
      <c r="O1071" s="32">
        <v>128571168</v>
      </c>
      <c r="P1071" s="28" t="s">
        <v>34</v>
      </c>
      <c r="Q1071" s="28" t="s">
        <v>1961</v>
      </c>
      <c r="R1071" s="30">
        <v>46230</v>
      </c>
      <c r="S1071" s="30">
        <v>46227</v>
      </c>
      <c r="T1071" s="33"/>
      <c r="U1071" s="34" t="str">
        <f>IFERROR(_xlfn.XLOOKUP(E1071,[1]EMPREENDIMENTO!C:C,[1]EMPREENDIMENTO!D:D),"")</f>
        <v>b19e4b04-aef5-ed11-9510-005056856875</v>
      </c>
    </row>
    <row r="1072" spans="1:21" hidden="1" x14ac:dyDescent="0.35">
      <c r="A1072" s="28" t="str">
        <f>IFERROR(_xlfn.XLOOKUP(C1072,[1]DIRETORIA!C:C,[1]DIRETORIA!A:A),"-")</f>
        <v>DIR. COM E CRED SUL</v>
      </c>
      <c r="B1072" s="28" t="str">
        <f>IFERROR(_xlfn.XLOOKUP(C1072,[1]DIRETORIA!C:C,[1]DIRETORIA!B:B),"-")</f>
        <v>GST. COM SC</v>
      </c>
      <c r="C1072" s="28" t="str">
        <f>IFERROR(_xlfn.XLOOKUP(E1072,[1]EMPREENDIMENTO!C:C,[1]EMPREENDIMENTO!A:A),"-")</f>
        <v>JOINVILLE</v>
      </c>
      <c r="D1072" s="28" t="s">
        <v>85</v>
      </c>
      <c r="E1072" s="28" t="s">
        <v>1963</v>
      </c>
      <c r="F1072" s="28" t="s">
        <v>42</v>
      </c>
      <c r="G1072" s="28" t="s">
        <v>1964</v>
      </c>
      <c r="H1072" s="28">
        <v>56519</v>
      </c>
      <c r="I1072" s="29">
        <f>IFERROR(_xlfn.XLOOKUP(E1072,[1]EMPREENDIMENTO!C:C,[1]EMPREENDIMENTO!E:E),"0")</f>
        <v>280</v>
      </c>
      <c r="J1072" s="30"/>
      <c r="K1072" s="28" t="s">
        <v>33</v>
      </c>
      <c r="L1072" s="31">
        <v>45838</v>
      </c>
      <c r="M1072" s="32">
        <v>56192000</v>
      </c>
      <c r="N1072" s="32">
        <v>56192000</v>
      </c>
      <c r="O1072" s="32">
        <v>52118000</v>
      </c>
      <c r="P1072" s="28" t="s">
        <v>34</v>
      </c>
      <c r="Q1072" s="28"/>
      <c r="R1072" s="30"/>
      <c r="S1072" s="30">
        <v>45838</v>
      </c>
      <c r="T1072" s="33"/>
      <c r="U1072" s="34" t="str">
        <f>IFERROR(_xlfn.XLOOKUP(E1072,[1]EMPREENDIMENTO!C:C,[1]EMPREENDIMENTO!D:D),"")</f>
        <v>5F0BD90A-72CD-EC11-B1AD-005056856875</v>
      </c>
    </row>
    <row r="1073" spans="1:21" hidden="1" x14ac:dyDescent="0.35">
      <c r="A1073" s="28" t="str">
        <f>IFERROR(_xlfn.XLOOKUP(C1073,[1]DIRETORIA!C:C,[1]DIRETORIA!A:A),"-")</f>
        <v>DIR. COM E CRED SP E VL</v>
      </c>
      <c r="B1073" s="28" t="str">
        <f>IFERROR(_xlfn.XLOOKUP(C1073,[1]DIRETORIA!C:C,[1]DIRETORIA!B:B),"-")</f>
        <v>GST. COM SP2</v>
      </c>
      <c r="C1073" s="28" t="str">
        <f>IFERROR(_xlfn.XLOOKUP(E1073,[1]EMPREENDIMENTO!C:C,[1]EMPREENDIMENTO!A:A),"-")</f>
        <v>SÃO PAULO</v>
      </c>
      <c r="D1073" s="28" t="s">
        <v>29</v>
      </c>
      <c r="E1073" s="28" t="s">
        <v>1965</v>
      </c>
      <c r="F1073" s="28" t="s">
        <v>31</v>
      </c>
      <c r="G1073" s="28" t="s">
        <v>1966</v>
      </c>
      <c r="H1073" s="28">
        <v>38705</v>
      </c>
      <c r="I1073" s="29">
        <f>IFERROR(_xlfn.XLOOKUP(E1073,[1]EMPREENDIMENTO!C:C,[1]EMPREENDIMENTO!E:E),"0")</f>
        <v>1064</v>
      </c>
      <c r="J1073" s="30"/>
      <c r="K1073" s="28" t="s">
        <v>33</v>
      </c>
      <c r="L1073" s="31">
        <v>46157</v>
      </c>
      <c r="M1073" s="32">
        <v>322175108</v>
      </c>
      <c r="N1073" s="32">
        <v>341648946</v>
      </c>
      <c r="O1073" s="32">
        <v>341572146</v>
      </c>
      <c r="P1073" s="28" t="s">
        <v>34</v>
      </c>
      <c r="Q1073" s="28" t="s">
        <v>1967</v>
      </c>
      <c r="R1073" s="30">
        <v>46169</v>
      </c>
      <c r="S1073" s="30">
        <v>46160</v>
      </c>
      <c r="T1073" s="33"/>
      <c r="U1073" s="34" t="str">
        <f>IFERROR(_xlfn.XLOOKUP(E1073,[1]EMPREENDIMENTO!C:C,[1]EMPREENDIMENTO!D:D),"")</f>
        <v>C4BDEBF1-EC24-EF11-9143-80C16E075108</v>
      </c>
    </row>
    <row r="1074" spans="1:21" hidden="1" x14ac:dyDescent="0.35">
      <c r="A1074" s="28" t="str">
        <f>IFERROR(_xlfn.XLOOKUP(C1074,[1]DIRETORIA!C:C,[1]DIRETORIA!A:A),"-")</f>
        <v>DIR. COM E CRED SP E VL</v>
      </c>
      <c r="B1074" s="28" t="str">
        <f>IFERROR(_xlfn.XLOOKUP(C1074,[1]DIRETORIA!C:C,[1]DIRETORIA!B:B),"-")</f>
        <v>GST. COM SP2</v>
      </c>
      <c r="C1074" s="28" t="str">
        <f>IFERROR(_xlfn.XLOOKUP(E1074,[1]EMPREENDIMENTO!C:C,[1]EMPREENDIMENTO!A:A),"-")</f>
        <v>SÃO PAULO</v>
      </c>
      <c r="D1074" s="28" t="s">
        <v>85</v>
      </c>
      <c r="E1074" s="28" t="s">
        <v>1965</v>
      </c>
      <c r="F1074" s="28" t="s">
        <v>36</v>
      </c>
      <c r="G1074" s="28" t="s">
        <v>268</v>
      </c>
      <c r="H1074" s="28" t="s">
        <v>268</v>
      </c>
      <c r="I1074" s="29">
        <f>IFERROR(_xlfn.XLOOKUP(E1074,[1]EMPREENDIMENTO!C:C,[1]EMPREENDIMENTO!E:E),"0")</f>
        <v>1064</v>
      </c>
      <c r="J1074" s="30"/>
      <c r="K1074" s="28" t="s">
        <v>33</v>
      </c>
      <c r="L1074" s="31">
        <v>46157</v>
      </c>
      <c r="M1074" s="32">
        <v>322175108</v>
      </c>
      <c r="N1074" s="32">
        <v>341648946</v>
      </c>
      <c r="O1074" s="32">
        <v>341572146</v>
      </c>
      <c r="P1074" s="28" t="s">
        <v>34</v>
      </c>
      <c r="Q1074" s="28" t="s">
        <v>1967</v>
      </c>
      <c r="R1074" s="30">
        <v>46169</v>
      </c>
      <c r="S1074" s="30">
        <v>46160</v>
      </c>
      <c r="T1074" s="33"/>
      <c r="U1074" s="34" t="str">
        <f>IFERROR(_xlfn.XLOOKUP(E1074,[1]EMPREENDIMENTO!C:C,[1]EMPREENDIMENTO!D:D),"")</f>
        <v>C4BDEBF1-EC24-EF11-9143-80C16E075108</v>
      </c>
    </row>
    <row r="1075" spans="1:21" hidden="1" x14ac:dyDescent="0.35">
      <c r="A1075" s="28" t="str">
        <f>IFERROR(_xlfn.XLOOKUP(C1075,[1]DIRETORIA!C:C,[1]DIRETORIA!A:A),"-")</f>
        <v>DIR. COM E CRED SP E VL</v>
      </c>
      <c r="B1075" s="28" t="str">
        <f>IFERROR(_xlfn.XLOOKUP(C1075,[1]DIRETORIA!C:C,[1]DIRETORIA!B:B),"-")</f>
        <v>GST. COM SP2</v>
      </c>
      <c r="C1075" s="28" t="str">
        <f>IFERROR(_xlfn.XLOOKUP(E1075,[1]EMPREENDIMENTO!C:C,[1]EMPREENDIMENTO!A:A),"-")</f>
        <v>SÃO PAULO</v>
      </c>
      <c r="D1075" s="28" t="s">
        <v>85</v>
      </c>
      <c r="E1075" s="28" t="s">
        <v>1965</v>
      </c>
      <c r="F1075" s="28" t="s">
        <v>39</v>
      </c>
      <c r="G1075" s="28" t="s">
        <v>268</v>
      </c>
      <c r="H1075" s="28" t="s">
        <v>268</v>
      </c>
      <c r="I1075" s="29">
        <f>IFERROR(_xlfn.XLOOKUP(E1075,[1]EMPREENDIMENTO!C:C,[1]EMPREENDIMENTO!E:E),"0")</f>
        <v>1064</v>
      </c>
      <c r="J1075" s="30"/>
      <c r="K1075" s="28" t="s">
        <v>33</v>
      </c>
      <c r="L1075" s="31">
        <v>46157</v>
      </c>
      <c r="M1075" s="32">
        <v>322175108</v>
      </c>
      <c r="N1075" s="32">
        <v>341648946</v>
      </c>
      <c r="O1075" s="32">
        <v>341572146</v>
      </c>
      <c r="P1075" s="28" t="s">
        <v>34</v>
      </c>
      <c r="Q1075" s="28" t="s">
        <v>1967</v>
      </c>
      <c r="R1075" s="30">
        <v>46169</v>
      </c>
      <c r="S1075" s="30">
        <v>46160</v>
      </c>
      <c r="T1075" s="33"/>
      <c r="U1075" s="34" t="str">
        <f>IFERROR(_xlfn.XLOOKUP(E1075,[1]EMPREENDIMENTO!C:C,[1]EMPREENDIMENTO!D:D),"")</f>
        <v>C4BDEBF1-EC24-EF11-9143-80C16E075108</v>
      </c>
    </row>
    <row r="1076" spans="1:21" hidden="1" x14ac:dyDescent="0.35">
      <c r="A1076" s="28" t="str">
        <f>IFERROR(_xlfn.XLOOKUP(C1076,[1]DIRETORIA!C:C,[1]DIRETORIA!A:A),"-")</f>
        <v>DIR. COM E CRED SP E VL</v>
      </c>
      <c r="B1076" s="28" t="str">
        <f>IFERROR(_xlfn.XLOOKUP(C1076,[1]DIRETORIA!C:C,[1]DIRETORIA!B:B),"-")</f>
        <v>GST. COM SP2</v>
      </c>
      <c r="C1076" s="28" t="str">
        <f>IFERROR(_xlfn.XLOOKUP(E1076,[1]EMPREENDIMENTO!C:C,[1]EMPREENDIMENTO!A:A),"-")</f>
        <v>SÃO PAULO</v>
      </c>
      <c r="D1076" s="28" t="s">
        <v>85</v>
      </c>
      <c r="E1076" s="28" t="s">
        <v>1965</v>
      </c>
      <c r="F1076" s="28" t="s">
        <v>50</v>
      </c>
      <c r="G1076" s="28" t="s">
        <v>268</v>
      </c>
      <c r="H1076" s="28" t="s">
        <v>268</v>
      </c>
      <c r="I1076" s="29">
        <f>IFERROR(_xlfn.XLOOKUP(E1076,[1]EMPREENDIMENTO!C:C,[1]EMPREENDIMENTO!E:E),"0")</f>
        <v>1064</v>
      </c>
      <c r="J1076" s="30"/>
      <c r="K1076" s="28" t="s">
        <v>33</v>
      </c>
      <c r="L1076" s="31">
        <v>46157</v>
      </c>
      <c r="M1076" s="32">
        <v>322175108</v>
      </c>
      <c r="N1076" s="32">
        <v>341648946</v>
      </c>
      <c r="O1076" s="32">
        <v>341572146</v>
      </c>
      <c r="P1076" s="28" t="s">
        <v>34</v>
      </c>
      <c r="Q1076" s="28" t="s">
        <v>1967</v>
      </c>
      <c r="R1076" s="30">
        <v>46169</v>
      </c>
      <c r="S1076" s="30">
        <v>46160</v>
      </c>
      <c r="T1076" s="33"/>
      <c r="U1076" s="34" t="str">
        <f>IFERROR(_xlfn.XLOOKUP(E1076,[1]EMPREENDIMENTO!C:C,[1]EMPREENDIMENTO!D:D),"")</f>
        <v>C4BDEBF1-EC24-EF11-9143-80C16E075108</v>
      </c>
    </row>
    <row r="1077" spans="1:21" hidden="1" x14ac:dyDescent="0.35">
      <c r="A1077" s="28" t="str">
        <f>IFERROR(_xlfn.XLOOKUP(C1077,[1]DIRETORIA!C:C,[1]DIRETORIA!A:A),"-")</f>
        <v>DIR. COM E CRED SP E VL</v>
      </c>
      <c r="B1077" s="28" t="str">
        <f>IFERROR(_xlfn.XLOOKUP(C1077,[1]DIRETORIA!C:C,[1]DIRETORIA!B:B),"-")</f>
        <v>GST. COM SP2</v>
      </c>
      <c r="C1077" s="28" t="str">
        <f>IFERROR(_xlfn.XLOOKUP(E1077,[1]EMPREENDIMENTO!C:C,[1]EMPREENDIMENTO!A:A),"-")</f>
        <v>SÃO PAULO</v>
      </c>
      <c r="D1077" s="28" t="s">
        <v>85</v>
      </c>
      <c r="E1077" s="28" t="s">
        <v>1965</v>
      </c>
      <c r="F1077" s="28" t="s">
        <v>57</v>
      </c>
      <c r="G1077" s="28" t="s">
        <v>268</v>
      </c>
      <c r="H1077" s="28" t="s">
        <v>268</v>
      </c>
      <c r="I1077" s="29">
        <f>IFERROR(_xlfn.XLOOKUP(E1077,[1]EMPREENDIMENTO!C:C,[1]EMPREENDIMENTO!E:E),"0")</f>
        <v>1064</v>
      </c>
      <c r="J1077" s="30"/>
      <c r="K1077" s="28" t="s">
        <v>33</v>
      </c>
      <c r="L1077" s="31">
        <v>46157</v>
      </c>
      <c r="M1077" s="32">
        <v>322175108</v>
      </c>
      <c r="N1077" s="32">
        <v>341648946</v>
      </c>
      <c r="O1077" s="32">
        <v>341572146</v>
      </c>
      <c r="P1077" s="28" t="s">
        <v>34</v>
      </c>
      <c r="Q1077" s="28" t="s">
        <v>1967</v>
      </c>
      <c r="R1077" s="30">
        <v>46169</v>
      </c>
      <c r="S1077" s="30">
        <v>46160</v>
      </c>
      <c r="T1077" s="33"/>
      <c r="U1077" s="34" t="str">
        <f>IFERROR(_xlfn.XLOOKUP(E1077,[1]EMPREENDIMENTO!C:C,[1]EMPREENDIMENTO!D:D),"")</f>
        <v>C4BDEBF1-EC24-EF11-9143-80C16E075108</v>
      </c>
    </row>
    <row r="1078" spans="1:21" hidden="1" x14ac:dyDescent="0.35">
      <c r="A1078" s="28" t="str">
        <f>IFERROR(_xlfn.XLOOKUP(C1078,[1]DIRETORIA!C:C,[1]DIRETORIA!A:A),"-")</f>
        <v>DIR. COM E CRED CO E AM</v>
      </c>
      <c r="B1078" s="28" t="str">
        <f>IFERROR(_xlfn.XLOOKUP(C1078,[1]DIRETORIA!C:C,[1]DIRETORIA!B:B),"-")</f>
        <v>GST. COM MT</v>
      </c>
      <c r="C1078" s="28" t="str">
        <f>IFERROR(_xlfn.XLOOKUP(E1078,[1]EMPREENDIMENTO!C:C,[1]EMPREENDIMENTO!A:A),"-")</f>
        <v>VÁRZEA GRANDE</v>
      </c>
      <c r="D1078" s="28" t="s">
        <v>29</v>
      </c>
      <c r="E1078" s="28" t="s">
        <v>1968</v>
      </c>
      <c r="F1078" s="28" t="s">
        <v>31</v>
      </c>
      <c r="G1078" s="28" t="s">
        <v>1969</v>
      </c>
      <c r="H1078" s="28">
        <v>56520</v>
      </c>
      <c r="I1078" s="29">
        <f>IFERROR(_xlfn.XLOOKUP(E1078,[1]EMPREENDIMENTO!C:C,[1]EMPREENDIMENTO!E:E),"0")</f>
        <v>288</v>
      </c>
      <c r="J1078" s="30"/>
      <c r="K1078" s="28" t="s">
        <v>164</v>
      </c>
      <c r="L1078" s="31">
        <v>46195</v>
      </c>
      <c r="M1078" s="32">
        <v>78878952</v>
      </c>
      <c r="N1078" s="32">
        <v>84044457</v>
      </c>
      <c r="O1078" s="32">
        <v>83544609</v>
      </c>
      <c r="P1078" s="28" t="s">
        <v>34</v>
      </c>
      <c r="Q1078" s="28" t="s">
        <v>1970</v>
      </c>
      <c r="R1078" s="30">
        <v>46202</v>
      </c>
      <c r="S1078" s="30">
        <v>46195</v>
      </c>
      <c r="T1078" s="33"/>
      <c r="U1078" s="34" t="str">
        <f>IFERROR(_xlfn.XLOOKUP(E1078,[1]EMPREENDIMENTO!C:C,[1]EMPREENDIMENTO!D:D),"")</f>
        <v>d141ef60-cb5d-ec11-b2fe-005056895191</v>
      </c>
    </row>
    <row r="1079" spans="1:21" hidden="1" x14ac:dyDescent="0.35">
      <c r="A1079" s="28" t="str">
        <f>IFERROR(_xlfn.XLOOKUP(C1079,[1]DIRETORIA!C:C,[1]DIRETORIA!A:A),"-")</f>
        <v>DIR. COM E CRED CO E AM</v>
      </c>
      <c r="B1079" s="28" t="str">
        <f>IFERROR(_xlfn.XLOOKUP(C1079,[1]DIRETORIA!C:C,[1]DIRETORIA!B:B),"-")</f>
        <v>GST. COM MT</v>
      </c>
      <c r="C1079" s="28" t="str">
        <f>IFERROR(_xlfn.XLOOKUP(E1079,[1]EMPREENDIMENTO!C:C,[1]EMPREENDIMENTO!A:A),"-")</f>
        <v>VÁRZEA GRANDE</v>
      </c>
      <c r="D1079" s="28" t="s">
        <v>29</v>
      </c>
      <c r="E1079" s="28" t="s">
        <v>1968</v>
      </c>
      <c r="F1079" s="28" t="s">
        <v>36</v>
      </c>
      <c r="G1079" s="28" t="s">
        <v>1971</v>
      </c>
      <c r="H1079" s="28">
        <v>59528</v>
      </c>
      <c r="I1079" s="29">
        <f>IFERROR(_xlfn.XLOOKUP(E1079,[1]EMPREENDIMENTO!C:C,[1]EMPREENDIMENTO!E:E),"0")</f>
        <v>288</v>
      </c>
      <c r="J1079" s="30"/>
      <c r="K1079" s="28" t="s">
        <v>164</v>
      </c>
      <c r="L1079" s="31">
        <v>46195</v>
      </c>
      <c r="M1079" s="32">
        <v>78878952</v>
      </c>
      <c r="N1079" s="32">
        <v>84044457</v>
      </c>
      <c r="O1079" s="32">
        <v>83544609</v>
      </c>
      <c r="P1079" s="28" t="s">
        <v>34</v>
      </c>
      <c r="Q1079" s="28" t="s">
        <v>1970</v>
      </c>
      <c r="R1079" s="30">
        <v>46202</v>
      </c>
      <c r="S1079" s="30">
        <v>46195</v>
      </c>
      <c r="T1079" s="33"/>
      <c r="U1079" s="34" t="str">
        <f>IFERROR(_xlfn.XLOOKUP(E1079,[1]EMPREENDIMENTO!C:C,[1]EMPREENDIMENTO!D:D),"")</f>
        <v>d141ef60-cb5d-ec11-b2fe-005056895191</v>
      </c>
    </row>
    <row r="1080" spans="1:21" hidden="1" x14ac:dyDescent="0.35">
      <c r="A1080" s="28" t="str">
        <f>IFERROR(_xlfn.XLOOKUP(C1080,[1]DIRETORIA!C:C,[1]DIRETORIA!A:A),"-")</f>
        <v>DIR. COM E CRED RJ</v>
      </c>
      <c r="B1080" s="28" t="str">
        <f>IFERROR(_xlfn.XLOOKUP(C1080,[1]DIRETORIA!C:C,[1]DIRETORIA!B:B),"-")</f>
        <v>GST. COM NF</v>
      </c>
      <c r="C1080" s="28" t="str">
        <f>IFERROR(_xlfn.XLOOKUP(E1080,[1]EMPREENDIMENTO!C:C,[1]EMPREENDIMENTO!A:A),"-")</f>
        <v>CAMPOS DOS GOYTACAZES</v>
      </c>
      <c r="D1080" s="28" t="s">
        <v>29</v>
      </c>
      <c r="E1080" s="28" t="s">
        <v>1972</v>
      </c>
      <c r="F1080" s="28" t="s">
        <v>31</v>
      </c>
      <c r="G1080" s="28" t="s">
        <v>1973</v>
      </c>
      <c r="H1080" s="28">
        <v>56605</v>
      </c>
      <c r="I1080" s="29">
        <f>IFERROR(_xlfn.XLOOKUP(E1080,[1]EMPREENDIMENTO!C:C,[1]EMPREENDIMENTO!E:E),"0")</f>
        <v>320</v>
      </c>
      <c r="J1080" s="30"/>
      <c r="K1080" s="28" t="s">
        <v>33</v>
      </c>
      <c r="L1080" s="31">
        <v>46141</v>
      </c>
      <c r="M1080" s="32">
        <v>70855265</v>
      </c>
      <c r="N1080" s="32">
        <v>76982311</v>
      </c>
      <c r="O1080" s="32">
        <v>73017400</v>
      </c>
      <c r="P1080" s="28" t="s">
        <v>2</v>
      </c>
      <c r="Q1080" s="28" t="s">
        <v>1974</v>
      </c>
      <c r="R1080" s="30">
        <v>46275</v>
      </c>
      <c r="S1080" s="30"/>
      <c r="T1080" s="33"/>
      <c r="U1080" s="34" t="str">
        <f>IFERROR(_xlfn.XLOOKUP(E1080,[1]EMPREENDIMENTO!C:C,[1]EMPREENDIMENTO!D:D),"")</f>
        <v>5ed3a827-f1dd-e411-9dc0-80c16e075108</v>
      </c>
    </row>
    <row r="1081" spans="1:21" hidden="1" x14ac:dyDescent="0.35">
      <c r="A1081" s="28" t="str">
        <f>IFERROR(_xlfn.XLOOKUP(C1081,[1]DIRETORIA!C:C,[1]DIRETORIA!A:A),"-")</f>
        <v>DIR. COM E CRED RJ</v>
      </c>
      <c r="B1081" s="28" t="str">
        <f>IFERROR(_xlfn.XLOOKUP(C1081,[1]DIRETORIA!C:C,[1]DIRETORIA!B:B),"-")</f>
        <v>GST. COM NF</v>
      </c>
      <c r="C1081" s="28" t="str">
        <f>IFERROR(_xlfn.XLOOKUP(E1081,[1]EMPREENDIMENTO!C:C,[1]EMPREENDIMENTO!A:A),"-")</f>
        <v>CAMPOS DOS GOYTACAZES</v>
      </c>
      <c r="D1081" s="28" t="s">
        <v>29</v>
      </c>
      <c r="E1081" s="28" t="s">
        <v>1972</v>
      </c>
      <c r="F1081" s="28" t="s">
        <v>36</v>
      </c>
      <c r="G1081" s="28" t="s">
        <v>1975</v>
      </c>
      <c r="H1081" s="28">
        <v>63251</v>
      </c>
      <c r="I1081" s="29">
        <f>IFERROR(_xlfn.XLOOKUP(E1081,[1]EMPREENDIMENTO!C:C,[1]EMPREENDIMENTO!E:E),"0")</f>
        <v>320</v>
      </c>
      <c r="J1081" s="30"/>
      <c r="K1081" s="28" t="s">
        <v>33</v>
      </c>
      <c r="L1081" s="31">
        <v>46141</v>
      </c>
      <c r="M1081" s="32">
        <v>70855265</v>
      </c>
      <c r="N1081" s="32">
        <v>76982311</v>
      </c>
      <c r="O1081" s="32">
        <v>73017400</v>
      </c>
      <c r="P1081" s="28" t="s">
        <v>2</v>
      </c>
      <c r="Q1081" s="28" t="s">
        <v>1974</v>
      </c>
      <c r="R1081" s="30">
        <v>46275</v>
      </c>
      <c r="S1081" s="30"/>
      <c r="T1081" s="33"/>
      <c r="U1081" s="34" t="str">
        <f>IFERROR(_xlfn.XLOOKUP(E1081,[1]EMPREENDIMENTO!C:C,[1]EMPREENDIMENTO!D:D),"")</f>
        <v>5ed3a827-f1dd-e411-9dc0-80c16e075108</v>
      </c>
    </row>
    <row r="1082" spans="1:21" hidden="1" x14ac:dyDescent="0.35">
      <c r="A1082" s="28" t="str">
        <f>IFERROR(_xlfn.XLOOKUP(C1082,[1]DIRETORIA!C:C,[1]DIRETORIA!A:A),"-")</f>
        <v>DIR. COM E CRED NE</v>
      </c>
      <c r="B1082" s="28" t="str">
        <f>IFERROR(_xlfn.XLOOKUP(C1082,[1]DIRETORIA!C:C,[1]DIRETORIA!B:B),"-")</f>
        <v>GST. COM NE2 (PE)</v>
      </c>
      <c r="C1082" s="28" t="str">
        <f>IFERROR(_xlfn.XLOOKUP(E1082,[1]EMPREENDIMENTO!C:C,[1]EMPREENDIMENTO!A:A),"-")</f>
        <v>JABOATÃO DOS GUARARAPES</v>
      </c>
      <c r="D1082" s="28" t="s">
        <v>85</v>
      </c>
      <c r="E1082" s="28" t="s">
        <v>1976</v>
      </c>
      <c r="F1082" s="28" t="s">
        <v>42</v>
      </c>
      <c r="G1082" s="28" t="s">
        <v>1977</v>
      </c>
      <c r="H1082" s="28">
        <v>56026</v>
      </c>
      <c r="I1082" s="29">
        <f>IFERROR(_xlfn.XLOOKUP(E1082,[1]EMPREENDIMENTO!C:C,[1]EMPREENDIMENTO!E:E),"0")</f>
        <v>0</v>
      </c>
      <c r="J1082" s="30"/>
      <c r="K1082" s="28" t="s">
        <v>33</v>
      </c>
      <c r="L1082" s="31">
        <v>45848</v>
      </c>
      <c r="M1082" s="32">
        <v>110044000</v>
      </c>
      <c r="N1082" s="32">
        <v>110044000</v>
      </c>
      <c r="O1082" s="32">
        <v>97971000</v>
      </c>
      <c r="P1082" s="28" t="s">
        <v>34</v>
      </c>
      <c r="Q1082" s="28">
        <v>707697</v>
      </c>
      <c r="R1082" s="30">
        <v>45905</v>
      </c>
      <c r="S1082" s="30">
        <v>45883</v>
      </c>
      <c r="T1082" s="33"/>
      <c r="U1082" s="34" t="str">
        <f>IFERROR(_xlfn.XLOOKUP(E1082,[1]EMPREENDIMENTO!C:C,[1]EMPREENDIMENTO!D:D),"")</f>
        <v>532944EA-FC91-EF11-B65C-009C02B0CB58</v>
      </c>
    </row>
    <row r="1083" spans="1:21" hidden="1" x14ac:dyDescent="0.35">
      <c r="A1083" s="28" t="str">
        <f>IFERROR(_xlfn.XLOOKUP(C1083,[1]DIRETORIA!C:C,[1]DIRETORIA!A:A),"-")</f>
        <v>DIR. COM E CRED SP E VL</v>
      </c>
      <c r="B1083" s="28" t="str">
        <f>IFERROR(_xlfn.XLOOKUP(C1083,[1]DIRETORIA!C:C,[1]DIRETORIA!B:B),"-")</f>
        <v>GST. COM VL1</v>
      </c>
      <c r="C1083" s="28" t="str">
        <f>IFERROR(_xlfn.XLOOKUP(E1083,[1]EMPREENDIMENTO!C:C,[1]EMPREENDIMENTO!A:A),"-")</f>
        <v>SÃO JOSÉ DOS CAMPOS</v>
      </c>
      <c r="D1083" s="28" t="s">
        <v>29</v>
      </c>
      <c r="E1083" s="28" t="s">
        <v>1978</v>
      </c>
      <c r="F1083" s="28" t="s">
        <v>42</v>
      </c>
      <c r="G1083" s="28" t="s">
        <v>1979</v>
      </c>
      <c r="H1083" s="28">
        <v>55202</v>
      </c>
      <c r="I1083" s="29">
        <f>IFERROR(_xlfn.XLOOKUP(E1083,[1]EMPREENDIMENTO!C:C,[1]EMPREENDIMENTO!E:E),"0")</f>
        <v>288</v>
      </c>
      <c r="J1083" s="30"/>
      <c r="K1083" s="28" t="s">
        <v>164</v>
      </c>
      <c r="L1083" s="31">
        <v>46108</v>
      </c>
      <c r="M1083" s="32">
        <v>96613000</v>
      </c>
      <c r="N1083" s="32">
        <v>105308605</v>
      </c>
      <c r="O1083" s="32">
        <v>101979113</v>
      </c>
      <c r="P1083" s="28" t="s">
        <v>34</v>
      </c>
      <c r="Q1083" s="28" t="s">
        <v>1980</v>
      </c>
      <c r="R1083" s="30">
        <v>46108</v>
      </c>
      <c r="S1083" s="30">
        <v>46111</v>
      </c>
      <c r="T1083" s="33"/>
      <c r="U1083" s="34" t="str">
        <f>IFERROR(_xlfn.XLOOKUP(E1083,[1]EMPREENDIMENTO!C:C,[1]EMPREENDIMENTO!D:D),"")</f>
        <v>9295e80c-b56a-e911-90bb-80c16e075108</v>
      </c>
    </row>
    <row r="1084" spans="1:21" hidden="1" x14ac:dyDescent="0.35">
      <c r="A1084" s="28" t="str">
        <f>IFERROR(_xlfn.XLOOKUP(C1084,[1]DIRETORIA!C:C,[1]DIRETORIA!A:A),"-")</f>
        <v>DIR. COM E CRED SP E VL</v>
      </c>
      <c r="B1084" s="28" t="str">
        <f>IFERROR(_xlfn.XLOOKUP(C1084,[1]DIRETORIA!C:C,[1]DIRETORIA!B:B),"-")</f>
        <v>GST. COM SP2</v>
      </c>
      <c r="C1084" s="28" t="str">
        <f>IFERROR(_xlfn.XLOOKUP(E1084,[1]EMPREENDIMENTO!C:C,[1]EMPREENDIMENTO!A:A),"-")</f>
        <v>SÃO PAULO</v>
      </c>
      <c r="D1084" s="28" t="s">
        <v>85</v>
      </c>
      <c r="E1084" s="28" t="s">
        <v>1981</v>
      </c>
      <c r="F1084" s="28" t="s">
        <v>31</v>
      </c>
      <c r="G1084" s="28" t="s">
        <v>1982</v>
      </c>
      <c r="H1084" s="28">
        <v>54652</v>
      </c>
      <c r="I1084" s="29">
        <f>IFERROR(_xlfn.XLOOKUP(E1084,[1]EMPREENDIMENTO!C:C,[1]EMPREENDIMENTO!E:E),"0")</f>
        <v>408</v>
      </c>
      <c r="J1084" s="30"/>
      <c r="K1084" s="28" t="s">
        <v>33</v>
      </c>
      <c r="L1084" s="31">
        <v>45855</v>
      </c>
      <c r="M1084" s="32">
        <v>120311368</v>
      </c>
      <c r="N1084" s="32">
        <v>120311368</v>
      </c>
      <c r="O1084" s="32">
        <v>120311368</v>
      </c>
      <c r="P1084" s="28" t="s">
        <v>34</v>
      </c>
      <c r="Q1084" s="28"/>
      <c r="R1084" s="30"/>
      <c r="S1084" s="30">
        <v>45855</v>
      </c>
      <c r="T1084" s="33"/>
      <c r="U1084" s="34" t="str">
        <f>IFERROR(_xlfn.XLOOKUP(E1084,[1]EMPREENDIMENTO!C:C,[1]EMPREENDIMENTO!D:D),"")</f>
        <v>F00CDF61-1B7F-EE11-8E2D-009C02B0CB58</v>
      </c>
    </row>
    <row r="1085" spans="1:21" hidden="1" x14ac:dyDescent="0.35">
      <c r="A1085" s="28" t="str">
        <f>IFERROR(_xlfn.XLOOKUP(C1085,[1]DIRETORIA!C:C,[1]DIRETORIA!A:A),"-")</f>
        <v>DIR. COM E CRED SP E VL</v>
      </c>
      <c r="B1085" s="28" t="str">
        <f>IFERROR(_xlfn.XLOOKUP(C1085,[1]DIRETORIA!C:C,[1]DIRETORIA!B:B),"-")</f>
        <v>GST. COM SP2</v>
      </c>
      <c r="C1085" s="28" t="str">
        <f>IFERROR(_xlfn.XLOOKUP(E1085,[1]EMPREENDIMENTO!C:C,[1]EMPREENDIMENTO!A:A),"-")</f>
        <v>SÃO PAULO</v>
      </c>
      <c r="D1085" s="28" t="s">
        <v>85</v>
      </c>
      <c r="E1085" s="28" t="s">
        <v>1981</v>
      </c>
      <c r="F1085" s="28" t="s">
        <v>36</v>
      </c>
      <c r="G1085" s="28" t="s">
        <v>1983</v>
      </c>
      <c r="H1085" s="28">
        <v>68437</v>
      </c>
      <c r="I1085" s="29">
        <f>IFERROR(_xlfn.XLOOKUP(E1085,[1]EMPREENDIMENTO!C:C,[1]EMPREENDIMENTO!E:E),"0")</f>
        <v>408</v>
      </c>
      <c r="J1085" s="30"/>
      <c r="K1085" s="28" t="s">
        <v>33</v>
      </c>
      <c r="L1085" s="31">
        <v>45855</v>
      </c>
      <c r="M1085" s="32">
        <v>120311368</v>
      </c>
      <c r="N1085" s="32">
        <v>120311368</v>
      </c>
      <c r="O1085" s="32">
        <v>120311368</v>
      </c>
      <c r="P1085" s="28" t="s">
        <v>34</v>
      </c>
      <c r="Q1085" s="28"/>
      <c r="R1085" s="30"/>
      <c r="S1085" s="30">
        <v>45855</v>
      </c>
      <c r="T1085" s="33"/>
      <c r="U1085" s="34" t="str">
        <f>IFERROR(_xlfn.XLOOKUP(E1085,[1]EMPREENDIMENTO!C:C,[1]EMPREENDIMENTO!D:D),"")</f>
        <v>F00CDF61-1B7F-EE11-8E2D-009C02B0CB58</v>
      </c>
    </row>
    <row r="1086" spans="1:21" hidden="1" x14ac:dyDescent="0.35">
      <c r="A1086" s="28" t="str">
        <f>IFERROR(_xlfn.XLOOKUP(C1086,[1]DIRETORIA!C:C,[1]DIRETORIA!A:A),"-")</f>
        <v>DIR. COM E CRED CO E AM</v>
      </c>
      <c r="B1086" s="28" t="str">
        <f>IFERROR(_xlfn.XLOOKUP(C1086,[1]DIRETORIA!C:C,[1]DIRETORIA!B:B),"-")</f>
        <v>GST. COM AM</v>
      </c>
      <c r="C1086" s="28" t="str">
        <f>IFERROR(_xlfn.XLOOKUP(E1086,[1]EMPREENDIMENTO!C:C,[1]EMPREENDIMENTO!A:A),"-")</f>
        <v>MANAUS</v>
      </c>
      <c r="D1086" s="28" t="s">
        <v>85</v>
      </c>
      <c r="E1086" s="28" t="s">
        <v>1984</v>
      </c>
      <c r="F1086" s="28" t="s">
        <v>42</v>
      </c>
      <c r="G1086" s="28" t="s">
        <v>1985</v>
      </c>
      <c r="H1086" s="28">
        <v>57026</v>
      </c>
      <c r="I1086" s="29">
        <f>IFERROR(_xlfn.XLOOKUP(E1086,[1]EMPREENDIMENTO!C:C,[1]EMPREENDIMENTO!E:E),"0")</f>
        <v>0</v>
      </c>
      <c r="J1086" s="30"/>
      <c r="K1086" s="28" t="s">
        <v>33</v>
      </c>
      <c r="L1086" s="31">
        <v>46062</v>
      </c>
      <c r="M1086" s="32">
        <v>142986820</v>
      </c>
      <c r="N1086" s="32">
        <v>176637454</v>
      </c>
      <c r="O1086" s="32">
        <v>164061785</v>
      </c>
      <c r="P1086" s="28" t="s">
        <v>34</v>
      </c>
      <c r="Q1086" s="28">
        <v>757732</v>
      </c>
      <c r="R1086" s="30"/>
      <c r="S1086" s="30">
        <v>46062</v>
      </c>
      <c r="T1086" s="33"/>
      <c r="U1086" s="34" t="str">
        <f>IFERROR(_xlfn.XLOOKUP(E1086,[1]EMPREENDIMENTO!C:C,[1]EMPREENDIMENTO!D:D),"")</f>
        <v>F0F9A967-6C52-EE11-AE6A-009C02B0CB58</v>
      </c>
    </row>
    <row r="1087" spans="1:21" hidden="1" x14ac:dyDescent="0.35">
      <c r="A1087" s="28" t="str">
        <f>IFERROR(_xlfn.XLOOKUP(C1087,[1]DIRETORIA!C:C,[1]DIRETORIA!A:A),"-")</f>
        <v>DIR. COM E CRED CO E AM</v>
      </c>
      <c r="B1087" s="28" t="str">
        <f>IFERROR(_xlfn.XLOOKUP(C1087,[1]DIRETORIA!C:C,[1]DIRETORIA!B:B),"-")</f>
        <v>GST. COM MS</v>
      </c>
      <c r="C1087" s="28" t="str">
        <f>IFERROR(_xlfn.XLOOKUP(E1087,[1]EMPREENDIMENTO!C:C,[1]EMPREENDIMENTO!A:A),"-")</f>
        <v>CAMPO GRANDE</v>
      </c>
      <c r="D1087" s="28" t="s">
        <v>85</v>
      </c>
      <c r="E1087" s="28" t="s">
        <v>1986</v>
      </c>
      <c r="F1087" s="28" t="s">
        <v>42</v>
      </c>
      <c r="G1087" s="28" t="s">
        <v>1987</v>
      </c>
      <c r="H1087" s="28">
        <v>57453</v>
      </c>
      <c r="I1087" s="29">
        <f>IFERROR(_xlfn.XLOOKUP(E1087,[1]EMPREENDIMENTO!C:C,[1]EMPREENDIMENTO!E:E),"0")</f>
        <v>272</v>
      </c>
      <c r="J1087" s="30"/>
      <c r="K1087" s="28" t="s">
        <v>33</v>
      </c>
      <c r="L1087" s="31">
        <v>46149</v>
      </c>
      <c r="M1087" s="32">
        <v>92439391</v>
      </c>
      <c r="N1087" s="32">
        <v>95136248</v>
      </c>
      <c r="O1087" s="32">
        <v>93560552</v>
      </c>
      <c r="P1087" s="28" t="s">
        <v>34</v>
      </c>
      <c r="Q1087" s="28">
        <v>824713</v>
      </c>
      <c r="R1087" s="30">
        <v>46169</v>
      </c>
      <c r="S1087" s="30">
        <v>46149</v>
      </c>
      <c r="T1087" s="33"/>
      <c r="U1087" s="34" t="str">
        <f>IFERROR(_xlfn.XLOOKUP(E1087,[1]EMPREENDIMENTO!C:C,[1]EMPREENDIMENTO!D:D),"")</f>
        <v>AB190E99-6A47-EE11-9510-005056856875</v>
      </c>
    </row>
    <row r="1088" spans="1:21" hidden="1" x14ac:dyDescent="0.35">
      <c r="A1088" s="28" t="str">
        <f>IFERROR(_xlfn.XLOOKUP(C1088,[1]DIRETORIA!C:C,[1]DIRETORIA!A:A),"-")</f>
        <v>DIR. COM E CRED SUL</v>
      </c>
      <c r="B1088" s="28" t="str">
        <f>IFERROR(_xlfn.XLOOKUP(C1088,[1]DIRETORIA!C:C,[1]DIRETORIA!B:B),"-")</f>
        <v>GST. COM RS SUL</v>
      </c>
      <c r="C1088" s="28" t="str">
        <f>IFERROR(_xlfn.XLOOKUP(E1088,[1]EMPREENDIMENTO!C:C,[1]EMPREENDIMENTO!A:A),"-")</f>
        <v>PORTO ALEGRE</v>
      </c>
      <c r="D1088" s="28" t="s">
        <v>29</v>
      </c>
      <c r="E1088" s="28" t="s">
        <v>1988</v>
      </c>
      <c r="F1088" s="28" t="s">
        <v>31</v>
      </c>
      <c r="G1088" s="28" t="s">
        <v>1989</v>
      </c>
      <c r="H1088" s="28">
        <v>56609</v>
      </c>
      <c r="I1088" s="29">
        <f>IFERROR(_xlfn.XLOOKUP(E1088,[1]EMPREENDIMENTO!C:C,[1]EMPREENDIMENTO!E:E),"0")</f>
        <v>340</v>
      </c>
      <c r="J1088" s="30"/>
      <c r="K1088" s="28" t="s">
        <v>33</v>
      </c>
      <c r="L1088" s="31">
        <v>46219</v>
      </c>
      <c r="M1088" s="32">
        <v>81688400</v>
      </c>
      <c r="N1088" s="32">
        <v>86118165</v>
      </c>
      <c r="O1088" s="32">
        <v>83993000</v>
      </c>
      <c r="P1088" s="28" t="s">
        <v>34</v>
      </c>
      <c r="Q1088" s="28" t="s">
        <v>1990</v>
      </c>
      <c r="R1088" s="30">
        <v>46223</v>
      </c>
      <c r="S1088" s="30">
        <v>46220</v>
      </c>
      <c r="T1088" s="33" t="s">
        <v>1991</v>
      </c>
      <c r="U1088" s="34" t="str">
        <f>IFERROR(_xlfn.XLOOKUP(E1088,[1]EMPREENDIMENTO!C:C,[1]EMPREENDIMENTO!D:D),"")</f>
        <v>1E9AD992-F381-EF11-B65C-009C02B0CB58</v>
      </c>
    </row>
    <row r="1089" spans="1:21" hidden="1" x14ac:dyDescent="0.35">
      <c r="A1089" s="28" t="str">
        <f>IFERROR(_xlfn.XLOOKUP(C1089,[1]DIRETORIA!C:C,[1]DIRETORIA!A:A),"-")</f>
        <v>DIR. COM E CRED SUL</v>
      </c>
      <c r="B1089" s="28" t="str">
        <f>IFERROR(_xlfn.XLOOKUP(C1089,[1]DIRETORIA!C:C,[1]DIRETORIA!B:B),"-")</f>
        <v>GST. COM RS SUL</v>
      </c>
      <c r="C1089" s="28" t="str">
        <f>IFERROR(_xlfn.XLOOKUP(E1089,[1]EMPREENDIMENTO!C:C,[1]EMPREENDIMENTO!A:A),"-")</f>
        <v>PORTO ALEGRE</v>
      </c>
      <c r="D1089" s="28" t="s">
        <v>29</v>
      </c>
      <c r="E1089" s="28" t="s">
        <v>1988</v>
      </c>
      <c r="F1089" s="28" t="s">
        <v>36</v>
      </c>
      <c r="G1089" s="28" t="s">
        <v>1992</v>
      </c>
      <c r="H1089" s="28">
        <v>67244</v>
      </c>
      <c r="I1089" s="29">
        <f>IFERROR(_xlfn.XLOOKUP(E1089,[1]EMPREENDIMENTO!C:C,[1]EMPREENDIMENTO!E:E),"0")</f>
        <v>340</v>
      </c>
      <c r="J1089" s="30"/>
      <c r="K1089" s="28" t="s">
        <v>33</v>
      </c>
      <c r="L1089" s="31">
        <v>46219</v>
      </c>
      <c r="M1089" s="32">
        <v>81688400</v>
      </c>
      <c r="N1089" s="32">
        <v>86118165</v>
      </c>
      <c r="O1089" s="32">
        <v>83993000</v>
      </c>
      <c r="P1089" s="28" t="s">
        <v>34</v>
      </c>
      <c r="Q1089" s="28" t="s">
        <v>1990</v>
      </c>
      <c r="R1089" s="30">
        <v>46223</v>
      </c>
      <c r="S1089" s="30">
        <v>46220</v>
      </c>
      <c r="T1089" s="33" t="s">
        <v>1991</v>
      </c>
      <c r="U1089" s="34" t="str">
        <f>IFERROR(_xlfn.XLOOKUP(E1089,[1]EMPREENDIMENTO!C:C,[1]EMPREENDIMENTO!D:D),"")</f>
        <v>1E9AD992-F381-EF11-B65C-009C02B0CB58</v>
      </c>
    </row>
    <row r="1090" spans="1:21" hidden="1" x14ac:dyDescent="0.35">
      <c r="A1090" s="28" t="str">
        <f>IFERROR(_xlfn.XLOOKUP(C1090,[1]DIRETORIA!C:C,[1]DIRETORIA!A:A),"-")</f>
        <v>DIR. COM E CRED SUL</v>
      </c>
      <c r="B1090" s="28" t="str">
        <f>IFERROR(_xlfn.XLOOKUP(C1090,[1]DIRETORIA!C:C,[1]DIRETORIA!B:B),"-")</f>
        <v>GST. COM RS SUL</v>
      </c>
      <c r="C1090" s="28" t="str">
        <f>IFERROR(_xlfn.XLOOKUP(E1090,[1]EMPREENDIMENTO!C:C,[1]EMPREENDIMENTO!A:A),"-")</f>
        <v>PORTO ALEGRE</v>
      </c>
      <c r="D1090" s="28" t="s">
        <v>85</v>
      </c>
      <c r="E1090" s="28" t="s">
        <v>1988</v>
      </c>
      <c r="F1090" s="28" t="s">
        <v>39</v>
      </c>
      <c r="G1090" s="28" t="s">
        <v>268</v>
      </c>
      <c r="H1090" s="28">
        <v>67246</v>
      </c>
      <c r="I1090" s="29">
        <f>IFERROR(_xlfn.XLOOKUP(E1090,[1]EMPREENDIMENTO!C:C,[1]EMPREENDIMENTO!E:E),"0")</f>
        <v>340</v>
      </c>
      <c r="J1090" s="30"/>
      <c r="K1090" s="28" t="s">
        <v>33</v>
      </c>
      <c r="L1090" s="31">
        <v>46219</v>
      </c>
      <c r="M1090" s="32">
        <v>81688400</v>
      </c>
      <c r="N1090" s="32">
        <v>86118165</v>
      </c>
      <c r="O1090" s="32">
        <v>83993000</v>
      </c>
      <c r="P1090" s="28" t="s">
        <v>34</v>
      </c>
      <c r="Q1090" s="28" t="s">
        <v>1990</v>
      </c>
      <c r="R1090" s="30">
        <v>46223</v>
      </c>
      <c r="S1090" s="30">
        <v>46220</v>
      </c>
      <c r="T1090" s="33" t="s">
        <v>1991</v>
      </c>
      <c r="U1090" s="34" t="str">
        <f>IFERROR(_xlfn.XLOOKUP(E1090,[1]EMPREENDIMENTO!C:C,[1]EMPREENDIMENTO!D:D),"")</f>
        <v>1E9AD992-F381-EF11-B65C-009C02B0CB58</v>
      </c>
    </row>
    <row r="1091" spans="1:21" x14ac:dyDescent="0.35">
      <c r="A1091" s="28" t="str">
        <f>IFERROR(_xlfn.XLOOKUP(C1091,[1]DIRETORIA!C:C,[1]DIRETORIA!A:A),"-")</f>
        <v>DIR. COM E CRED SPI CP</v>
      </c>
      <c r="B1091" s="28" t="str">
        <f>IFERROR(_xlfn.XLOOKUP(C1091,[1]DIRETORIA!C:C,[1]DIRETORIA!B:B),"-")</f>
        <v>GST. COM CP2</v>
      </c>
      <c r="C1091" s="28" t="str">
        <f>IFERROR(_xlfn.XLOOKUP(E1091,[1]EMPREENDIMENTO!C:C,[1]EMPREENDIMENTO!A:A),"-")</f>
        <v>SOROCABA</v>
      </c>
      <c r="D1091" s="28" t="s">
        <v>85</v>
      </c>
      <c r="E1091" s="28" t="s">
        <v>1993</v>
      </c>
      <c r="F1091" s="28" t="s">
        <v>42</v>
      </c>
      <c r="G1091" s="28" t="s">
        <v>1994</v>
      </c>
      <c r="H1091" s="28">
        <v>37644</v>
      </c>
      <c r="I1091" s="29">
        <f>IFERROR(_xlfn.XLOOKUP(E1091,[1]EMPREENDIMENTO!C:C,[1]EMPREENDIMENTO!E:E),"0")</f>
        <v>0</v>
      </c>
      <c r="J1091" s="30"/>
      <c r="K1091" s="28" t="s">
        <v>33</v>
      </c>
      <c r="L1091" s="31">
        <v>45863</v>
      </c>
      <c r="M1091" s="32">
        <v>49232000</v>
      </c>
      <c r="N1091" s="32">
        <v>49232000</v>
      </c>
      <c r="O1091" s="32">
        <v>46642350</v>
      </c>
      <c r="P1091" s="28" t="s">
        <v>34</v>
      </c>
      <c r="Q1091" s="28"/>
      <c r="R1091" s="30"/>
      <c r="S1091" s="30">
        <v>45863</v>
      </c>
      <c r="T1091" s="33"/>
      <c r="U1091" s="34" t="str">
        <f>IFERROR(_xlfn.XLOOKUP(E1091,[1]EMPREENDIMENTO!C:C,[1]EMPREENDIMENTO!D:D),"")</f>
        <v>E870D082-7704-ED11-BA45-005056890018</v>
      </c>
    </row>
    <row r="1092" spans="1:21" x14ac:dyDescent="0.35">
      <c r="A1092" s="28" t="str">
        <f>IFERROR(_xlfn.XLOOKUP(C1092,[1]DIRETORIA!C:C,[1]DIRETORIA!A:A),"-")</f>
        <v>DIR. COM E CRED SPI CP</v>
      </c>
      <c r="B1092" s="28" t="str">
        <f>IFERROR(_xlfn.XLOOKUP(C1092,[1]DIRETORIA!C:C,[1]DIRETORIA!B:B),"-")</f>
        <v>GST. COM CP1</v>
      </c>
      <c r="C1092" s="28" t="str">
        <f>IFERROR(_xlfn.XLOOKUP(E1092,[1]EMPREENDIMENTO!C:C,[1]EMPREENDIMENTO!A:A),"-")</f>
        <v>CAMPINAS</v>
      </c>
      <c r="D1092" s="28" t="s">
        <v>29</v>
      </c>
      <c r="E1092" s="28" t="s">
        <v>1995</v>
      </c>
      <c r="F1092" s="28" t="s">
        <v>31</v>
      </c>
      <c r="G1092" s="28" t="s">
        <v>1996</v>
      </c>
      <c r="H1092" s="28">
        <v>54891</v>
      </c>
      <c r="I1092" s="29">
        <f>IFERROR(_xlfn.XLOOKUP(E1092,[1]EMPREENDIMENTO!C:C,[1]EMPREENDIMENTO!E:E),"0")</f>
        <v>0</v>
      </c>
      <c r="J1092" s="30"/>
      <c r="K1092" s="28" t="s">
        <v>33</v>
      </c>
      <c r="L1092" s="31">
        <v>46227</v>
      </c>
      <c r="M1092" s="32">
        <v>70150000</v>
      </c>
      <c r="N1092" s="32">
        <v>70150000</v>
      </c>
      <c r="O1092" s="32">
        <v>70150000</v>
      </c>
      <c r="P1092" s="28" t="s">
        <v>34</v>
      </c>
      <c r="Q1092" s="28"/>
      <c r="R1092" s="30"/>
      <c r="S1092" s="30">
        <v>46227</v>
      </c>
      <c r="T1092" s="33"/>
      <c r="U1092" s="34" t="str">
        <f>IFERROR(_xlfn.XLOOKUP(E1092,[1]EMPREENDIMENTO!C:C,[1]EMPREENDIMENTO!D:D),"")</f>
        <v>FE6CE2C6-A8E7-EE11-94F2-005056856875</v>
      </c>
    </row>
    <row r="1093" spans="1:21" x14ac:dyDescent="0.35">
      <c r="A1093" s="28" t="str">
        <f>IFERROR(_xlfn.XLOOKUP(C1093,[1]DIRETORIA!C:C,[1]DIRETORIA!A:A),"-")</f>
        <v>DIR. COM E CRED SPI CP</v>
      </c>
      <c r="B1093" s="28" t="str">
        <f>IFERROR(_xlfn.XLOOKUP(C1093,[1]DIRETORIA!C:C,[1]DIRETORIA!B:B),"-")</f>
        <v>GST. COM CP1</v>
      </c>
      <c r="C1093" s="28" t="str">
        <f>IFERROR(_xlfn.XLOOKUP(E1093,[1]EMPREENDIMENTO!C:C,[1]EMPREENDIMENTO!A:A),"-")</f>
        <v>CAMPINAS</v>
      </c>
      <c r="D1093" s="28" t="s">
        <v>85</v>
      </c>
      <c r="E1093" s="28" t="s">
        <v>1995</v>
      </c>
      <c r="F1093" s="28" t="s">
        <v>36</v>
      </c>
      <c r="G1093" s="28" t="s">
        <v>268</v>
      </c>
      <c r="H1093" s="28" t="s">
        <v>268</v>
      </c>
      <c r="I1093" s="29">
        <f>IFERROR(_xlfn.XLOOKUP(E1093,[1]EMPREENDIMENTO!C:C,[1]EMPREENDIMENTO!E:E),"0")</f>
        <v>0</v>
      </c>
      <c r="J1093" s="30"/>
      <c r="K1093" s="28" t="s">
        <v>33</v>
      </c>
      <c r="L1093" s="31">
        <v>46227</v>
      </c>
      <c r="M1093" s="32">
        <v>70150000</v>
      </c>
      <c r="N1093" s="32">
        <v>70150000</v>
      </c>
      <c r="O1093" s="32">
        <v>70150000</v>
      </c>
      <c r="P1093" s="28" t="s">
        <v>34</v>
      </c>
      <c r="Q1093" s="28"/>
      <c r="R1093" s="30"/>
      <c r="S1093" s="30">
        <v>46227</v>
      </c>
      <c r="T1093" s="33"/>
      <c r="U1093" s="34" t="str">
        <f>IFERROR(_xlfn.XLOOKUP(E1093,[1]EMPREENDIMENTO!C:C,[1]EMPREENDIMENTO!D:D),"")</f>
        <v>FE6CE2C6-A8E7-EE11-94F2-005056856875</v>
      </c>
    </row>
    <row r="1094" spans="1:21" x14ac:dyDescent="0.35">
      <c r="A1094" s="28" t="str">
        <f>IFERROR(_xlfn.XLOOKUP(C1094,[1]DIRETORIA!C:C,[1]DIRETORIA!A:A),"-")</f>
        <v>DIR. COM E CRED SPI CP</v>
      </c>
      <c r="B1094" s="28" t="str">
        <f>IFERROR(_xlfn.XLOOKUP(C1094,[1]DIRETORIA!C:C,[1]DIRETORIA!B:B),"-")</f>
        <v>GST. COM CP1</v>
      </c>
      <c r="C1094" s="28" t="str">
        <f>IFERROR(_xlfn.XLOOKUP(E1094,[1]EMPREENDIMENTO!C:C,[1]EMPREENDIMENTO!A:A),"-")</f>
        <v>CAMPINAS</v>
      </c>
      <c r="D1094" s="28" t="s">
        <v>85</v>
      </c>
      <c r="E1094" s="28" t="s">
        <v>1997</v>
      </c>
      <c r="F1094" s="28" t="s">
        <v>31</v>
      </c>
      <c r="G1094" s="28" t="s">
        <v>1998</v>
      </c>
      <c r="H1094" s="28">
        <v>57175</v>
      </c>
      <c r="I1094" s="29">
        <f>IFERROR(_xlfn.XLOOKUP(E1094,[1]EMPREENDIMENTO!C:C,[1]EMPREENDIMENTO!E:E),"0")</f>
        <v>544</v>
      </c>
      <c r="J1094" s="30"/>
      <c r="K1094" s="28" t="s">
        <v>33</v>
      </c>
      <c r="L1094" s="31">
        <v>46087</v>
      </c>
      <c r="M1094" s="32">
        <v>162522100</v>
      </c>
      <c r="N1094" s="32">
        <v>162522100</v>
      </c>
      <c r="O1094" s="32">
        <v>162522100</v>
      </c>
      <c r="P1094" s="28" t="s">
        <v>34</v>
      </c>
      <c r="Q1094" s="28"/>
      <c r="R1094" s="30"/>
      <c r="S1094" s="30">
        <v>45868</v>
      </c>
      <c r="T1094" s="33"/>
      <c r="U1094" s="34" t="str">
        <f>IFERROR(_xlfn.XLOOKUP(E1094,[1]EMPREENDIMENTO!C:C,[1]EMPREENDIMENTO!D:D),"")</f>
        <v>06189D8F-CA9A-EF11-AB5A-80C16E075108</v>
      </c>
    </row>
    <row r="1095" spans="1:21" x14ac:dyDescent="0.35">
      <c r="A1095" s="28" t="str">
        <f>IFERROR(_xlfn.XLOOKUP(C1095,[1]DIRETORIA!C:C,[1]DIRETORIA!A:A),"-")</f>
        <v>DIR. COM E CRED SPI CP</v>
      </c>
      <c r="B1095" s="28" t="str">
        <f>IFERROR(_xlfn.XLOOKUP(C1095,[1]DIRETORIA!C:C,[1]DIRETORIA!B:B),"-")</f>
        <v>GST. COM CP1</v>
      </c>
      <c r="C1095" s="28" t="str">
        <f>IFERROR(_xlfn.XLOOKUP(E1095,[1]EMPREENDIMENTO!C:C,[1]EMPREENDIMENTO!A:A),"-")</f>
        <v>CAMPINAS</v>
      </c>
      <c r="D1095" s="28" t="s">
        <v>85</v>
      </c>
      <c r="E1095" s="28" t="s">
        <v>1997</v>
      </c>
      <c r="F1095" s="28" t="s">
        <v>36</v>
      </c>
      <c r="G1095" s="28" t="s">
        <v>268</v>
      </c>
      <c r="H1095" s="28">
        <v>63772</v>
      </c>
      <c r="I1095" s="29">
        <f>IFERROR(_xlfn.XLOOKUP(E1095,[1]EMPREENDIMENTO!C:C,[1]EMPREENDIMENTO!E:E),"0")</f>
        <v>544</v>
      </c>
      <c r="J1095" s="30"/>
      <c r="K1095" s="28" t="s">
        <v>33</v>
      </c>
      <c r="L1095" s="31">
        <v>46087</v>
      </c>
      <c r="M1095" s="32">
        <v>162522100</v>
      </c>
      <c r="N1095" s="32">
        <v>162522100</v>
      </c>
      <c r="O1095" s="32">
        <v>162522100</v>
      </c>
      <c r="P1095" s="28" t="s">
        <v>34</v>
      </c>
      <c r="Q1095" s="28"/>
      <c r="R1095" s="30"/>
      <c r="S1095" s="30">
        <v>45868</v>
      </c>
      <c r="T1095" s="33"/>
      <c r="U1095" s="34" t="str">
        <f>IFERROR(_xlfn.XLOOKUP(E1095,[1]EMPREENDIMENTO!C:C,[1]EMPREENDIMENTO!D:D),"")</f>
        <v>06189D8F-CA9A-EF11-AB5A-80C16E075108</v>
      </c>
    </row>
    <row r="1096" spans="1:21" hidden="1" x14ac:dyDescent="0.35">
      <c r="A1096" s="28" t="str">
        <f>IFERROR(_xlfn.XLOOKUP(C1096,[1]DIRETORIA!C:C,[1]DIRETORIA!A:A),"-")</f>
        <v>DIR. COM E CRED NE</v>
      </c>
      <c r="B1096" s="28" t="str">
        <f>IFERROR(_xlfn.XLOOKUP(C1096,[1]DIRETORIA!C:C,[1]DIRETORIA!B:B),"-")</f>
        <v>GST. COM NE1 (BA 1)</v>
      </c>
      <c r="C1096" s="28" t="str">
        <f>IFERROR(_xlfn.XLOOKUP(E1096,[1]EMPREENDIMENTO!C:C,[1]EMPREENDIMENTO!A:A),"-")</f>
        <v>SALVADOR</v>
      </c>
      <c r="D1096" s="28" t="s">
        <v>85</v>
      </c>
      <c r="E1096" s="28" t="s">
        <v>1999</v>
      </c>
      <c r="F1096" s="28" t="s">
        <v>42</v>
      </c>
      <c r="G1096" s="28" t="s">
        <v>2000</v>
      </c>
      <c r="H1096" s="28">
        <v>57449</v>
      </c>
      <c r="I1096" s="29">
        <f>IFERROR(_xlfn.XLOOKUP(E1096,[1]EMPREENDIMENTO!C:C,[1]EMPREENDIMENTO!E:E),"0")</f>
        <v>0</v>
      </c>
      <c r="J1096" s="30"/>
      <c r="K1096" s="28" t="s">
        <v>164</v>
      </c>
      <c r="L1096" s="31">
        <v>46164</v>
      </c>
      <c r="M1096" s="32">
        <v>80400183</v>
      </c>
      <c r="N1096" s="32">
        <v>96432176</v>
      </c>
      <c r="O1096" s="32">
        <v>86676200</v>
      </c>
      <c r="P1096" s="28" t="s">
        <v>34</v>
      </c>
      <c r="Q1096" s="28" t="s">
        <v>2001</v>
      </c>
      <c r="R1096" s="30">
        <v>45876</v>
      </c>
      <c r="S1096" s="30">
        <v>46167</v>
      </c>
      <c r="T1096" s="33"/>
      <c r="U1096" s="34" t="str">
        <f>IFERROR(_xlfn.XLOOKUP(E1096,[1]EMPREENDIMENTO!C:C,[1]EMPREENDIMENTO!D:D),"")</f>
        <v>7718C8D1-F281-EF11-B65C-009C02B0CB58</v>
      </c>
    </row>
    <row r="1097" spans="1:21" hidden="1" x14ac:dyDescent="0.35">
      <c r="A1097" s="28" t="str">
        <f>IFERROR(_xlfn.XLOOKUP(C1097,[1]DIRETORIA!C:C,[1]DIRETORIA!A:A),"-")</f>
        <v>DIR. COM E CRED SUL</v>
      </c>
      <c r="B1097" s="28" t="str">
        <f>IFERROR(_xlfn.XLOOKUP(C1097,[1]DIRETORIA!C:C,[1]DIRETORIA!B:B),"-")</f>
        <v>GST. COM CURITIBA</v>
      </c>
      <c r="C1097" s="28" t="str">
        <f>IFERROR(_xlfn.XLOOKUP(E1097,[1]EMPREENDIMENTO!C:C,[1]EMPREENDIMENTO!A:A),"-")</f>
        <v>CURITIBA</v>
      </c>
      <c r="D1097" s="28" t="s">
        <v>85</v>
      </c>
      <c r="E1097" s="28" t="s">
        <v>2002</v>
      </c>
      <c r="F1097" s="28" t="s">
        <v>42</v>
      </c>
      <c r="G1097" s="28" t="s">
        <v>2003</v>
      </c>
      <c r="H1097" s="28">
        <v>56512</v>
      </c>
      <c r="I1097" s="29">
        <f>IFERROR(_xlfn.XLOOKUP(E1097,[1]EMPREENDIMENTO!C:C,[1]EMPREENDIMENTO!E:E),"0")</f>
        <v>256</v>
      </c>
      <c r="J1097" s="30"/>
      <c r="K1097" s="28" t="s">
        <v>33</v>
      </c>
      <c r="L1097" s="31">
        <v>45909</v>
      </c>
      <c r="M1097" s="32">
        <v>179070026</v>
      </c>
      <c r="N1097" s="32">
        <v>179070026</v>
      </c>
      <c r="O1097" s="32">
        <v>167650800</v>
      </c>
      <c r="P1097" s="28" t="s">
        <v>34</v>
      </c>
      <c r="Q1097" s="28" t="s">
        <v>663</v>
      </c>
      <c r="R1097" s="30">
        <v>45920</v>
      </c>
      <c r="S1097" s="30">
        <v>45909</v>
      </c>
      <c r="T1097" s="33"/>
      <c r="U1097" s="34" t="str">
        <f>IFERROR(_xlfn.XLOOKUP(E1097,[1]EMPREENDIMENTO!C:C,[1]EMPREENDIMENTO!D:D),"")</f>
        <v>9CFDE315-C277-EC11-B501-005056856B6C</v>
      </c>
    </row>
    <row r="1098" spans="1:21" hidden="1" x14ac:dyDescent="0.35">
      <c r="A1098" s="28" t="str">
        <f>IFERROR(_xlfn.XLOOKUP(C1098,[1]DIRETORIA!C:C,[1]DIRETORIA!A:A),"-")</f>
        <v>DIR. COM E CRED SP E VL</v>
      </c>
      <c r="B1098" s="28" t="str">
        <f>IFERROR(_xlfn.XLOOKUP(C1098,[1]DIRETORIA!C:C,[1]DIRETORIA!B:B),"-")</f>
        <v>GST. COM SP2</v>
      </c>
      <c r="C1098" s="28" t="str">
        <f>IFERROR(_xlfn.XLOOKUP(E1098,[1]EMPREENDIMENTO!C:C,[1]EMPREENDIMENTO!A:A),"-")</f>
        <v>SÃO PAULO</v>
      </c>
      <c r="D1098" s="28" t="s">
        <v>29</v>
      </c>
      <c r="E1098" s="28" t="s">
        <v>2004</v>
      </c>
      <c r="F1098" s="28" t="s">
        <v>31</v>
      </c>
      <c r="G1098" s="28" t="s">
        <v>2005</v>
      </c>
      <c r="H1098" s="28">
        <v>41011</v>
      </c>
      <c r="I1098" s="29">
        <f>IFERROR(_xlfn.XLOOKUP(E1098,[1]EMPREENDIMENTO!C:C,[1]EMPREENDIMENTO!E:E),"0")</f>
        <v>432</v>
      </c>
      <c r="J1098" s="30"/>
      <c r="K1098" s="28" t="s">
        <v>33</v>
      </c>
      <c r="L1098" s="31">
        <v>45898</v>
      </c>
      <c r="M1098" s="32">
        <v>141947302</v>
      </c>
      <c r="N1098" s="32">
        <v>141947302</v>
      </c>
      <c r="O1098" s="32">
        <v>141947302</v>
      </c>
      <c r="P1098" s="28" t="s">
        <v>34</v>
      </c>
      <c r="Q1098" s="28"/>
      <c r="R1098" s="30"/>
      <c r="S1098" s="30">
        <v>45873</v>
      </c>
      <c r="T1098" s="33"/>
      <c r="U1098" s="34" t="str">
        <f>IFERROR(_xlfn.XLOOKUP(E1098,[1]EMPREENDIMENTO!C:C,[1]EMPREENDIMENTO!D:D),"")</f>
        <v>aed26438-9977-eb11-8864-0050568aa20f</v>
      </c>
    </row>
    <row r="1099" spans="1:21" hidden="1" x14ac:dyDescent="0.35">
      <c r="A1099" s="28" t="str">
        <f>IFERROR(_xlfn.XLOOKUP(C1099,[1]DIRETORIA!C:C,[1]DIRETORIA!A:A),"-")</f>
        <v>DIR. COM E CRED SP E VL</v>
      </c>
      <c r="B1099" s="28" t="str">
        <f>IFERROR(_xlfn.XLOOKUP(C1099,[1]DIRETORIA!C:C,[1]DIRETORIA!B:B),"-")</f>
        <v>GST. COM SP2</v>
      </c>
      <c r="C1099" s="28" t="str">
        <f>IFERROR(_xlfn.XLOOKUP(E1099,[1]EMPREENDIMENTO!C:C,[1]EMPREENDIMENTO!A:A),"-")</f>
        <v>SÃO PAULO</v>
      </c>
      <c r="D1099" s="28" t="s">
        <v>29</v>
      </c>
      <c r="E1099" s="28" t="s">
        <v>2004</v>
      </c>
      <c r="F1099" s="28" t="s">
        <v>36</v>
      </c>
      <c r="G1099" s="28" t="s">
        <v>2006</v>
      </c>
      <c r="H1099" s="28">
        <v>63326</v>
      </c>
      <c r="I1099" s="29">
        <f>IFERROR(_xlfn.XLOOKUP(E1099,[1]EMPREENDIMENTO!C:C,[1]EMPREENDIMENTO!E:E),"0")</f>
        <v>432</v>
      </c>
      <c r="J1099" s="30"/>
      <c r="K1099" s="28" t="s">
        <v>33</v>
      </c>
      <c r="L1099" s="31">
        <v>45898</v>
      </c>
      <c r="M1099" s="32">
        <v>141947302</v>
      </c>
      <c r="N1099" s="32">
        <v>141947302</v>
      </c>
      <c r="O1099" s="32">
        <v>141947302</v>
      </c>
      <c r="P1099" s="28" t="s">
        <v>34</v>
      </c>
      <c r="Q1099" s="28"/>
      <c r="R1099" s="30"/>
      <c r="S1099" s="30">
        <v>45873</v>
      </c>
      <c r="T1099" s="33"/>
      <c r="U1099" s="34" t="str">
        <f>IFERROR(_xlfn.XLOOKUP(E1099,[1]EMPREENDIMENTO!C:C,[1]EMPREENDIMENTO!D:D),"")</f>
        <v>aed26438-9977-eb11-8864-0050568aa20f</v>
      </c>
    </row>
    <row r="1100" spans="1:21" hidden="1" x14ac:dyDescent="0.35">
      <c r="A1100" s="28" t="str">
        <f>IFERROR(_xlfn.XLOOKUP(C1100,[1]DIRETORIA!C:C,[1]DIRETORIA!A:A),"-")</f>
        <v>DIR. COM E CRED CO E AM</v>
      </c>
      <c r="B1100" s="28" t="str">
        <f>IFERROR(_xlfn.XLOOKUP(C1100,[1]DIRETORIA!C:C,[1]DIRETORIA!B:B),"-")</f>
        <v>GST. COM AM</v>
      </c>
      <c r="C1100" s="28" t="str">
        <f>IFERROR(_xlfn.XLOOKUP(E1100,[1]EMPREENDIMENTO!C:C,[1]EMPREENDIMENTO!A:A),"-")</f>
        <v>MANAUS</v>
      </c>
      <c r="D1100" s="28" t="s">
        <v>85</v>
      </c>
      <c r="E1100" s="28" t="s">
        <v>2007</v>
      </c>
      <c r="F1100" s="28" t="s">
        <v>42</v>
      </c>
      <c r="G1100" s="28" t="s">
        <v>2008</v>
      </c>
      <c r="H1100" s="28">
        <v>38441</v>
      </c>
      <c r="I1100" s="29">
        <f>IFERROR(_xlfn.XLOOKUP(E1100,[1]EMPREENDIMENTO!C:C,[1]EMPREENDIMENTO!E:E),"0")</f>
        <v>0</v>
      </c>
      <c r="J1100" s="30"/>
      <c r="K1100" s="28" t="s">
        <v>33</v>
      </c>
      <c r="L1100" s="31">
        <v>46009</v>
      </c>
      <c r="M1100" s="32">
        <v>113418519</v>
      </c>
      <c r="N1100" s="32">
        <v>128447299</v>
      </c>
      <c r="O1100" s="32">
        <v>109980000</v>
      </c>
      <c r="P1100" s="28" t="s">
        <v>34</v>
      </c>
      <c r="Q1100" s="28">
        <v>767990</v>
      </c>
      <c r="R1100" s="30">
        <v>46027</v>
      </c>
      <c r="S1100" s="30">
        <v>46021</v>
      </c>
      <c r="T1100" s="33"/>
      <c r="U1100" s="34" t="str">
        <f>IFERROR(_xlfn.XLOOKUP(E1100,[1]EMPREENDIMENTO!C:C,[1]EMPREENDIMENTO!D:D),"")</f>
        <v>6F20CA06-2618-ED11-BA45-005056890018</v>
      </c>
    </row>
    <row r="1101" spans="1:21" hidden="1" x14ac:dyDescent="0.35">
      <c r="A1101" s="28" t="str">
        <f>IFERROR(_xlfn.XLOOKUP(C1101,[1]DIRETORIA!C:C,[1]DIRETORIA!A:A),"-")</f>
        <v>DIR. COM E CRED MG E ES</v>
      </c>
      <c r="B1101" s="28" t="str">
        <f>IFERROR(_xlfn.XLOOKUP(C1101,[1]DIRETORIA!C:C,[1]DIRETORIA!B:B),"-")</f>
        <v>GST. COM BH E INT</v>
      </c>
      <c r="C1101" s="28" t="str">
        <f>IFERROR(_xlfn.XLOOKUP(E1101,[1]EMPREENDIMENTO!C:C,[1]EMPREENDIMENTO!A:A),"-")</f>
        <v>BETIM</v>
      </c>
      <c r="D1101" s="28" t="s">
        <v>29</v>
      </c>
      <c r="E1101" s="28" t="s">
        <v>2009</v>
      </c>
      <c r="F1101" s="28" t="s">
        <v>31</v>
      </c>
      <c r="G1101" s="28" t="s">
        <v>2010</v>
      </c>
      <c r="H1101" s="28">
        <v>57031</v>
      </c>
      <c r="I1101" s="29">
        <f>IFERROR(_xlfn.XLOOKUP(E1101,[1]EMPREENDIMENTO!C:C,[1]EMPREENDIMENTO!E:E),"0")</f>
        <v>432</v>
      </c>
      <c r="J1101" s="30"/>
      <c r="K1101" s="28" t="s">
        <v>33</v>
      </c>
      <c r="L1101" s="31">
        <v>46226</v>
      </c>
      <c r="M1101" s="32">
        <v>120886048.39999998</v>
      </c>
      <c r="N1101" s="32">
        <v>135433009</v>
      </c>
      <c r="O1101" s="32">
        <v>126310000</v>
      </c>
      <c r="P1101" s="28" t="s">
        <v>34</v>
      </c>
      <c r="Q1101" s="28" t="s">
        <v>2011</v>
      </c>
      <c r="R1101" s="30">
        <v>46225</v>
      </c>
      <c r="S1101" s="30">
        <v>46227</v>
      </c>
      <c r="T1101" s="33"/>
      <c r="U1101" s="34" t="str">
        <f>IFERROR(_xlfn.XLOOKUP(E1101,[1]EMPREENDIMENTO!C:C,[1]EMPREENDIMENTO!D:D),"")</f>
        <v>68bbcf94-d2cf-e311-8efb-009c02b0cb58</v>
      </c>
    </row>
    <row r="1102" spans="1:21" hidden="1" x14ac:dyDescent="0.35">
      <c r="A1102" s="28" t="str">
        <f>IFERROR(_xlfn.XLOOKUP(C1102,[1]DIRETORIA!C:C,[1]DIRETORIA!A:A),"-")</f>
        <v>DIR. COM E CRED MG E ES</v>
      </c>
      <c r="B1102" s="28" t="str">
        <f>IFERROR(_xlfn.XLOOKUP(C1102,[1]DIRETORIA!C:C,[1]DIRETORIA!B:B),"-")</f>
        <v>GST. COM BH E INT</v>
      </c>
      <c r="C1102" s="28" t="str">
        <f>IFERROR(_xlfn.XLOOKUP(E1102,[1]EMPREENDIMENTO!C:C,[1]EMPREENDIMENTO!A:A),"-")</f>
        <v>BETIM</v>
      </c>
      <c r="D1102" s="28" t="s">
        <v>29</v>
      </c>
      <c r="E1102" s="28" t="s">
        <v>2009</v>
      </c>
      <c r="F1102" s="28" t="s">
        <v>36</v>
      </c>
      <c r="G1102" s="28" t="s">
        <v>2012</v>
      </c>
      <c r="H1102" s="28">
        <v>61397</v>
      </c>
      <c r="I1102" s="29">
        <f>IFERROR(_xlfn.XLOOKUP(E1102,[1]EMPREENDIMENTO!C:C,[1]EMPREENDIMENTO!E:E),"0")</f>
        <v>432</v>
      </c>
      <c r="J1102" s="30"/>
      <c r="K1102" s="28" t="s">
        <v>33</v>
      </c>
      <c r="L1102" s="31">
        <v>46226</v>
      </c>
      <c r="M1102" s="32">
        <v>120886048.39999998</v>
      </c>
      <c r="N1102" s="32">
        <v>135433009</v>
      </c>
      <c r="O1102" s="32">
        <v>126310000</v>
      </c>
      <c r="P1102" s="28" t="s">
        <v>34</v>
      </c>
      <c r="Q1102" s="28" t="s">
        <v>2011</v>
      </c>
      <c r="R1102" s="30">
        <v>46223</v>
      </c>
      <c r="S1102" s="30">
        <v>46227</v>
      </c>
      <c r="T1102" s="33"/>
      <c r="U1102" s="34" t="str">
        <f>IFERROR(_xlfn.XLOOKUP(E1102,[1]EMPREENDIMENTO!C:C,[1]EMPREENDIMENTO!D:D),"")</f>
        <v>68bbcf94-d2cf-e311-8efb-009c02b0cb58</v>
      </c>
    </row>
    <row r="1103" spans="1:21" hidden="1" x14ac:dyDescent="0.35">
      <c r="A1103" s="28" t="str">
        <f>IFERROR(_xlfn.XLOOKUP(C1103,[1]DIRETORIA!C:C,[1]DIRETORIA!A:A),"-")</f>
        <v>DIR. COM E CRED MG E ES</v>
      </c>
      <c r="B1103" s="28" t="str">
        <f>IFERROR(_xlfn.XLOOKUP(C1103,[1]DIRETORIA!C:C,[1]DIRETORIA!B:B),"-")</f>
        <v>GST. COM BH E INT</v>
      </c>
      <c r="C1103" s="28" t="str">
        <f>IFERROR(_xlfn.XLOOKUP(E1103,[1]EMPREENDIMENTO!C:C,[1]EMPREENDIMENTO!A:A),"-")</f>
        <v>BETIM</v>
      </c>
      <c r="D1103" s="28" t="s">
        <v>29</v>
      </c>
      <c r="E1103" s="28" t="s">
        <v>2009</v>
      </c>
      <c r="F1103" s="28" t="s">
        <v>39</v>
      </c>
      <c r="G1103" s="28" t="s">
        <v>2013</v>
      </c>
      <c r="H1103" s="28">
        <v>62440</v>
      </c>
      <c r="I1103" s="29">
        <f>IFERROR(_xlfn.XLOOKUP(E1103,[1]EMPREENDIMENTO!C:C,[1]EMPREENDIMENTO!E:E),"0")</f>
        <v>432</v>
      </c>
      <c r="J1103" s="30"/>
      <c r="K1103" s="28" t="s">
        <v>33</v>
      </c>
      <c r="L1103" s="31">
        <v>46226</v>
      </c>
      <c r="M1103" s="32">
        <v>120886048.39999998</v>
      </c>
      <c r="N1103" s="32">
        <v>135433009</v>
      </c>
      <c r="O1103" s="32">
        <v>126310000</v>
      </c>
      <c r="P1103" s="28" t="s">
        <v>34</v>
      </c>
      <c r="Q1103" s="28" t="s">
        <v>2011</v>
      </c>
      <c r="R1103" s="30">
        <v>46223</v>
      </c>
      <c r="S1103" s="30">
        <v>46227</v>
      </c>
      <c r="T1103" s="33"/>
      <c r="U1103" s="34" t="str">
        <f>IFERROR(_xlfn.XLOOKUP(E1103,[1]EMPREENDIMENTO!C:C,[1]EMPREENDIMENTO!D:D),"")</f>
        <v>68bbcf94-d2cf-e311-8efb-009c02b0cb58</v>
      </c>
    </row>
    <row r="1104" spans="1:21" hidden="1" x14ac:dyDescent="0.35">
      <c r="A1104" s="28" t="str">
        <f>IFERROR(_xlfn.XLOOKUP(C1104,[1]DIRETORIA!C:C,[1]DIRETORIA!A:A),"-")</f>
        <v>DIR. COM E CRED SP E VL</v>
      </c>
      <c r="B1104" s="28" t="str">
        <f>IFERROR(_xlfn.XLOOKUP(C1104,[1]DIRETORIA!C:C,[1]DIRETORIA!B:B),"-")</f>
        <v>GST. COM VL1</v>
      </c>
      <c r="C1104" s="28" t="str">
        <f>IFERROR(_xlfn.XLOOKUP(E1104,[1]EMPREENDIMENTO!C:C,[1]EMPREENDIMENTO!A:A),"-")</f>
        <v>SÃO JOSÉ DOS CAMPOS</v>
      </c>
      <c r="D1104" s="28" t="s">
        <v>85</v>
      </c>
      <c r="E1104" s="28" t="s">
        <v>2014</v>
      </c>
      <c r="F1104" s="28" t="s">
        <v>42</v>
      </c>
      <c r="G1104" s="28" t="s">
        <v>2015</v>
      </c>
      <c r="H1104" s="28">
        <v>57549</v>
      </c>
      <c r="I1104" s="29">
        <f>IFERROR(_xlfn.XLOOKUP(E1104,[1]EMPREENDIMENTO!C:C,[1]EMPREENDIMENTO!E:E),"0")</f>
        <v>0</v>
      </c>
      <c r="J1104" s="30"/>
      <c r="K1104" s="28" t="s">
        <v>33</v>
      </c>
      <c r="L1104" s="31">
        <v>45880</v>
      </c>
      <c r="M1104" s="32">
        <v>83588696</v>
      </c>
      <c r="N1104" s="32">
        <v>83588696</v>
      </c>
      <c r="O1104" s="32">
        <v>83543138</v>
      </c>
      <c r="P1104" s="28" t="s">
        <v>34</v>
      </c>
      <c r="Q1104" s="28"/>
      <c r="R1104" s="30"/>
      <c r="S1104" s="30">
        <v>45880</v>
      </c>
      <c r="T1104" s="33"/>
      <c r="U1104" s="34" t="str">
        <f>IFERROR(_xlfn.XLOOKUP(E1104,[1]EMPREENDIMENTO!C:C,[1]EMPREENDIMENTO!D:D),"")</f>
        <v>34D5F517-7022-EF11-9E4D-009C02B0CB58</v>
      </c>
    </row>
    <row r="1105" spans="1:21" hidden="1" x14ac:dyDescent="0.35">
      <c r="A1105" s="28" t="str">
        <f>IFERROR(_xlfn.XLOOKUP(C1105,[1]DIRETORIA!C:C,[1]DIRETORIA!A:A),"-")</f>
        <v>DIR. COM E CRED RJ</v>
      </c>
      <c r="B1105" s="28" t="str">
        <f>IFERROR(_xlfn.XLOOKUP(C1105,[1]DIRETORIA!C:C,[1]DIRETORIA!B:B),"-")</f>
        <v>GST. COM SF</v>
      </c>
      <c r="C1105" s="28" t="str">
        <f>IFERROR(_xlfn.XLOOKUP(E1105,[1]EMPREENDIMENTO!C:C,[1]EMPREENDIMENTO!A:A),"-")</f>
        <v>JUIZ DE FORA</v>
      </c>
      <c r="D1105" s="28" t="s">
        <v>85</v>
      </c>
      <c r="E1105" s="28" t="s">
        <v>2016</v>
      </c>
      <c r="F1105" s="28" t="s">
        <v>42</v>
      </c>
      <c r="G1105" s="28" t="s">
        <v>2017</v>
      </c>
      <c r="H1105" s="28">
        <v>57761</v>
      </c>
      <c r="I1105" s="29">
        <f>IFERROR(_xlfn.XLOOKUP(E1105,[1]EMPREENDIMENTO!C:C,[1]EMPREENDIMENTO!E:E),"0")</f>
        <v>288</v>
      </c>
      <c r="J1105" s="30"/>
      <c r="K1105" s="28" t="s">
        <v>33</v>
      </c>
      <c r="L1105" s="31">
        <v>46161</v>
      </c>
      <c r="M1105" s="32">
        <v>75418318</v>
      </c>
      <c r="N1105" s="32">
        <v>77755812</v>
      </c>
      <c r="O1105" s="32">
        <v>77044857</v>
      </c>
      <c r="P1105" s="28" t="s">
        <v>34</v>
      </c>
      <c r="Q1105" s="28"/>
      <c r="R1105" s="30">
        <v>46167</v>
      </c>
      <c r="S1105" s="30">
        <v>46161</v>
      </c>
      <c r="T1105" s="33" t="s">
        <v>2018</v>
      </c>
      <c r="U1105" s="34" t="str">
        <f>IFERROR(_xlfn.XLOOKUP(E1105,[1]EMPREENDIMENTO!C:C,[1]EMPREENDIMENTO!D:D),"")</f>
        <v>CF7AC084-888A-E811-B96E-009C02B0CB58</v>
      </c>
    </row>
    <row r="1106" spans="1:21" hidden="1" x14ac:dyDescent="0.35">
      <c r="A1106" s="28" t="str">
        <f>IFERROR(_xlfn.XLOOKUP(C1106,[1]DIRETORIA!C:C,[1]DIRETORIA!A:A),"-")</f>
        <v>DIR. COM E CRED CO E AM</v>
      </c>
      <c r="B1106" s="28" t="str">
        <f>IFERROR(_xlfn.XLOOKUP(C1106,[1]DIRETORIA!C:C,[1]DIRETORIA!B:B),"-")</f>
        <v>GST. COM AM</v>
      </c>
      <c r="C1106" s="28" t="str">
        <f>IFERROR(_xlfn.XLOOKUP(E1106,[1]EMPREENDIMENTO!C:C,[1]EMPREENDIMENTO!A:A),"-")</f>
        <v>MANAUS</v>
      </c>
      <c r="D1106" s="28" t="s">
        <v>29</v>
      </c>
      <c r="E1106" s="28" t="s">
        <v>2019</v>
      </c>
      <c r="F1106" s="28" t="s">
        <v>31</v>
      </c>
      <c r="G1106" s="28" t="s">
        <v>2020</v>
      </c>
      <c r="H1106" s="28">
        <v>58030</v>
      </c>
      <c r="I1106" s="29">
        <f>IFERROR(_xlfn.XLOOKUP(E1106,[1]EMPREENDIMENTO!C:C,[1]EMPREENDIMENTO!E:E),"0")</f>
        <v>640</v>
      </c>
      <c r="J1106" s="30"/>
      <c r="K1106" s="28" t="s">
        <v>33</v>
      </c>
      <c r="L1106" s="31">
        <v>46184</v>
      </c>
      <c r="M1106" s="32">
        <v>157504600</v>
      </c>
      <c r="N1106" s="32">
        <v>182754380</v>
      </c>
      <c r="O1106" s="32">
        <v>163410100</v>
      </c>
      <c r="P1106" s="28" t="s">
        <v>34</v>
      </c>
      <c r="Q1106" s="28" t="s">
        <v>2021</v>
      </c>
      <c r="R1106" s="30">
        <v>46184</v>
      </c>
      <c r="S1106" s="30">
        <v>46188</v>
      </c>
      <c r="T1106" s="33"/>
      <c r="U1106" s="34" t="str">
        <f>IFERROR(_xlfn.XLOOKUP(E1106,[1]EMPREENDIMENTO!C:C,[1]EMPREENDIMENTO!D:D),"")</f>
        <v>7dacf96e-645f-e811-8d3f-80c16e075108</v>
      </c>
    </row>
    <row r="1107" spans="1:21" hidden="1" x14ac:dyDescent="0.35">
      <c r="A1107" s="28" t="str">
        <f>IFERROR(_xlfn.XLOOKUP(C1107,[1]DIRETORIA!C:C,[1]DIRETORIA!A:A),"-")</f>
        <v>DIR. COM E CRED CO E AM</v>
      </c>
      <c r="B1107" s="28" t="str">
        <f>IFERROR(_xlfn.XLOOKUP(C1107,[1]DIRETORIA!C:C,[1]DIRETORIA!B:B),"-")</f>
        <v>GST. COM AM</v>
      </c>
      <c r="C1107" s="28" t="str">
        <f>IFERROR(_xlfn.XLOOKUP(E1107,[1]EMPREENDIMENTO!C:C,[1]EMPREENDIMENTO!A:A),"-")</f>
        <v>MANAUS</v>
      </c>
      <c r="D1107" s="28" t="s">
        <v>29</v>
      </c>
      <c r="E1107" s="28" t="s">
        <v>2019</v>
      </c>
      <c r="F1107" s="28" t="s">
        <v>36</v>
      </c>
      <c r="G1107" s="28" t="s">
        <v>2022</v>
      </c>
      <c r="H1107" s="28">
        <v>62714</v>
      </c>
      <c r="I1107" s="29">
        <f>IFERROR(_xlfn.XLOOKUP(E1107,[1]EMPREENDIMENTO!C:C,[1]EMPREENDIMENTO!E:E),"0")</f>
        <v>640</v>
      </c>
      <c r="J1107" s="30"/>
      <c r="K1107" s="28" t="s">
        <v>33</v>
      </c>
      <c r="L1107" s="31">
        <v>46184</v>
      </c>
      <c r="M1107" s="32">
        <v>157504600</v>
      </c>
      <c r="N1107" s="32">
        <v>182754380</v>
      </c>
      <c r="O1107" s="32">
        <v>163410100</v>
      </c>
      <c r="P1107" s="28" t="s">
        <v>34</v>
      </c>
      <c r="Q1107" s="28" t="s">
        <v>2021</v>
      </c>
      <c r="R1107" s="30">
        <v>46184</v>
      </c>
      <c r="S1107" s="30">
        <v>46188</v>
      </c>
      <c r="T1107" s="33"/>
      <c r="U1107" s="34" t="str">
        <f>IFERROR(_xlfn.XLOOKUP(E1107,[1]EMPREENDIMENTO!C:C,[1]EMPREENDIMENTO!D:D),"")</f>
        <v>7dacf96e-645f-e811-8d3f-80c16e075108</v>
      </c>
    </row>
    <row r="1108" spans="1:21" hidden="1" x14ac:dyDescent="0.35">
      <c r="A1108" s="28" t="str">
        <f>IFERROR(_xlfn.XLOOKUP(C1108,[1]DIRETORIA!C:C,[1]DIRETORIA!A:A),"-")</f>
        <v>DIR. COM E CRED CO E AM</v>
      </c>
      <c r="B1108" s="28" t="str">
        <f>IFERROR(_xlfn.XLOOKUP(C1108,[1]DIRETORIA!C:C,[1]DIRETORIA!B:B),"-")</f>
        <v>GST. COM AM</v>
      </c>
      <c r="C1108" s="28" t="str">
        <f>IFERROR(_xlfn.XLOOKUP(E1108,[1]EMPREENDIMENTO!C:C,[1]EMPREENDIMENTO!A:A),"-")</f>
        <v>MANAUS</v>
      </c>
      <c r="D1108" s="28" t="s">
        <v>85</v>
      </c>
      <c r="E1108" s="28" t="s">
        <v>2019</v>
      </c>
      <c r="F1108" s="28" t="s">
        <v>39</v>
      </c>
      <c r="G1108" s="28" t="s">
        <v>2023</v>
      </c>
      <c r="H1108" s="28">
        <v>63384</v>
      </c>
      <c r="I1108" s="29">
        <f>IFERROR(_xlfn.XLOOKUP(E1108,[1]EMPREENDIMENTO!C:C,[1]EMPREENDIMENTO!E:E),"0")</f>
        <v>640</v>
      </c>
      <c r="J1108" s="30"/>
      <c r="K1108" s="28" t="s">
        <v>33</v>
      </c>
      <c r="L1108" s="31">
        <v>46184</v>
      </c>
      <c r="M1108" s="32">
        <v>157504600</v>
      </c>
      <c r="N1108" s="32">
        <v>182754380</v>
      </c>
      <c r="O1108" s="32">
        <v>163410100</v>
      </c>
      <c r="P1108" s="28" t="s">
        <v>34</v>
      </c>
      <c r="Q1108" s="28" t="s">
        <v>2021</v>
      </c>
      <c r="R1108" s="30">
        <v>46184</v>
      </c>
      <c r="S1108" s="30">
        <v>46188</v>
      </c>
      <c r="T1108" s="33"/>
      <c r="U1108" s="34" t="str">
        <f>IFERROR(_xlfn.XLOOKUP(E1108,[1]EMPREENDIMENTO!C:C,[1]EMPREENDIMENTO!D:D),"")</f>
        <v>7dacf96e-645f-e811-8d3f-80c16e075108</v>
      </c>
    </row>
    <row r="1109" spans="1:21" x14ac:dyDescent="0.35">
      <c r="A1109" s="28" t="str">
        <f>IFERROR(_xlfn.XLOOKUP(C1109,[1]DIRETORIA!C:C,[1]DIRETORIA!A:A),"-")</f>
        <v>DIR. COM E CRED SPI</v>
      </c>
      <c r="B1109" s="28" t="str">
        <f>IFERROR(_xlfn.XLOOKUP(C1109,[1]DIRETORIA!C:C,[1]DIRETORIA!B:B),"-")</f>
        <v>GST. COM RP 2</v>
      </c>
      <c r="C1109" s="28" t="str">
        <f>IFERROR(_xlfn.XLOOKUP(E1109,[1]EMPREENDIMENTO!C:C,[1]EMPREENDIMENTO!A:A),"-")</f>
        <v>BOTUCATU</v>
      </c>
      <c r="D1109" s="28" t="s">
        <v>29</v>
      </c>
      <c r="E1109" s="28" t="s">
        <v>2024</v>
      </c>
      <c r="F1109" s="28" t="s">
        <v>42</v>
      </c>
      <c r="G1109" s="28" t="s">
        <v>2025</v>
      </c>
      <c r="H1109" s="28">
        <v>57173</v>
      </c>
      <c r="I1109" s="29">
        <f>IFERROR(_xlfn.XLOOKUP(E1109,[1]EMPREENDIMENTO!C:C,[1]EMPREENDIMENTO!E:E),"0")</f>
        <v>300</v>
      </c>
      <c r="J1109" s="30"/>
      <c r="K1109" s="28" t="s">
        <v>164</v>
      </c>
      <c r="L1109" s="31">
        <v>46245</v>
      </c>
      <c r="M1109" s="32">
        <v>67684981</v>
      </c>
      <c r="N1109" s="32">
        <v>74177620</v>
      </c>
      <c r="O1109" s="32">
        <v>73387013</v>
      </c>
      <c r="P1109" s="28" t="s">
        <v>34</v>
      </c>
      <c r="Q1109" s="28" t="s">
        <v>2026</v>
      </c>
      <c r="R1109" s="30">
        <v>46254</v>
      </c>
      <c r="S1109" s="30">
        <v>46246</v>
      </c>
      <c r="T1109" s="33"/>
      <c r="U1109" s="34" t="str">
        <f>IFERROR(_xlfn.XLOOKUP(E1109,[1]EMPREENDIMENTO!C:C,[1]EMPREENDIMENTO!D:D),"")</f>
        <v>28E4194B-3A2D-E811-A00D-009C02B0CB58</v>
      </c>
    </row>
    <row r="1110" spans="1:21" hidden="1" x14ac:dyDescent="0.35">
      <c r="A1110" s="28" t="str">
        <f>IFERROR(_xlfn.XLOOKUP(C1110,[1]DIRETORIA!C:C,[1]DIRETORIA!A:A),"-")</f>
        <v>DIR. COM E CRED NE</v>
      </c>
      <c r="B1110" s="28" t="str">
        <f>IFERROR(_xlfn.XLOOKUP(C1110,[1]DIRETORIA!C:C,[1]DIRETORIA!B:B),"-")</f>
        <v>GST. COM NE1 (BA 1)</v>
      </c>
      <c r="C1110" s="28" t="str">
        <f>IFERROR(_xlfn.XLOOKUP(E1110,[1]EMPREENDIMENTO!C:C,[1]EMPREENDIMENTO!A:A),"-")</f>
        <v>SALVADOR</v>
      </c>
      <c r="D1110" s="28" t="s">
        <v>85</v>
      </c>
      <c r="E1110" s="28" t="s">
        <v>2027</v>
      </c>
      <c r="F1110" s="28" t="s">
        <v>42</v>
      </c>
      <c r="G1110" s="28" t="s">
        <v>2028</v>
      </c>
      <c r="H1110" s="28">
        <v>34347</v>
      </c>
      <c r="I1110" s="29">
        <f>IFERROR(_xlfn.XLOOKUP(E1110,[1]EMPREENDIMENTO!C:C,[1]EMPREENDIMENTO!E:E),"0")</f>
        <v>264</v>
      </c>
      <c r="J1110" s="30"/>
      <c r="K1110" s="28" t="s">
        <v>164</v>
      </c>
      <c r="L1110" s="31">
        <v>46153</v>
      </c>
      <c r="M1110" s="32">
        <v>83788400</v>
      </c>
      <c r="N1110" s="32">
        <v>93895813</v>
      </c>
      <c r="O1110" s="32">
        <v>89349865</v>
      </c>
      <c r="P1110" s="28" t="s">
        <v>34</v>
      </c>
      <c r="Q1110" s="28">
        <v>829577</v>
      </c>
      <c r="R1110" s="30">
        <v>46181</v>
      </c>
      <c r="S1110" s="30">
        <v>46153</v>
      </c>
      <c r="T1110" s="33"/>
      <c r="U1110" s="34" t="str">
        <f>IFERROR(_xlfn.XLOOKUP(E1110,[1]EMPREENDIMENTO!C:C,[1]EMPREENDIMENTO!D:D),"")</f>
        <v>F4F8B7FA-4F7E-E911-AAF3-009C02B0CB58</v>
      </c>
    </row>
    <row r="1111" spans="1:21" hidden="1" x14ac:dyDescent="0.35">
      <c r="A1111" s="28" t="str">
        <f>IFERROR(_xlfn.XLOOKUP(C1111,[1]DIRETORIA!C:C,[1]DIRETORIA!A:A),"-")</f>
        <v>DIR. COM E CRED CO E AM</v>
      </c>
      <c r="B1111" s="28" t="str">
        <f>IFERROR(_xlfn.XLOOKUP(C1111,[1]DIRETORIA!C:C,[1]DIRETORIA!B:B),"-")</f>
        <v>GST. COM AM</v>
      </c>
      <c r="C1111" s="28" t="str">
        <f>IFERROR(_xlfn.XLOOKUP(E1111,[1]EMPREENDIMENTO!C:C,[1]EMPREENDIMENTO!A:A),"-")</f>
        <v>MANAUS</v>
      </c>
      <c r="D1111" s="28" t="s">
        <v>85</v>
      </c>
      <c r="E1111" s="28" t="s">
        <v>2029</v>
      </c>
      <c r="F1111" s="28" t="s">
        <v>42</v>
      </c>
      <c r="G1111" s="28" t="s">
        <v>2030</v>
      </c>
      <c r="H1111" s="28">
        <v>58113</v>
      </c>
      <c r="I1111" s="29">
        <f>IFERROR(_xlfn.XLOOKUP(E1111,[1]EMPREENDIMENTO!C:C,[1]EMPREENDIMENTO!E:E),"0")</f>
        <v>0</v>
      </c>
      <c r="J1111" s="30"/>
      <c r="K1111" s="28" t="s">
        <v>33</v>
      </c>
      <c r="L1111" s="31">
        <v>46195</v>
      </c>
      <c r="M1111" s="32">
        <v>107588748</v>
      </c>
      <c r="N1111" s="32">
        <v>119187572</v>
      </c>
      <c r="O1111" s="32">
        <v>109990800</v>
      </c>
      <c r="P1111" s="28" t="s">
        <v>34</v>
      </c>
      <c r="Q1111" s="28">
        <v>847060</v>
      </c>
      <c r="R1111" s="30">
        <v>46223</v>
      </c>
      <c r="S1111" s="30">
        <v>46197</v>
      </c>
      <c r="T1111" s="33"/>
      <c r="U1111" s="34" t="str">
        <f>IFERROR(_xlfn.XLOOKUP(E1111,[1]EMPREENDIMENTO!C:C,[1]EMPREENDIMENTO!D:D),"")</f>
        <v>564AAFC6-8AAD-EF11-B65C-009C02B0CB58</v>
      </c>
    </row>
    <row r="1112" spans="1:21" hidden="1" x14ac:dyDescent="0.35">
      <c r="A1112" s="28" t="str">
        <f>IFERROR(_xlfn.XLOOKUP(C1112,[1]DIRETORIA!C:C,[1]DIRETORIA!A:A),"-")</f>
        <v>DIR. COM E CRED MG E ES</v>
      </c>
      <c r="B1112" s="28" t="str">
        <f>IFERROR(_xlfn.XLOOKUP(C1112,[1]DIRETORIA!C:C,[1]DIRETORIA!B:B),"-")</f>
        <v>GST. COM BH E INT</v>
      </c>
      <c r="C1112" s="28" t="str">
        <f>IFERROR(_xlfn.XLOOKUP(E1112,[1]EMPREENDIMENTO!C:C,[1]EMPREENDIMENTO!A:A),"-")</f>
        <v>CONTAGEM</v>
      </c>
      <c r="D1112" s="28" t="s">
        <v>29</v>
      </c>
      <c r="E1112" s="28" t="s">
        <v>2031</v>
      </c>
      <c r="F1112" s="28" t="s">
        <v>31</v>
      </c>
      <c r="G1112" s="28" t="s">
        <v>2032</v>
      </c>
      <c r="H1112" s="28">
        <v>58189</v>
      </c>
      <c r="I1112" s="29">
        <f>IFERROR(_xlfn.XLOOKUP(E1112,[1]EMPREENDIMENTO!C:C,[1]EMPREENDIMENTO!E:E),"0")</f>
        <v>288</v>
      </c>
      <c r="J1112" s="30"/>
      <c r="K1112" s="28" t="s">
        <v>33</v>
      </c>
      <c r="L1112" s="31">
        <v>46175</v>
      </c>
      <c r="M1112" s="32">
        <v>94090185</v>
      </c>
      <c r="N1112" s="32">
        <v>116308518</v>
      </c>
      <c r="O1112" s="32">
        <v>111710000</v>
      </c>
      <c r="P1112" s="28" t="s">
        <v>34</v>
      </c>
      <c r="Q1112" s="28" t="s">
        <v>2033</v>
      </c>
      <c r="R1112" s="30">
        <v>46202</v>
      </c>
      <c r="S1112" s="30">
        <v>46176</v>
      </c>
      <c r="T1112" s="33"/>
      <c r="U1112" s="34" t="str">
        <f>IFERROR(_xlfn.XLOOKUP(E1112,[1]EMPREENDIMENTO!C:C,[1]EMPREENDIMENTO!D:D),"")</f>
        <v>230CBB52-ABCC-E811-A4F5-80C16E075108</v>
      </c>
    </row>
    <row r="1113" spans="1:21" hidden="1" x14ac:dyDescent="0.35">
      <c r="A1113" s="28" t="str">
        <f>IFERROR(_xlfn.XLOOKUP(C1113,[1]DIRETORIA!C:C,[1]DIRETORIA!A:A),"-")</f>
        <v>DIR. COM E CRED MG E ES</v>
      </c>
      <c r="B1113" s="28" t="str">
        <f>IFERROR(_xlfn.XLOOKUP(C1113,[1]DIRETORIA!C:C,[1]DIRETORIA!B:B),"-")</f>
        <v>GST. COM BH E INT</v>
      </c>
      <c r="C1113" s="28" t="str">
        <f>IFERROR(_xlfn.XLOOKUP(E1113,[1]EMPREENDIMENTO!C:C,[1]EMPREENDIMENTO!A:A),"-")</f>
        <v>CONTAGEM</v>
      </c>
      <c r="D1113" s="28" t="s">
        <v>85</v>
      </c>
      <c r="E1113" s="28" t="s">
        <v>2031</v>
      </c>
      <c r="F1113" s="28" t="s">
        <v>36</v>
      </c>
      <c r="G1113" s="28" t="s">
        <v>268</v>
      </c>
      <c r="H1113" s="28" t="s">
        <v>268</v>
      </c>
      <c r="I1113" s="29">
        <f>IFERROR(_xlfn.XLOOKUP(E1113,[1]EMPREENDIMENTO!C:C,[1]EMPREENDIMENTO!E:E),"0")</f>
        <v>288</v>
      </c>
      <c r="J1113" s="30"/>
      <c r="K1113" s="28" t="s">
        <v>33</v>
      </c>
      <c r="L1113" s="31">
        <v>46175</v>
      </c>
      <c r="M1113" s="32">
        <v>94090185</v>
      </c>
      <c r="N1113" s="32">
        <v>116308518</v>
      </c>
      <c r="O1113" s="32">
        <v>111710000</v>
      </c>
      <c r="P1113" s="28" t="s">
        <v>34</v>
      </c>
      <c r="Q1113" s="28" t="s">
        <v>2033</v>
      </c>
      <c r="R1113" s="30">
        <v>46202</v>
      </c>
      <c r="S1113" s="30">
        <v>46176</v>
      </c>
      <c r="T1113" s="33"/>
      <c r="U1113" s="34" t="str">
        <f>IFERROR(_xlfn.XLOOKUP(E1113,[1]EMPREENDIMENTO!C:C,[1]EMPREENDIMENTO!D:D),"")</f>
        <v>230CBB52-ABCC-E811-A4F5-80C16E075108</v>
      </c>
    </row>
    <row r="1114" spans="1:21" hidden="1" x14ac:dyDescent="0.35">
      <c r="A1114" s="28" t="str">
        <f>IFERROR(_xlfn.XLOOKUP(C1114,[1]DIRETORIA!C:C,[1]DIRETORIA!A:A),"-")</f>
        <v>DIR. COM E CRED NE</v>
      </c>
      <c r="B1114" s="28" t="str">
        <f>IFERROR(_xlfn.XLOOKUP(C1114,[1]DIRETORIA!C:C,[1]DIRETORIA!B:B),"-")</f>
        <v>GST. COM NE 7 (PI+MA)</v>
      </c>
      <c r="C1114" s="28" t="str">
        <f>IFERROR(_xlfn.XLOOKUP(E1114,[1]EMPREENDIMENTO!C:C,[1]EMPREENDIMENTO!A:A),"-")</f>
        <v>SÃO LUÍS</v>
      </c>
      <c r="D1114" s="28" t="s">
        <v>29</v>
      </c>
      <c r="E1114" s="28" t="s">
        <v>2034</v>
      </c>
      <c r="F1114" s="28" t="s">
        <v>31</v>
      </c>
      <c r="G1114" s="28" t="s">
        <v>2035</v>
      </c>
      <c r="H1114" s="28">
        <v>57904</v>
      </c>
      <c r="I1114" s="29">
        <f>IFERROR(_xlfn.XLOOKUP(E1114,[1]EMPREENDIMENTO!C:C,[1]EMPREENDIMENTO!E:E),"0")</f>
        <v>324</v>
      </c>
      <c r="J1114" s="30"/>
      <c r="K1114" s="28" t="s">
        <v>164</v>
      </c>
      <c r="L1114" s="31">
        <v>46265</v>
      </c>
      <c r="M1114" s="32">
        <v>99455100</v>
      </c>
      <c r="N1114" s="32">
        <v>110503715</v>
      </c>
      <c r="O1114" s="32">
        <v>103871914</v>
      </c>
      <c r="P1114" s="28" t="s">
        <v>6</v>
      </c>
      <c r="Q1114" s="28" t="s">
        <v>2036</v>
      </c>
      <c r="R1114" s="30">
        <v>46265</v>
      </c>
      <c r="S1114" s="30">
        <v>46265</v>
      </c>
      <c r="T1114" s="33"/>
      <c r="U1114" s="34" t="str">
        <f>IFERROR(_xlfn.XLOOKUP(E1114,[1]EMPREENDIMENTO!C:C,[1]EMPREENDIMENTO!D:D),"")</f>
        <v>46181991-703e-ec11-b501-005056856b6c</v>
      </c>
    </row>
    <row r="1115" spans="1:21" hidden="1" x14ac:dyDescent="0.35">
      <c r="A1115" s="28" t="str">
        <f>IFERROR(_xlfn.XLOOKUP(C1115,[1]DIRETORIA!C:C,[1]DIRETORIA!A:A),"-")</f>
        <v>DIR. COM E CRED NE</v>
      </c>
      <c r="B1115" s="28" t="str">
        <f>IFERROR(_xlfn.XLOOKUP(C1115,[1]DIRETORIA!C:C,[1]DIRETORIA!B:B),"-")</f>
        <v>GST. COM NE 7 (PI+MA)</v>
      </c>
      <c r="C1115" s="28" t="str">
        <f>IFERROR(_xlfn.XLOOKUP(E1115,[1]EMPREENDIMENTO!C:C,[1]EMPREENDIMENTO!A:A),"-")</f>
        <v>SÃO LUÍS</v>
      </c>
      <c r="D1115" s="28" t="s">
        <v>29</v>
      </c>
      <c r="E1115" s="28" t="s">
        <v>2034</v>
      </c>
      <c r="F1115" s="28" t="s">
        <v>36</v>
      </c>
      <c r="G1115" s="28" t="s">
        <v>2037</v>
      </c>
      <c r="H1115" s="28">
        <v>60370</v>
      </c>
      <c r="I1115" s="29">
        <f>IFERROR(_xlfn.XLOOKUP(E1115,[1]EMPREENDIMENTO!C:C,[1]EMPREENDIMENTO!E:E),"0")</f>
        <v>324</v>
      </c>
      <c r="J1115" s="30"/>
      <c r="K1115" s="28" t="s">
        <v>164</v>
      </c>
      <c r="L1115" s="31">
        <v>46265</v>
      </c>
      <c r="M1115" s="32">
        <v>99455100</v>
      </c>
      <c r="N1115" s="32">
        <v>110503715</v>
      </c>
      <c r="O1115" s="32">
        <v>103871914</v>
      </c>
      <c r="P1115" s="28" t="s">
        <v>6</v>
      </c>
      <c r="Q1115" s="28" t="s">
        <v>2036</v>
      </c>
      <c r="R1115" s="30">
        <v>46265</v>
      </c>
      <c r="S1115" s="30">
        <v>46265</v>
      </c>
      <c r="T1115" s="33"/>
      <c r="U1115" s="34" t="str">
        <f>IFERROR(_xlfn.XLOOKUP(E1115,[1]EMPREENDIMENTO!C:C,[1]EMPREENDIMENTO!D:D),"")</f>
        <v>46181991-703e-ec11-b501-005056856b6c</v>
      </c>
    </row>
    <row r="1116" spans="1:21" hidden="1" x14ac:dyDescent="0.35">
      <c r="A1116" s="28" t="str">
        <f>IFERROR(_xlfn.XLOOKUP(C1116,[1]DIRETORIA!C:C,[1]DIRETORIA!A:A),"-")</f>
        <v>DIR. COM E CRED NE</v>
      </c>
      <c r="B1116" s="28" t="str">
        <f>IFERROR(_xlfn.XLOOKUP(C1116,[1]DIRETORIA!C:C,[1]DIRETORIA!B:B),"-")</f>
        <v>GST. COM NE 7 (PI+MA)</v>
      </c>
      <c r="C1116" s="28" t="str">
        <f>IFERROR(_xlfn.XLOOKUP(E1116,[1]EMPREENDIMENTO!C:C,[1]EMPREENDIMENTO!A:A),"-")</f>
        <v>SÃO LUÍS</v>
      </c>
      <c r="D1116" s="28" t="s">
        <v>85</v>
      </c>
      <c r="E1116" s="28" t="s">
        <v>2038</v>
      </c>
      <c r="F1116" s="28" t="s">
        <v>42</v>
      </c>
      <c r="G1116" s="28" t="s">
        <v>2039</v>
      </c>
      <c r="H1116" s="28">
        <v>57981</v>
      </c>
      <c r="I1116" s="29">
        <f>IFERROR(_xlfn.XLOOKUP(E1116,[1]EMPREENDIMENTO!C:C,[1]EMPREENDIMENTO!E:E),"0")</f>
        <v>384</v>
      </c>
      <c r="J1116" s="30"/>
      <c r="K1116" s="28" t="s">
        <v>33</v>
      </c>
      <c r="L1116" s="31">
        <v>46167</v>
      </c>
      <c r="M1116" s="32">
        <v>114705000</v>
      </c>
      <c r="N1116" s="32">
        <v>135289750</v>
      </c>
      <c r="O1116" s="32">
        <v>126408915</v>
      </c>
      <c r="P1116" s="28" t="s">
        <v>34</v>
      </c>
      <c r="Q1116" s="28">
        <v>831360</v>
      </c>
      <c r="R1116" s="30">
        <v>46185</v>
      </c>
      <c r="S1116" s="30">
        <v>46168</v>
      </c>
      <c r="T1116" s="33"/>
      <c r="U1116" s="34" t="str">
        <f>IFERROR(_xlfn.XLOOKUP(E1116,[1]EMPREENDIMENTO!C:C,[1]EMPREENDIMENTO!D:D),"")</f>
        <v>A40C195C-4969-EF11-A9C6-80C16E075108</v>
      </c>
    </row>
    <row r="1117" spans="1:21" hidden="1" x14ac:dyDescent="0.35">
      <c r="A1117" s="28" t="str">
        <f>IFERROR(_xlfn.XLOOKUP(C1117,[1]DIRETORIA!C:C,[1]DIRETORIA!A:A),"-")</f>
        <v>DIR. COM E CRED SUL</v>
      </c>
      <c r="B1117" s="28" t="str">
        <f>IFERROR(_xlfn.XLOOKUP(C1117,[1]DIRETORIA!C:C,[1]DIRETORIA!B:B),"-")</f>
        <v>GST. COM LONDRINA</v>
      </c>
      <c r="C1117" s="28" t="str">
        <f>IFERROR(_xlfn.XLOOKUP(E1117,[1]EMPREENDIMENTO!C:C,[1]EMPREENDIMENTO!A:A),"-")</f>
        <v>LONDRINA</v>
      </c>
      <c r="D1117" s="28" t="s">
        <v>29</v>
      </c>
      <c r="E1117" s="28" t="s">
        <v>2040</v>
      </c>
      <c r="F1117" s="28" t="s">
        <v>31</v>
      </c>
      <c r="G1117" s="28" t="s">
        <v>2041</v>
      </c>
      <c r="H1117" s="28">
        <v>57838</v>
      </c>
      <c r="I1117" s="29">
        <f>IFERROR(_xlfn.XLOOKUP(E1117,[1]EMPREENDIMENTO!C:C,[1]EMPREENDIMENTO!E:E),"0")</f>
        <v>288</v>
      </c>
      <c r="J1117" s="30"/>
      <c r="K1117" s="28" t="s">
        <v>33</v>
      </c>
      <c r="L1117" s="31">
        <v>46120</v>
      </c>
      <c r="M1117" s="32">
        <v>88566700</v>
      </c>
      <c r="N1117" s="32">
        <v>96260000</v>
      </c>
      <c r="O1117" s="32">
        <v>88609500</v>
      </c>
      <c r="P1117" s="28" t="s">
        <v>34</v>
      </c>
      <c r="Q1117" s="28">
        <v>732257</v>
      </c>
      <c r="R1117" s="30">
        <v>45947</v>
      </c>
      <c r="S1117" s="30">
        <v>46120</v>
      </c>
      <c r="T1117" s="33"/>
      <c r="U1117" s="34" t="str">
        <f>IFERROR(_xlfn.XLOOKUP(E1117,[1]EMPREENDIMENTO!C:C,[1]EMPREENDIMENTO!D:D),"")</f>
        <v>D98B3F4D-613E-EC11-B501-005056856B6C</v>
      </c>
    </row>
    <row r="1118" spans="1:21" hidden="1" x14ac:dyDescent="0.35">
      <c r="A1118" s="28" t="str">
        <f>IFERROR(_xlfn.XLOOKUP(C1118,[1]DIRETORIA!C:C,[1]DIRETORIA!A:A),"-")</f>
        <v>DIR. COM E CRED SUL</v>
      </c>
      <c r="B1118" s="28" t="str">
        <f>IFERROR(_xlfn.XLOOKUP(C1118,[1]DIRETORIA!C:C,[1]DIRETORIA!B:B),"-")</f>
        <v>GST. COM LONDRINA</v>
      </c>
      <c r="C1118" s="28" t="str">
        <f>IFERROR(_xlfn.XLOOKUP(E1118,[1]EMPREENDIMENTO!C:C,[1]EMPREENDIMENTO!A:A),"-")</f>
        <v>LONDRINA</v>
      </c>
      <c r="D1118" s="28" t="s">
        <v>85</v>
      </c>
      <c r="E1118" s="28" t="s">
        <v>2040</v>
      </c>
      <c r="F1118" s="28" t="s">
        <v>36</v>
      </c>
      <c r="G1118" s="28" t="s">
        <v>268</v>
      </c>
      <c r="H1118" s="28" t="s">
        <v>268</v>
      </c>
      <c r="I1118" s="29">
        <f>IFERROR(_xlfn.XLOOKUP(E1118,[1]EMPREENDIMENTO!C:C,[1]EMPREENDIMENTO!E:E),"0")</f>
        <v>288</v>
      </c>
      <c r="J1118" s="30"/>
      <c r="K1118" s="28" t="s">
        <v>33</v>
      </c>
      <c r="L1118" s="31">
        <v>46120</v>
      </c>
      <c r="M1118" s="32">
        <v>88566700</v>
      </c>
      <c r="N1118" s="32">
        <v>96260000</v>
      </c>
      <c r="O1118" s="32">
        <v>88609500</v>
      </c>
      <c r="P1118" s="28" t="s">
        <v>34</v>
      </c>
      <c r="Q1118" s="28">
        <v>732257</v>
      </c>
      <c r="R1118" s="30">
        <v>45947</v>
      </c>
      <c r="S1118" s="30">
        <v>46120</v>
      </c>
      <c r="T1118" s="33"/>
      <c r="U1118" s="34" t="str">
        <f>IFERROR(_xlfn.XLOOKUP(E1118,[1]EMPREENDIMENTO!C:C,[1]EMPREENDIMENTO!D:D),"")</f>
        <v>D98B3F4D-613E-EC11-B501-005056856B6C</v>
      </c>
    </row>
    <row r="1119" spans="1:21" hidden="1" x14ac:dyDescent="0.35">
      <c r="A1119" s="28" t="str">
        <f>IFERROR(_xlfn.XLOOKUP(C1119,[1]DIRETORIA!C:C,[1]DIRETORIA!A:A),"-")</f>
        <v>DIR. COM E CRED SUL</v>
      </c>
      <c r="B1119" s="28" t="str">
        <f>IFERROR(_xlfn.XLOOKUP(C1119,[1]DIRETORIA!C:C,[1]DIRETORIA!B:B),"-")</f>
        <v>GST. COM LONDRINA</v>
      </c>
      <c r="C1119" s="28" t="str">
        <f>IFERROR(_xlfn.XLOOKUP(E1119,[1]EMPREENDIMENTO!C:C,[1]EMPREENDIMENTO!A:A),"-")</f>
        <v>LONDRINA</v>
      </c>
      <c r="D1119" s="28" t="s">
        <v>85</v>
      </c>
      <c r="E1119" s="28" t="s">
        <v>2040</v>
      </c>
      <c r="F1119" s="28" t="s">
        <v>39</v>
      </c>
      <c r="G1119" s="28" t="s">
        <v>268</v>
      </c>
      <c r="H1119" s="28" t="s">
        <v>268</v>
      </c>
      <c r="I1119" s="29">
        <f>IFERROR(_xlfn.XLOOKUP(E1119,[1]EMPREENDIMENTO!C:C,[1]EMPREENDIMENTO!E:E),"0")</f>
        <v>288</v>
      </c>
      <c r="J1119" s="30"/>
      <c r="K1119" s="28" t="s">
        <v>33</v>
      </c>
      <c r="L1119" s="31">
        <v>46120</v>
      </c>
      <c r="M1119" s="32">
        <v>88566700</v>
      </c>
      <c r="N1119" s="32">
        <v>96260000</v>
      </c>
      <c r="O1119" s="32">
        <v>88609500</v>
      </c>
      <c r="P1119" s="28" t="s">
        <v>34</v>
      </c>
      <c r="Q1119" s="28">
        <v>732257</v>
      </c>
      <c r="R1119" s="30">
        <v>45947</v>
      </c>
      <c r="S1119" s="30">
        <v>46120</v>
      </c>
      <c r="T1119" s="33"/>
      <c r="U1119" s="34" t="str">
        <f>IFERROR(_xlfn.XLOOKUP(E1119,[1]EMPREENDIMENTO!C:C,[1]EMPREENDIMENTO!D:D),"")</f>
        <v>D98B3F4D-613E-EC11-B501-005056856B6C</v>
      </c>
    </row>
    <row r="1120" spans="1:21" hidden="1" x14ac:dyDescent="0.35">
      <c r="A1120" s="28" t="str">
        <f>IFERROR(_xlfn.XLOOKUP(C1120,[1]DIRETORIA!C:C,[1]DIRETORIA!A:A),"-")</f>
        <v>DIR. COM E CRED NE</v>
      </c>
      <c r="B1120" s="28" t="str">
        <f>IFERROR(_xlfn.XLOOKUP(C1120,[1]DIRETORIA!C:C,[1]DIRETORIA!B:B),"-")</f>
        <v>GST. COM NE1 (BA 1)</v>
      </c>
      <c r="C1120" s="28" t="str">
        <f>IFERROR(_xlfn.XLOOKUP(E1120,[1]EMPREENDIMENTO!C:C,[1]EMPREENDIMENTO!A:A),"-")</f>
        <v>SALVADOR</v>
      </c>
      <c r="D1120" s="28" t="s">
        <v>85</v>
      </c>
      <c r="E1120" s="28" t="s">
        <v>2042</v>
      </c>
      <c r="F1120" s="28" t="s">
        <v>42</v>
      </c>
      <c r="G1120" s="28" t="s">
        <v>2043</v>
      </c>
      <c r="H1120" s="28">
        <v>57902</v>
      </c>
      <c r="I1120" s="29">
        <f>IFERROR(_xlfn.XLOOKUP(E1120,[1]EMPREENDIMENTO!C:C,[1]EMPREENDIMENTO!E:E),"0")</f>
        <v>0</v>
      </c>
      <c r="J1120" s="30"/>
      <c r="K1120" s="28" t="s">
        <v>33</v>
      </c>
      <c r="L1120" s="31">
        <v>46231</v>
      </c>
      <c r="M1120" s="32">
        <v>66789700</v>
      </c>
      <c r="N1120" s="32">
        <v>82711714</v>
      </c>
      <c r="O1120" s="32">
        <v>77210052</v>
      </c>
      <c r="P1120" s="28" t="s">
        <v>34</v>
      </c>
      <c r="Q1120" s="28">
        <v>862674</v>
      </c>
      <c r="R1120" s="30">
        <v>46227</v>
      </c>
      <c r="S1120" s="30">
        <v>46231</v>
      </c>
      <c r="T1120" s="33"/>
      <c r="U1120" s="34" t="str">
        <f>IFERROR(_xlfn.XLOOKUP(E1120,[1]EMPREENDIMENTO!C:C,[1]EMPREENDIMENTO!D:D),"")</f>
        <v>5445E7FF-6B22-EF11-9E4D-009C02B0CB58</v>
      </c>
    </row>
    <row r="1121" spans="1:21" hidden="1" x14ac:dyDescent="0.35">
      <c r="A1121" s="28" t="str">
        <f>IFERROR(_xlfn.XLOOKUP(C1121,[1]DIRETORIA!C:C,[1]DIRETORIA!A:A),"-")</f>
        <v>DIR. COM E CRED SP E VL</v>
      </c>
      <c r="B1121" s="28" t="str">
        <f>IFERROR(_xlfn.XLOOKUP(C1121,[1]DIRETORIA!C:C,[1]DIRETORIA!B:B),"-")</f>
        <v>GST. COM VL2</v>
      </c>
      <c r="C1121" s="28" t="str">
        <f>IFERROR(_xlfn.XLOOKUP(E1121,[1]EMPREENDIMENTO!C:C,[1]EMPREENDIMENTO!A:A),"-")</f>
        <v>SUZANO</v>
      </c>
      <c r="D1121" s="28" t="s">
        <v>85</v>
      </c>
      <c r="E1121" s="28" t="s">
        <v>2044</v>
      </c>
      <c r="F1121" s="28" t="s">
        <v>42</v>
      </c>
      <c r="G1121" s="28" t="s">
        <v>2045</v>
      </c>
      <c r="H1121" s="28">
        <v>51732</v>
      </c>
      <c r="I1121" s="29">
        <f>IFERROR(_xlfn.XLOOKUP(E1121,[1]EMPREENDIMENTO!C:C,[1]EMPREENDIMENTO!E:E),"0")</f>
        <v>0</v>
      </c>
      <c r="J1121" s="30"/>
      <c r="K1121" s="28" t="s">
        <v>33</v>
      </c>
      <c r="L1121" s="31">
        <v>46080</v>
      </c>
      <c r="M1121" s="32">
        <v>64648000</v>
      </c>
      <c r="N1121" s="32">
        <v>66472230</v>
      </c>
      <c r="O1121" s="32">
        <v>66472230</v>
      </c>
      <c r="P1121" s="28" t="s">
        <v>34</v>
      </c>
      <c r="Q1121" s="28"/>
      <c r="R1121" s="30">
        <v>45903</v>
      </c>
      <c r="S1121" s="30">
        <v>46083</v>
      </c>
      <c r="T1121" s="33"/>
      <c r="U1121" s="34" t="str">
        <f>IFERROR(_xlfn.XLOOKUP(E1121,[1]EMPREENDIMENTO!C:C,[1]EMPREENDIMENTO!D:D),"")</f>
        <v>DDD8EA7B-0B48-EE11-9510-005056856875</v>
      </c>
    </row>
    <row r="1122" spans="1:21" hidden="1" x14ac:dyDescent="0.35">
      <c r="A1122" s="28" t="str">
        <f>IFERROR(_xlfn.XLOOKUP(C1122,[1]DIRETORIA!C:C,[1]DIRETORIA!A:A),"-")</f>
        <v>DIR. COM E CRED CO E AM</v>
      </c>
      <c r="B1122" s="28" t="str">
        <f>IFERROR(_xlfn.XLOOKUP(C1122,[1]DIRETORIA!C:C,[1]DIRETORIA!B:B),"-")</f>
        <v>GST. COM GO</v>
      </c>
      <c r="C1122" s="28" t="str">
        <f>IFERROR(_xlfn.XLOOKUP(E1122,[1]EMPREENDIMENTO!C:C,[1]EMPREENDIMENTO!A:A),"-")</f>
        <v>GOIÂNIA</v>
      </c>
      <c r="D1122" s="28" t="s">
        <v>29</v>
      </c>
      <c r="E1122" s="28" t="s">
        <v>2046</v>
      </c>
      <c r="F1122" s="28" t="s">
        <v>31</v>
      </c>
      <c r="G1122" s="28" t="s">
        <v>2047</v>
      </c>
      <c r="H1122" s="28">
        <v>58550</v>
      </c>
      <c r="I1122" s="29">
        <f>IFERROR(_xlfn.XLOOKUP(E1122,[1]EMPREENDIMENTO!C:C,[1]EMPREENDIMENTO!E:E),"0")</f>
        <v>440</v>
      </c>
      <c r="J1122" s="30"/>
      <c r="K1122" s="28" t="s">
        <v>33</v>
      </c>
      <c r="L1122" s="31">
        <v>46246</v>
      </c>
      <c r="M1122" s="32">
        <v>113608412</v>
      </c>
      <c r="N1122" s="32">
        <v>124608412</v>
      </c>
      <c r="O1122" s="32">
        <v>121860030</v>
      </c>
      <c r="P1122" s="28" t="s">
        <v>34</v>
      </c>
      <c r="Q1122" s="28" t="s">
        <v>2048</v>
      </c>
      <c r="R1122" s="30">
        <v>46265</v>
      </c>
      <c r="S1122" s="30">
        <v>46246</v>
      </c>
      <c r="T1122" s="33"/>
      <c r="U1122" s="34" t="str">
        <f>IFERROR(_xlfn.XLOOKUP(E1122,[1]EMPREENDIMENTO!C:C,[1]EMPREENDIMENTO!D:D),"")</f>
        <v>e1c38a52-edfe-ec11-b1ad-005056856875</v>
      </c>
    </row>
    <row r="1123" spans="1:21" hidden="1" x14ac:dyDescent="0.35">
      <c r="A1123" s="28" t="str">
        <f>IFERROR(_xlfn.XLOOKUP(C1123,[1]DIRETORIA!C:C,[1]DIRETORIA!A:A),"-")</f>
        <v>DIR. COM E CRED CO E AM</v>
      </c>
      <c r="B1123" s="28" t="str">
        <f>IFERROR(_xlfn.XLOOKUP(C1123,[1]DIRETORIA!C:C,[1]DIRETORIA!B:B),"-")</f>
        <v>GST. COM GO</v>
      </c>
      <c r="C1123" s="28" t="str">
        <f>IFERROR(_xlfn.XLOOKUP(E1123,[1]EMPREENDIMENTO!C:C,[1]EMPREENDIMENTO!A:A),"-")</f>
        <v>GOIÂNIA</v>
      </c>
      <c r="D1123" s="28" t="s">
        <v>29</v>
      </c>
      <c r="E1123" s="28" t="s">
        <v>2046</v>
      </c>
      <c r="F1123" s="28" t="s">
        <v>36</v>
      </c>
      <c r="G1123" s="28" t="s">
        <v>2049</v>
      </c>
      <c r="H1123" s="28">
        <v>62711</v>
      </c>
      <c r="I1123" s="29">
        <f>IFERROR(_xlfn.XLOOKUP(E1123,[1]EMPREENDIMENTO!C:C,[1]EMPREENDIMENTO!E:E),"0")</f>
        <v>440</v>
      </c>
      <c r="J1123" s="30"/>
      <c r="K1123" s="28" t="s">
        <v>33</v>
      </c>
      <c r="L1123" s="31">
        <v>46246</v>
      </c>
      <c r="M1123" s="32">
        <v>113608412</v>
      </c>
      <c r="N1123" s="32">
        <v>124608412</v>
      </c>
      <c r="O1123" s="32">
        <v>121860030</v>
      </c>
      <c r="P1123" s="28" t="s">
        <v>34</v>
      </c>
      <c r="Q1123" s="28" t="s">
        <v>2048</v>
      </c>
      <c r="R1123" s="30">
        <v>46265</v>
      </c>
      <c r="S1123" s="30">
        <v>46246</v>
      </c>
      <c r="T1123" s="33"/>
      <c r="U1123" s="34" t="str">
        <f>IFERROR(_xlfn.XLOOKUP(E1123,[1]EMPREENDIMENTO!C:C,[1]EMPREENDIMENTO!D:D),"")</f>
        <v>e1c38a52-edfe-ec11-b1ad-005056856875</v>
      </c>
    </row>
    <row r="1124" spans="1:21" hidden="1" x14ac:dyDescent="0.35">
      <c r="A1124" s="28" t="str">
        <f>IFERROR(_xlfn.XLOOKUP(C1124,[1]DIRETORIA!C:C,[1]DIRETORIA!A:A),"-")</f>
        <v>DIR. COM E CRED CO E AM</v>
      </c>
      <c r="B1124" s="28" t="str">
        <f>IFERROR(_xlfn.XLOOKUP(C1124,[1]DIRETORIA!C:C,[1]DIRETORIA!B:B),"-")</f>
        <v>GST. COM GO</v>
      </c>
      <c r="C1124" s="28" t="str">
        <f>IFERROR(_xlfn.XLOOKUP(E1124,[1]EMPREENDIMENTO!C:C,[1]EMPREENDIMENTO!A:A),"-")</f>
        <v>GOIÂNIA</v>
      </c>
      <c r="D1124" s="28" t="s">
        <v>29</v>
      </c>
      <c r="E1124" s="28" t="s">
        <v>2046</v>
      </c>
      <c r="F1124" s="28" t="s">
        <v>39</v>
      </c>
      <c r="G1124" s="28" t="s">
        <v>2050</v>
      </c>
      <c r="H1124" s="28">
        <v>66282</v>
      </c>
      <c r="I1124" s="29">
        <f>IFERROR(_xlfn.XLOOKUP(E1124,[1]EMPREENDIMENTO!C:C,[1]EMPREENDIMENTO!E:E),"0")</f>
        <v>440</v>
      </c>
      <c r="J1124" s="30"/>
      <c r="K1124" s="28" t="s">
        <v>33</v>
      </c>
      <c r="L1124" s="31">
        <v>46246</v>
      </c>
      <c r="M1124" s="32">
        <v>113608412</v>
      </c>
      <c r="N1124" s="32">
        <v>124608412</v>
      </c>
      <c r="O1124" s="32">
        <v>121860030</v>
      </c>
      <c r="P1124" s="28" t="s">
        <v>34</v>
      </c>
      <c r="Q1124" s="28" t="s">
        <v>2048</v>
      </c>
      <c r="R1124" s="30">
        <v>46265</v>
      </c>
      <c r="S1124" s="30">
        <v>46246</v>
      </c>
      <c r="T1124" s="33"/>
      <c r="U1124" s="34" t="str">
        <f>IFERROR(_xlfn.XLOOKUP(E1124,[1]EMPREENDIMENTO!C:C,[1]EMPREENDIMENTO!D:D),"")</f>
        <v>e1c38a52-edfe-ec11-b1ad-005056856875</v>
      </c>
    </row>
    <row r="1125" spans="1:21" hidden="1" x14ac:dyDescent="0.35">
      <c r="A1125" s="28" t="str">
        <f>IFERROR(_xlfn.XLOOKUP(C1125,[1]DIRETORIA!C:C,[1]DIRETORIA!A:A),"-")</f>
        <v>DIR. COM E CRED CO E AM</v>
      </c>
      <c r="B1125" s="28" t="str">
        <f>IFERROR(_xlfn.XLOOKUP(C1125,[1]DIRETORIA!C:C,[1]DIRETORIA!B:B),"-")</f>
        <v>GST. COM GO</v>
      </c>
      <c r="C1125" s="28" t="str">
        <f>IFERROR(_xlfn.XLOOKUP(E1125,[1]EMPREENDIMENTO!C:C,[1]EMPREENDIMENTO!A:A),"-")</f>
        <v>GOIÂNIA</v>
      </c>
      <c r="D1125" s="28" t="s">
        <v>85</v>
      </c>
      <c r="E1125" s="28" t="s">
        <v>2046</v>
      </c>
      <c r="F1125" s="28" t="s">
        <v>50</v>
      </c>
      <c r="G1125" s="28" t="s">
        <v>268</v>
      </c>
      <c r="H1125" s="28" t="s">
        <v>268</v>
      </c>
      <c r="I1125" s="29">
        <f>IFERROR(_xlfn.XLOOKUP(E1125,[1]EMPREENDIMENTO!C:C,[1]EMPREENDIMENTO!E:E),"0")</f>
        <v>440</v>
      </c>
      <c r="J1125" s="30"/>
      <c r="K1125" s="28" t="s">
        <v>33</v>
      </c>
      <c r="L1125" s="31">
        <v>46246</v>
      </c>
      <c r="M1125" s="32">
        <v>113608412</v>
      </c>
      <c r="N1125" s="32">
        <v>124608412</v>
      </c>
      <c r="O1125" s="32">
        <v>121860030</v>
      </c>
      <c r="P1125" s="28" t="s">
        <v>34</v>
      </c>
      <c r="Q1125" s="28" t="s">
        <v>2048</v>
      </c>
      <c r="R1125" s="30">
        <v>46265</v>
      </c>
      <c r="S1125" s="30">
        <v>46246</v>
      </c>
      <c r="T1125" s="33"/>
      <c r="U1125" s="34" t="str">
        <f>IFERROR(_xlfn.XLOOKUP(E1125,[1]EMPREENDIMENTO!C:C,[1]EMPREENDIMENTO!D:D),"")</f>
        <v>e1c38a52-edfe-ec11-b1ad-005056856875</v>
      </c>
    </row>
    <row r="1126" spans="1:21" hidden="1" x14ac:dyDescent="0.35">
      <c r="A1126" s="28" t="str">
        <f>IFERROR(_xlfn.XLOOKUP(C1126,[1]DIRETORIA!C:C,[1]DIRETORIA!A:A),"-")</f>
        <v>DIR. COM E CRED NE</v>
      </c>
      <c r="B1126" s="28" t="str">
        <f>IFERROR(_xlfn.XLOOKUP(C1126,[1]DIRETORIA!C:C,[1]DIRETORIA!B:B),"-")</f>
        <v>GST. COM NE5 (RN+PB)</v>
      </c>
      <c r="C1126" s="28" t="str">
        <f>IFERROR(_xlfn.XLOOKUP(E1126,[1]EMPREENDIMENTO!C:C,[1]EMPREENDIMENTO!A:A),"-")</f>
        <v>NATAL</v>
      </c>
      <c r="D1126" s="28" t="s">
        <v>29</v>
      </c>
      <c r="E1126" s="28" t="s">
        <v>2051</v>
      </c>
      <c r="F1126" s="28" t="s">
        <v>42</v>
      </c>
      <c r="G1126" s="28" t="s">
        <v>2052</v>
      </c>
      <c r="H1126" s="28">
        <v>57979</v>
      </c>
      <c r="I1126" s="29">
        <f>IFERROR(_xlfn.XLOOKUP(E1126,[1]EMPREENDIMENTO!C:C,[1]EMPREENDIMENTO!E:E),"0")</f>
        <v>320</v>
      </c>
      <c r="J1126" s="30"/>
      <c r="K1126" s="28" t="s">
        <v>33</v>
      </c>
      <c r="L1126" s="31">
        <v>46265</v>
      </c>
      <c r="M1126" s="32">
        <v>71766000</v>
      </c>
      <c r="N1126" s="32">
        <v>73057000</v>
      </c>
      <c r="O1126" s="32">
        <v>72831300</v>
      </c>
      <c r="P1126" s="28" t="s">
        <v>6</v>
      </c>
      <c r="Q1126" s="28" t="s">
        <v>2053</v>
      </c>
      <c r="R1126" s="30">
        <v>46265</v>
      </c>
      <c r="S1126" s="30">
        <v>46265</v>
      </c>
      <c r="T1126" s="33"/>
      <c r="U1126" s="34" t="str">
        <f>IFERROR(_xlfn.XLOOKUP(E1126,[1]EMPREENDIMENTO!C:C,[1]EMPREENDIMENTO!D:D),"")</f>
        <v>DB34602B-4E4E-EE11-8ACD-80C16E075108</v>
      </c>
    </row>
    <row r="1127" spans="1:21" x14ac:dyDescent="0.35">
      <c r="A1127" s="28" t="str">
        <f>IFERROR(_xlfn.XLOOKUP(C1127,[1]DIRETORIA!C:C,[1]DIRETORIA!A:A),"-")</f>
        <v>DIR. COM E CRED SPI</v>
      </c>
      <c r="B1127" s="28" t="str">
        <f>IFERROR(_xlfn.XLOOKUP(C1127,[1]DIRETORIA!C:C,[1]DIRETORIA!B:B),"-")</f>
        <v>GST. COM OP 1</v>
      </c>
      <c r="C1127" s="28" t="str">
        <f>IFERROR(_xlfn.XLOOKUP(E1127,[1]EMPREENDIMENTO!C:C,[1]EMPREENDIMENTO!A:A),"-")</f>
        <v>SÃO JOSÉ DO RIO PRETO</v>
      </c>
      <c r="D1127" s="28" t="s">
        <v>85</v>
      </c>
      <c r="E1127" s="28" t="s">
        <v>2054</v>
      </c>
      <c r="F1127" s="28" t="s">
        <v>42</v>
      </c>
      <c r="G1127" s="28" t="s">
        <v>2055</v>
      </c>
      <c r="H1127" s="28">
        <v>58244</v>
      </c>
      <c r="I1127" s="29">
        <f>IFERROR(_xlfn.XLOOKUP(E1127,[1]EMPREENDIMENTO!C:C,[1]EMPREENDIMENTO!E:E),"0")</f>
        <v>320</v>
      </c>
      <c r="J1127" s="30"/>
      <c r="K1127" s="28" t="s">
        <v>33</v>
      </c>
      <c r="L1127" s="31">
        <v>46203</v>
      </c>
      <c r="M1127" s="32">
        <v>88314843</v>
      </c>
      <c r="N1127" s="32">
        <v>94412722</v>
      </c>
      <c r="O1127" s="32">
        <v>90532288</v>
      </c>
      <c r="P1127" s="28" t="s">
        <v>34</v>
      </c>
      <c r="Q1127" s="28">
        <v>784877</v>
      </c>
      <c r="R1127" s="30"/>
      <c r="S1127" s="30">
        <v>46203</v>
      </c>
      <c r="T1127" s="33"/>
      <c r="U1127" s="34" t="str">
        <f>IFERROR(_xlfn.XLOOKUP(E1127,[1]EMPREENDIMENTO!C:C,[1]EMPREENDIMENTO!D:D),"")</f>
        <v>136619A8-FE32-E611-A5BB-009C02B0CB58</v>
      </c>
    </row>
    <row r="1128" spans="1:21" hidden="1" x14ac:dyDescent="0.35">
      <c r="A1128" s="28" t="s">
        <v>2056</v>
      </c>
      <c r="B1128" s="28" t="s">
        <v>2057</v>
      </c>
      <c r="C1128" s="28" t="s">
        <v>2058</v>
      </c>
      <c r="D1128" s="28" t="s">
        <v>85</v>
      </c>
      <c r="E1128" s="28" t="s">
        <v>2059</v>
      </c>
      <c r="F1128" s="28" t="s">
        <v>42</v>
      </c>
      <c r="G1128" s="28" t="s">
        <v>2060</v>
      </c>
      <c r="H1128" s="28">
        <v>58551</v>
      </c>
      <c r="I1128" s="29">
        <f>IFERROR(_xlfn.XLOOKUP(E1128,[1]EMPREENDIMENTO!C:C,[1]EMPREENDIMENTO!E:E),"0")</f>
        <v>0</v>
      </c>
      <c r="J1128" s="30"/>
      <c r="K1128" s="28" t="s">
        <v>33</v>
      </c>
      <c r="L1128" s="31">
        <v>46202</v>
      </c>
      <c r="M1128" s="32">
        <v>101231600</v>
      </c>
      <c r="N1128" s="32">
        <v>114271042</v>
      </c>
      <c r="O1128" s="32">
        <v>110200092</v>
      </c>
      <c r="P1128" s="28" t="s">
        <v>34</v>
      </c>
      <c r="Q1128" s="28">
        <v>800260</v>
      </c>
      <c r="R1128" s="30">
        <v>46108</v>
      </c>
      <c r="S1128" s="30">
        <v>46232</v>
      </c>
      <c r="T1128" s="33" t="s">
        <v>2061</v>
      </c>
      <c r="U1128" s="34" t="str">
        <f>IFERROR(_xlfn.XLOOKUP(E1128,[1]EMPREENDIMENTO!C:C,[1]EMPREENDIMENTO!D:D),"")</f>
        <v>C2B17D20-8597-EF11-B65C-009C02B0CB58</v>
      </c>
    </row>
    <row r="1129" spans="1:21" hidden="1" x14ac:dyDescent="0.35">
      <c r="A1129" s="28" t="s">
        <v>1188</v>
      </c>
      <c r="B1129" s="28" t="s">
        <v>1267</v>
      </c>
      <c r="C1129" s="28" t="s">
        <v>1268</v>
      </c>
      <c r="D1129" s="28" t="s">
        <v>29</v>
      </c>
      <c r="E1129" s="28" t="s">
        <v>2062</v>
      </c>
      <c r="F1129" s="28" t="s">
        <v>31</v>
      </c>
      <c r="G1129" s="28" t="s">
        <v>2063</v>
      </c>
      <c r="H1129" s="28">
        <v>42834</v>
      </c>
      <c r="I1129" s="29">
        <f>IFERROR(_xlfn.XLOOKUP(E1129,[1]EMPREENDIMENTO!C:C,[1]EMPREENDIMENTO!E:E),"0")</f>
        <v>384</v>
      </c>
      <c r="J1129" s="30"/>
      <c r="K1129" s="28" t="s">
        <v>164</v>
      </c>
      <c r="L1129" s="31">
        <v>46198</v>
      </c>
      <c r="M1129" s="32">
        <v>91543492</v>
      </c>
      <c r="N1129" s="32">
        <v>95667869</v>
      </c>
      <c r="O1129" s="32">
        <v>95234101</v>
      </c>
      <c r="P1129" s="28" t="s">
        <v>34</v>
      </c>
      <c r="Q1129" s="28" t="s">
        <v>2064</v>
      </c>
      <c r="R1129" s="30">
        <v>46225</v>
      </c>
      <c r="S1129" s="30">
        <v>46198</v>
      </c>
      <c r="T1129" s="33"/>
      <c r="U1129" s="34" t="str">
        <f>IFERROR(_xlfn.XLOOKUP(E1129,[1]EMPREENDIMENTO!C:C,[1]EMPREENDIMENTO!D:D),"")</f>
        <v>A7039747-1DB1-EC11-B1AD-005056856875</v>
      </c>
    </row>
    <row r="1130" spans="1:21" hidden="1" x14ac:dyDescent="0.35">
      <c r="A1130" s="28" t="s">
        <v>1188</v>
      </c>
      <c r="B1130" s="28" t="s">
        <v>1267</v>
      </c>
      <c r="C1130" s="28" t="s">
        <v>1268</v>
      </c>
      <c r="D1130" s="28" t="s">
        <v>85</v>
      </c>
      <c r="E1130" s="28" t="s">
        <v>2062</v>
      </c>
      <c r="F1130" s="28" t="s">
        <v>36</v>
      </c>
      <c r="G1130" s="28" t="s">
        <v>268</v>
      </c>
      <c r="H1130" s="28" t="s">
        <v>268</v>
      </c>
      <c r="I1130" s="29">
        <f>IFERROR(_xlfn.XLOOKUP(E1130,[1]EMPREENDIMENTO!C:C,[1]EMPREENDIMENTO!E:E),"0")</f>
        <v>384</v>
      </c>
      <c r="J1130" s="30"/>
      <c r="K1130" s="28" t="s">
        <v>164</v>
      </c>
      <c r="L1130" s="31">
        <v>46198</v>
      </c>
      <c r="M1130" s="32">
        <v>91543492</v>
      </c>
      <c r="N1130" s="32">
        <v>95667869</v>
      </c>
      <c r="O1130" s="32">
        <v>95234101</v>
      </c>
      <c r="P1130" s="28" t="s">
        <v>34</v>
      </c>
      <c r="Q1130" s="28" t="s">
        <v>2064</v>
      </c>
      <c r="R1130" s="30">
        <v>46225</v>
      </c>
      <c r="S1130" s="30">
        <v>46198</v>
      </c>
      <c r="T1130" s="33"/>
      <c r="U1130" s="34" t="str">
        <f>IFERROR(_xlfn.XLOOKUP(E1130,[1]EMPREENDIMENTO!C:C,[1]EMPREENDIMENTO!D:D),"")</f>
        <v>A7039747-1DB1-EC11-B1AD-005056856875</v>
      </c>
    </row>
    <row r="1131" spans="1:21" hidden="1" x14ac:dyDescent="0.35">
      <c r="A1131" s="28" t="s">
        <v>1188</v>
      </c>
      <c r="B1131" s="28" t="s">
        <v>1189</v>
      </c>
      <c r="C1131" s="28" t="s">
        <v>2065</v>
      </c>
      <c r="D1131" s="28" t="s">
        <v>85</v>
      </c>
      <c r="E1131" s="28" t="s">
        <v>2066</v>
      </c>
      <c r="F1131" s="28" t="s">
        <v>42</v>
      </c>
      <c r="G1131" s="28" t="s">
        <v>2067</v>
      </c>
      <c r="H1131" s="28">
        <v>57978</v>
      </c>
      <c r="I1131" s="29">
        <f>IFERROR(_xlfn.XLOOKUP(E1131,[1]EMPREENDIMENTO!C:C,[1]EMPREENDIMENTO!E:E),"0")</f>
        <v>320</v>
      </c>
      <c r="J1131" s="30"/>
      <c r="K1131" s="28" t="s">
        <v>33</v>
      </c>
      <c r="L1131" s="31">
        <v>45930</v>
      </c>
      <c r="M1131" s="32">
        <v>114270425</v>
      </c>
      <c r="N1131" s="32">
        <v>114270425</v>
      </c>
      <c r="O1131" s="32">
        <v>112604274</v>
      </c>
      <c r="P1131" s="28" t="s">
        <v>34</v>
      </c>
      <c r="Q1131" s="28"/>
      <c r="R1131" s="30"/>
      <c r="S1131" s="30">
        <v>45930</v>
      </c>
      <c r="T1131" s="33"/>
      <c r="U1131" s="34" t="str">
        <f>IFERROR(_xlfn.XLOOKUP(E1131,[1]EMPREENDIMENTO!C:C,[1]EMPREENDIMENTO!D:D),"")</f>
        <v>31C7DC41-AD82-EB11-8864-0050568AA20F</v>
      </c>
    </row>
    <row r="1132" spans="1:21" hidden="1" x14ac:dyDescent="0.35">
      <c r="A1132" s="28" t="str">
        <f>IFERROR(_xlfn.XLOOKUP(C1132,[1]DIRETORIA!C:C,[1]DIRETORIA!A:A),"-")</f>
        <v>DIR. COM E CRED CO E AM</v>
      </c>
      <c r="B1132" s="28" t="str">
        <f>IFERROR(_xlfn.XLOOKUP(C1132,[1]DIRETORIA!C:C,[1]DIRETORIA!B:B),"-")</f>
        <v>GST. COM DF</v>
      </c>
      <c r="C1132" s="28" t="str">
        <f>IFERROR(_xlfn.XLOOKUP(E1132,[1]EMPREENDIMENTO!C:C,[1]EMPREENDIMENTO!A:A),"-")</f>
        <v>CEILÂNDIA</v>
      </c>
      <c r="D1132" s="28" t="s">
        <v>85</v>
      </c>
      <c r="E1132" s="28" t="s">
        <v>2068</v>
      </c>
      <c r="F1132" s="28" t="s">
        <v>42</v>
      </c>
      <c r="G1132" s="28" t="s">
        <v>2069</v>
      </c>
      <c r="H1132" s="28">
        <v>59493</v>
      </c>
      <c r="I1132" s="29">
        <f>IFERROR(_xlfn.XLOOKUP(E1132,[1]EMPREENDIMENTO!C:C,[1]EMPREENDIMENTO!E:E),"0")</f>
        <v>0</v>
      </c>
      <c r="J1132" s="30"/>
      <c r="K1132" s="28" t="s">
        <v>33</v>
      </c>
      <c r="L1132" s="31">
        <v>45931</v>
      </c>
      <c r="M1132" s="32">
        <v>61905442</v>
      </c>
      <c r="N1132" s="32">
        <v>61905442</v>
      </c>
      <c r="O1132" s="32">
        <v>54097534</v>
      </c>
      <c r="P1132" s="28" t="s">
        <v>34</v>
      </c>
      <c r="Q1132" s="28"/>
      <c r="R1132" s="30"/>
      <c r="S1132" s="30">
        <v>45933</v>
      </c>
      <c r="T1132" s="33"/>
      <c r="U1132" s="34" t="str">
        <f>IFERROR(_xlfn.XLOOKUP(E1132,[1]EMPREENDIMENTO!C:C,[1]EMPREENDIMENTO!D:D),"")</f>
        <v>450837B4-E981-EF11-B65C-009C02B0CB58</v>
      </c>
    </row>
    <row r="1133" spans="1:21" x14ac:dyDescent="0.35">
      <c r="A1133" s="28" t="str">
        <f>IFERROR(_xlfn.XLOOKUP(C1133,[1]DIRETORIA!C:C,[1]DIRETORIA!A:A),"-")</f>
        <v>DIR. COM E CRED SPI</v>
      </c>
      <c r="B1133" s="28" t="str">
        <f>IFERROR(_xlfn.XLOOKUP(C1133,[1]DIRETORIA!C:C,[1]DIRETORIA!B:B),"-")</f>
        <v>GST. COM RP 1</v>
      </c>
      <c r="C1133" s="28" t="str">
        <f>IFERROR(_xlfn.XLOOKUP(E1133,[1]EMPREENDIMENTO!C:C,[1]EMPREENDIMENTO!A:A),"-")</f>
        <v>RIBEIRÃO PRETO</v>
      </c>
      <c r="D1133" s="28" t="s">
        <v>85</v>
      </c>
      <c r="E1133" s="28" t="s">
        <v>2070</v>
      </c>
      <c r="F1133" s="28" t="s">
        <v>42</v>
      </c>
      <c r="G1133" s="28" t="s">
        <v>2071</v>
      </c>
      <c r="H1133" s="28">
        <v>59294</v>
      </c>
      <c r="I1133" s="29">
        <f>IFERROR(_xlfn.XLOOKUP(E1133,[1]EMPREENDIMENTO!C:C,[1]EMPREENDIMENTO!E:E),"0")</f>
        <v>408</v>
      </c>
      <c r="J1133" s="30"/>
      <c r="K1133" s="28" t="s">
        <v>33</v>
      </c>
      <c r="L1133" s="31">
        <v>45932</v>
      </c>
      <c r="M1133" s="32">
        <v>113701186</v>
      </c>
      <c r="N1133" s="32">
        <v>113701186</v>
      </c>
      <c r="O1133" s="32">
        <v>101199000</v>
      </c>
      <c r="P1133" s="28" t="s">
        <v>34</v>
      </c>
      <c r="Q1133" s="28"/>
      <c r="R1133" s="30"/>
      <c r="S1133" s="30">
        <v>45933</v>
      </c>
      <c r="T1133" s="33"/>
      <c r="U1133" s="34" t="str">
        <f>IFERROR(_xlfn.XLOOKUP(E1133,[1]EMPREENDIMENTO!C:C,[1]EMPREENDIMENTO!D:D),"")</f>
        <v>13966D58-3156-E911-B8F1-009C02B0CB58</v>
      </c>
    </row>
    <row r="1134" spans="1:21" hidden="1" x14ac:dyDescent="0.35">
      <c r="A1134" s="28" t="str">
        <f>IFERROR(_xlfn.XLOOKUP(C1134,[1]DIRETORIA!C:C,[1]DIRETORIA!A:A),"-")</f>
        <v>DIR. COM E CRED MG E ES</v>
      </c>
      <c r="B1134" s="28" t="str">
        <f>IFERROR(_xlfn.XLOOKUP(C1134,[1]DIRETORIA!C:C,[1]DIRETORIA!B:B),"-")</f>
        <v>GST. COM TM</v>
      </c>
      <c r="C1134" s="28" t="str">
        <f>IFERROR(_xlfn.XLOOKUP(E1134,[1]EMPREENDIMENTO!C:C,[1]EMPREENDIMENTO!A:A),"-")</f>
        <v>UBERLÂNDIA</v>
      </c>
      <c r="D1134" s="28" t="s">
        <v>85</v>
      </c>
      <c r="E1134" s="28" t="s">
        <v>2072</v>
      </c>
      <c r="F1134" s="28" t="s">
        <v>42</v>
      </c>
      <c r="G1134" s="28" t="s">
        <v>2073</v>
      </c>
      <c r="H1134" s="28">
        <v>59482</v>
      </c>
      <c r="I1134" s="29">
        <f>IFERROR(_xlfn.XLOOKUP(E1134,[1]EMPREENDIMENTO!C:C,[1]EMPREENDIMENTO!E:E),"0")</f>
        <v>400</v>
      </c>
      <c r="J1134" s="30"/>
      <c r="K1134" s="28" t="s">
        <v>33</v>
      </c>
      <c r="L1134" s="31">
        <v>46182</v>
      </c>
      <c r="M1134" s="32">
        <v>98904714</v>
      </c>
      <c r="N1134" s="32">
        <v>98904714</v>
      </c>
      <c r="O1134" s="32">
        <v>83682300</v>
      </c>
      <c r="P1134" s="28" t="s">
        <v>34</v>
      </c>
      <c r="Q1134" s="28"/>
      <c r="R1134" s="30"/>
      <c r="S1134" s="30">
        <v>46183</v>
      </c>
      <c r="T1134" s="33"/>
      <c r="U1134" s="34" t="str">
        <f>IFERROR(_xlfn.XLOOKUP(E1134,[1]EMPREENDIMENTO!C:C,[1]EMPREENDIMENTO!D:D),"")</f>
        <v>F09EE066-9696-E811-8D3F-80C16E075108</v>
      </c>
    </row>
    <row r="1135" spans="1:21" x14ac:dyDescent="0.35">
      <c r="A1135" s="28" t="s">
        <v>2074</v>
      </c>
      <c r="B1135" s="28" t="s">
        <v>2075</v>
      </c>
      <c r="C1135" s="28" t="str">
        <f>IFERROR(_xlfn.XLOOKUP(E1135,[1]EMPREENDIMENTO!C:C,[1]EMPREENDIMENTO!A:A),"-")</f>
        <v>CAMPINAS</v>
      </c>
      <c r="D1135" s="28" t="s">
        <v>29</v>
      </c>
      <c r="E1135" s="28" t="s">
        <v>2076</v>
      </c>
      <c r="F1135" s="28" t="s">
        <v>31</v>
      </c>
      <c r="G1135" s="28" t="s">
        <v>2077</v>
      </c>
      <c r="H1135" s="28">
        <v>58148</v>
      </c>
      <c r="I1135" s="29">
        <f>IFERROR(_xlfn.XLOOKUP(E1135,[1]EMPREENDIMENTO!C:C,[1]EMPREENDIMENTO!E:E),"0")</f>
        <v>576</v>
      </c>
      <c r="J1135" s="30"/>
      <c r="K1135" s="28" t="s">
        <v>33</v>
      </c>
      <c r="L1135" s="31">
        <v>46013</v>
      </c>
      <c r="M1135" s="32">
        <v>185414100</v>
      </c>
      <c r="N1135" s="32">
        <v>185414100</v>
      </c>
      <c r="O1135" s="32">
        <v>184096800</v>
      </c>
      <c r="P1135" s="28" t="s">
        <v>2</v>
      </c>
      <c r="Q1135" s="28" t="s">
        <v>2078</v>
      </c>
      <c r="R1135" s="30">
        <v>46289</v>
      </c>
      <c r="S1135" s="30"/>
      <c r="T1135" s="33"/>
      <c r="U1135" s="34" t="str">
        <f>IFERROR(_xlfn.XLOOKUP(E1135,[1]EMPREENDIMENTO!C:C,[1]EMPREENDIMENTO!D:D),"")</f>
        <v>6D175B8B-739B-EF11-AB5A-80C16E075108</v>
      </c>
    </row>
    <row r="1136" spans="1:21" x14ac:dyDescent="0.35">
      <c r="A1136" s="28" t="s">
        <v>2074</v>
      </c>
      <c r="B1136" s="28" t="s">
        <v>2075</v>
      </c>
      <c r="C1136" s="28" t="str">
        <f>IFERROR(_xlfn.XLOOKUP(E1136,[1]EMPREENDIMENTO!C:C,[1]EMPREENDIMENTO!A:A),"-")</f>
        <v>CAMPINAS</v>
      </c>
      <c r="D1136" s="28" t="s">
        <v>85</v>
      </c>
      <c r="E1136" s="28" t="s">
        <v>2076</v>
      </c>
      <c r="F1136" s="28" t="s">
        <v>36</v>
      </c>
      <c r="G1136" s="28" t="s">
        <v>268</v>
      </c>
      <c r="H1136" s="28">
        <v>63771</v>
      </c>
      <c r="I1136" s="29">
        <f>IFERROR(_xlfn.XLOOKUP(E1136,[1]EMPREENDIMENTO!C:C,[1]EMPREENDIMENTO!E:E),"0")</f>
        <v>576</v>
      </c>
      <c r="J1136" s="30"/>
      <c r="K1136" s="28" t="s">
        <v>33</v>
      </c>
      <c r="L1136" s="31">
        <v>46013</v>
      </c>
      <c r="M1136" s="32">
        <v>185414100</v>
      </c>
      <c r="N1136" s="32">
        <v>185414100</v>
      </c>
      <c r="O1136" s="32">
        <v>184096800</v>
      </c>
      <c r="P1136" s="28" t="s">
        <v>2</v>
      </c>
      <c r="Q1136" s="28" t="s">
        <v>2078</v>
      </c>
      <c r="R1136" s="30">
        <v>46289</v>
      </c>
      <c r="S1136" s="30"/>
      <c r="T1136" s="33"/>
      <c r="U1136" s="34" t="str">
        <f>IFERROR(_xlfn.XLOOKUP(E1136,[1]EMPREENDIMENTO!C:C,[1]EMPREENDIMENTO!D:D),"")</f>
        <v>6D175B8B-739B-EF11-AB5A-80C16E075108</v>
      </c>
    </row>
    <row r="1137" spans="1:21" hidden="1" x14ac:dyDescent="0.35">
      <c r="A1137" s="28" t="str">
        <f>IFERROR(_xlfn.XLOOKUP(C1137,[1]DIRETORIA!C:C,[1]DIRETORIA!A:A),"-")</f>
        <v>DIR. COM E CRED SP E VL</v>
      </c>
      <c r="B1137" s="28" t="str">
        <f>IFERROR(_xlfn.XLOOKUP(C1137,[1]DIRETORIA!C:C,[1]DIRETORIA!B:B),"-")</f>
        <v>GST. COM SP2</v>
      </c>
      <c r="C1137" s="28" t="str">
        <f>IFERROR(_xlfn.XLOOKUP(E1137,[1]EMPREENDIMENTO!C:C,[1]EMPREENDIMENTO!A:A),"-")</f>
        <v>SÃO PAULO</v>
      </c>
      <c r="D1137" s="28" t="s">
        <v>29</v>
      </c>
      <c r="E1137" s="28" t="s">
        <v>2079</v>
      </c>
      <c r="F1137" s="28" t="s">
        <v>42</v>
      </c>
      <c r="G1137" s="28" t="s">
        <v>2080</v>
      </c>
      <c r="H1137" s="28">
        <v>59792</v>
      </c>
      <c r="I1137" s="29">
        <f>IFERROR(_xlfn.XLOOKUP(E1137,[1]EMPREENDIMENTO!C:C,[1]EMPREENDIMENTO!E:E),"0")</f>
        <v>288</v>
      </c>
      <c r="J1137" s="30"/>
      <c r="K1137" s="28" t="s">
        <v>33</v>
      </c>
      <c r="L1137" s="31">
        <v>46178</v>
      </c>
      <c r="M1137" s="32">
        <v>83722000</v>
      </c>
      <c r="N1137" s="32">
        <v>89906345</v>
      </c>
      <c r="O1137" s="32">
        <v>87490700</v>
      </c>
      <c r="P1137" s="28" t="s">
        <v>34</v>
      </c>
      <c r="Q1137" s="28" t="s">
        <v>2081</v>
      </c>
      <c r="R1137" s="30">
        <v>46202</v>
      </c>
      <c r="S1137" s="30">
        <v>46182</v>
      </c>
      <c r="T1137" s="33"/>
      <c r="U1137" s="34" t="str">
        <f>IFERROR(_xlfn.XLOOKUP(E1137,[1]EMPREENDIMENTO!C:C,[1]EMPREENDIMENTO!D:D),"")</f>
        <v>7c63495a-a10e-e511-a3a7-80c16e075108</v>
      </c>
    </row>
    <row r="1138" spans="1:21" hidden="1" x14ac:dyDescent="0.35">
      <c r="A1138" s="28" t="str">
        <f>IFERROR(_xlfn.XLOOKUP(C1138,[1]DIRETORIA!C:C,[1]DIRETORIA!A:A),"-")</f>
        <v>DIR. COM E CRED CO E AM</v>
      </c>
      <c r="B1138" s="28" t="str">
        <f>IFERROR(_xlfn.XLOOKUP(C1138,[1]DIRETORIA!C:C,[1]DIRETORIA!B:B),"-")</f>
        <v>GST. COM MT</v>
      </c>
      <c r="C1138" s="28" t="str">
        <f>IFERROR(_xlfn.XLOOKUP(E1138,[1]EMPREENDIMENTO!C:C,[1]EMPREENDIMENTO!A:A),"-")</f>
        <v>CUIABÁ</v>
      </c>
      <c r="D1138" s="28" t="s">
        <v>29</v>
      </c>
      <c r="E1138" s="28" t="s">
        <v>2082</v>
      </c>
      <c r="F1138" s="28" t="s">
        <v>31</v>
      </c>
      <c r="G1138" s="28" t="s">
        <v>2083</v>
      </c>
      <c r="H1138" s="28">
        <v>59854</v>
      </c>
      <c r="I1138" s="29">
        <f>IFERROR(_xlfn.XLOOKUP(E1138,[1]EMPREENDIMENTO!C:C,[1]EMPREENDIMENTO!E:E),"0")</f>
        <v>480</v>
      </c>
      <c r="J1138" s="30"/>
      <c r="K1138" s="28" t="s">
        <v>164</v>
      </c>
      <c r="L1138" s="31">
        <v>46163</v>
      </c>
      <c r="M1138" s="32">
        <v>140879300</v>
      </c>
      <c r="N1138" s="32"/>
      <c r="O1138" s="32"/>
      <c r="P1138" s="28" t="s">
        <v>2</v>
      </c>
      <c r="Q1138" s="28" t="s">
        <v>2084</v>
      </c>
      <c r="R1138" s="30">
        <v>46290</v>
      </c>
      <c r="S1138" s="30"/>
      <c r="T1138" s="33"/>
      <c r="U1138" s="34" t="str">
        <f>IFERROR(_xlfn.XLOOKUP(E1138,[1]EMPREENDIMENTO!C:C,[1]EMPREENDIMENTO!D:D),"")</f>
        <v>30F7C7BA-895F-ED11-9E0C-005056856875</v>
      </c>
    </row>
    <row r="1139" spans="1:21" hidden="1" x14ac:dyDescent="0.35">
      <c r="A1139" s="28" t="str">
        <f>IFERROR(_xlfn.XLOOKUP(C1139,[1]DIRETORIA!C:C,[1]DIRETORIA!A:A),"-")</f>
        <v>DIR. COM E CRED CO E AM</v>
      </c>
      <c r="B1139" s="28" t="str">
        <f>IFERROR(_xlfn.XLOOKUP(C1139,[1]DIRETORIA!C:C,[1]DIRETORIA!B:B),"-")</f>
        <v>GST. COM MT</v>
      </c>
      <c r="C1139" s="28" t="str">
        <f>IFERROR(_xlfn.XLOOKUP(E1139,[1]EMPREENDIMENTO!C:C,[1]EMPREENDIMENTO!A:A),"-")</f>
        <v>CUIABÁ</v>
      </c>
      <c r="D1139" s="28" t="s">
        <v>85</v>
      </c>
      <c r="E1139" s="28" t="s">
        <v>2082</v>
      </c>
      <c r="F1139" s="28" t="s">
        <v>36</v>
      </c>
      <c r="G1139" s="28" t="s">
        <v>268</v>
      </c>
      <c r="H1139" s="28" t="s">
        <v>268</v>
      </c>
      <c r="I1139" s="29">
        <f>IFERROR(_xlfn.XLOOKUP(E1139,[1]EMPREENDIMENTO!C:C,[1]EMPREENDIMENTO!E:E),"0")</f>
        <v>480</v>
      </c>
      <c r="J1139" s="30"/>
      <c r="K1139" s="28" t="s">
        <v>164</v>
      </c>
      <c r="L1139" s="31">
        <v>46163</v>
      </c>
      <c r="M1139" s="32">
        <v>140879300</v>
      </c>
      <c r="N1139" s="32"/>
      <c r="O1139" s="32"/>
      <c r="P1139" s="28" t="s">
        <v>2</v>
      </c>
      <c r="Q1139" s="28" t="s">
        <v>2084</v>
      </c>
      <c r="R1139" s="30">
        <v>46290</v>
      </c>
      <c r="S1139" s="30"/>
      <c r="T1139" s="33"/>
      <c r="U1139" s="34" t="str">
        <f>IFERROR(_xlfn.XLOOKUP(E1139,[1]EMPREENDIMENTO!C:C,[1]EMPREENDIMENTO!D:D),"")</f>
        <v>30F7C7BA-895F-ED11-9E0C-005056856875</v>
      </c>
    </row>
    <row r="1140" spans="1:21" hidden="1" x14ac:dyDescent="0.35">
      <c r="A1140" s="28" t="s">
        <v>2085</v>
      </c>
      <c r="B1140" s="28" t="s">
        <v>2086</v>
      </c>
      <c r="C1140" s="28" t="s">
        <v>2087</v>
      </c>
      <c r="D1140" s="28" t="s">
        <v>85</v>
      </c>
      <c r="E1140" s="28" t="s">
        <v>2088</v>
      </c>
      <c r="F1140" s="28" t="s">
        <v>42</v>
      </c>
      <c r="G1140" s="28" t="s">
        <v>2089</v>
      </c>
      <c r="H1140" s="28">
        <v>24567</v>
      </c>
      <c r="I1140" s="29">
        <f>IFERROR(_xlfn.XLOOKUP(E1140,[1]EMPREENDIMENTO!C:C,[1]EMPREENDIMENTO!E:E),"0")</f>
        <v>288</v>
      </c>
      <c r="J1140" s="30"/>
      <c r="K1140" s="28" t="s">
        <v>33</v>
      </c>
      <c r="L1140" s="31">
        <v>46134</v>
      </c>
      <c r="M1140" s="32">
        <v>122001000</v>
      </c>
      <c r="N1140" s="32">
        <v>133074031</v>
      </c>
      <c r="O1140" s="32">
        <v>128525069</v>
      </c>
      <c r="P1140" s="28" t="s">
        <v>34</v>
      </c>
      <c r="Q1140" s="28" t="s">
        <v>2090</v>
      </c>
      <c r="R1140" s="30"/>
      <c r="S1140" s="30">
        <v>46135</v>
      </c>
      <c r="T1140" s="33"/>
      <c r="U1140" s="34" t="str">
        <f>IFERROR(_xlfn.XLOOKUP(E1140,[1]EMPREENDIMENTO!C:C,[1]EMPREENDIMENTO!D:D),"")</f>
        <v>F2DB4C5E-1AB2-E411-B5D2-009C02B0CB58</v>
      </c>
    </row>
    <row r="1141" spans="1:21" hidden="1" x14ac:dyDescent="0.35">
      <c r="A1141" s="28" t="s">
        <v>2085</v>
      </c>
      <c r="B1141" s="28" t="s">
        <v>2086</v>
      </c>
      <c r="C1141" s="28" t="str">
        <f>IFERROR(_xlfn.XLOOKUP(E1141,[1]EMPREENDIMENTO!C:C,[1]EMPREENDIMENTO!A:A),"-")</f>
        <v>SÃO JOSÉ DOS CAMPOS</v>
      </c>
      <c r="D1141" s="28" t="s">
        <v>29</v>
      </c>
      <c r="E1141" s="28" t="s">
        <v>2091</v>
      </c>
      <c r="F1141" s="28" t="s">
        <v>31</v>
      </c>
      <c r="G1141" s="28" t="s">
        <v>2092</v>
      </c>
      <c r="H1141" s="28">
        <v>59504</v>
      </c>
      <c r="I1141" s="29">
        <f>IFERROR(_xlfn.XLOOKUP(E1141,[1]EMPREENDIMENTO!C:C,[1]EMPREENDIMENTO!E:E),"0")</f>
        <v>299</v>
      </c>
      <c r="J1141" s="30"/>
      <c r="K1141" s="28" t="s">
        <v>164</v>
      </c>
      <c r="L1141" s="31">
        <v>45943</v>
      </c>
      <c r="M1141" s="32">
        <v>86018012</v>
      </c>
      <c r="N1141" s="32">
        <v>86018012</v>
      </c>
      <c r="O1141" s="32">
        <v>85582187</v>
      </c>
      <c r="P1141" s="28" t="s">
        <v>34</v>
      </c>
      <c r="Q1141" s="28"/>
      <c r="R1141" s="30"/>
      <c r="S1141" s="30">
        <v>45944</v>
      </c>
      <c r="T1141" s="33"/>
      <c r="U1141" s="34" t="str">
        <f>IFERROR(_xlfn.XLOOKUP(E1141,[1]EMPREENDIMENTO!C:C,[1]EMPREENDIMENTO!D:D),"")</f>
        <v>991E5239-B26A-E911-90BB-80C16E075108</v>
      </c>
    </row>
    <row r="1142" spans="1:21" hidden="1" x14ac:dyDescent="0.35">
      <c r="A1142" s="28" t="s">
        <v>2085</v>
      </c>
      <c r="B1142" s="28" t="s">
        <v>2086</v>
      </c>
      <c r="C1142" s="28" t="str">
        <f>IFERROR(_xlfn.XLOOKUP(E1142,[1]EMPREENDIMENTO!C:C,[1]EMPREENDIMENTO!A:A),"-")</f>
        <v>SÃO JOSÉ DOS CAMPOS</v>
      </c>
      <c r="D1142" s="28" t="s">
        <v>29</v>
      </c>
      <c r="E1142" s="28" t="s">
        <v>2091</v>
      </c>
      <c r="F1142" s="28" t="s">
        <v>36</v>
      </c>
      <c r="G1142" s="28" t="s">
        <v>2093</v>
      </c>
      <c r="H1142" s="28">
        <v>67600</v>
      </c>
      <c r="I1142" s="29">
        <f>IFERROR(_xlfn.XLOOKUP(E1142,[1]EMPREENDIMENTO!C:C,[1]EMPREENDIMENTO!E:E),"0")</f>
        <v>299</v>
      </c>
      <c r="J1142" s="30"/>
      <c r="K1142" s="28" t="s">
        <v>164</v>
      </c>
      <c r="L1142" s="31">
        <v>45943</v>
      </c>
      <c r="M1142" s="32">
        <v>86018012</v>
      </c>
      <c r="N1142" s="32">
        <v>86018012</v>
      </c>
      <c r="O1142" s="32">
        <v>85582187</v>
      </c>
      <c r="P1142" s="28" t="s">
        <v>34</v>
      </c>
      <c r="Q1142" s="28"/>
      <c r="R1142" s="30"/>
      <c r="S1142" s="30">
        <v>45944</v>
      </c>
      <c r="T1142" s="33"/>
      <c r="U1142" s="34" t="str">
        <f>IFERROR(_xlfn.XLOOKUP(E1142,[1]EMPREENDIMENTO!C:C,[1]EMPREENDIMENTO!D:D),"")</f>
        <v>991E5239-B26A-E911-90BB-80C16E075108</v>
      </c>
    </row>
    <row r="1143" spans="1:21" hidden="1" x14ac:dyDescent="0.35">
      <c r="A1143" s="28" t="str">
        <f>IFERROR(_xlfn.XLOOKUP(C1143,[1]DIRETORIA!C:C,[1]DIRETORIA!A:A),"-")</f>
        <v>DIR. COM E CRED SUL</v>
      </c>
      <c r="B1143" s="28" t="str">
        <f>IFERROR(_xlfn.XLOOKUP(C1143,[1]DIRETORIA!C:C,[1]DIRETORIA!B:B),"-")</f>
        <v>GST. COM LONDRINA</v>
      </c>
      <c r="C1143" s="28" t="str">
        <f>IFERROR(_xlfn.XLOOKUP(E1143,[1]EMPREENDIMENTO!C:C,[1]EMPREENDIMENTO!A:A),"-")</f>
        <v>LONDRINA</v>
      </c>
      <c r="D1143" s="28" t="s">
        <v>85</v>
      </c>
      <c r="E1143" s="28" t="s">
        <v>2094</v>
      </c>
      <c r="F1143" s="28" t="s">
        <v>42</v>
      </c>
      <c r="G1143" s="28" t="s">
        <v>2095</v>
      </c>
      <c r="H1143" s="28">
        <v>59656</v>
      </c>
      <c r="I1143" s="29">
        <f>IFERROR(_xlfn.XLOOKUP(E1143,[1]EMPREENDIMENTO!C:C,[1]EMPREENDIMENTO!E:E),"0")</f>
        <v>288</v>
      </c>
      <c r="J1143" s="30"/>
      <c r="K1143" s="28" t="s">
        <v>33</v>
      </c>
      <c r="L1143" s="31">
        <v>46120</v>
      </c>
      <c r="M1143" s="32">
        <v>69883812</v>
      </c>
      <c r="N1143" s="32">
        <v>71692782</v>
      </c>
      <c r="O1143" s="32">
        <v>70939950</v>
      </c>
      <c r="P1143" s="28" t="s">
        <v>34</v>
      </c>
      <c r="Q1143" s="28"/>
      <c r="R1143" s="30"/>
      <c r="S1143" s="30">
        <v>46121</v>
      </c>
      <c r="T1143" s="33"/>
      <c r="U1143" s="34" t="str">
        <f>IFERROR(_xlfn.XLOOKUP(E1143,[1]EMPREENDIMENTO!C:C,[1]EMPREENDIMENTO!D:D),"")</f>
        <v>B7E27DF1-FEFE-EC11-BA45-005056890018</v>
      </c>
    </row>
    <row r="1144" spans="1:21" hidden="1" x14ac:dyDescent="0.35">
      <c r="A1144" s="28" t="str">
        <f>IFERROR(_xlfn.XLOOKUP(C1144,[1]DIRETORIA!C:C,[1]DIRETORIA!A:A),"-")</f>
        <v>DIR. COM E CRED SP E VL</v>
      </c>
      <c r="B1144" s="28" t="str">
        <f>IFERROR(_xlfn.XLOOKUP(C1144,[1]DIRETORIA!C:C,[1]DIRETORIA!B:B),"-")</f>
        <v>GST. COM SP2</v>
      </c>
      <c r="C1144" s="28" t="str">
        <f>IFERROR(_xlfn.XLOOKUP(E1144,[1]EMPREENDIMENTO!C:C,[1]EMPREENDIMENTO!A:A),"-")</f>
        <v>SÃO PAULO</v>
      </c>
      <c r="D1144" s="28" t="s">
        <v>85</v>
      </c>
      <c r="E1144" s="28" t="s">
        <v>2096</v>
      </c>
      <c r="F1144" s="28" t="s">
        <v>42</v>
      </c>
      <c r="G1144" s="28" t="s">
        <v>2097</v>
      </c>
      <c r="H1144" s="28">
        <v>59494</v>
      </c>
      <c r="I1144" s="29">
        <f>IFERROR(_xlfn.XLOOKUP(E1144,[1]EMPREENDIMENTO!C:C,[1]EMPREENDIMENTO!E:E),"0")</f>
        <v>0</v>
      </c>
      <c r="J1144" s="30"/>
      <c r="K1144" s="28" t="s">
        <v>33</v>
      </c>
      <c r="L1144" s="31">
        <v>46168</v>
      </c>
      <c r="M1144" s="32">
        <v>301350000</v>
      </c>
      <c r="N1144" s="32">
        <v>320521973</v>
      </c>
      <c r="O1144" s="32">
        <v>320521973</v>
      </c>
      <c r="P1144" s="28" t="s">
        <v>34</v>
      </c>
      <c r="Q1144" s="28"/>
      <c r="R1144" s="30"/>
      <c r="S1144" s="30">
        <v>46169</v>
      </c>
      <c r="T1144" s="33"/>
      <c r="U1144" s="34" t="str">
        <f>IFERROR(_xlfn.XLOOKUP(E1144,[1]EMPREENDIMENTO!C:C,[1]EMPREENDIMENTO!D:D),"")</f>
        <v>36CCC873-610C-EF11-9143-80C16E075108</v>
      </c>
    </row>
    <row r="1145" spans="1:21" hidden="1" x14ac:dyDescent="0.35">
      <c r="A1145" s="28" t="str">
        <f>IFERROR(_xlfn.XLOOKUP(C1145,[1]DIRETORIA!C:C,[1]DIRETORIA!A:A),"-")</f>
        <v>DIR. COM E CRED CO E AM</v>
      </c>
      <c r="B1145" s="28" t="str">
        <f>IFERROR(_xlfn.XLOOKUP(C1145,[1]DIRETORIA!C:C,[1]DIRETORIA!B:B),"-")</f>
        <v>GST. COM MT</v>
      </c>
      <c r="C1145" s="28" t="str">
        <f>IFERROR(_xlfn.XLOOKUP(E1145,[1]EMPREENDIMENTO!C:C,[1]EMPREENDIMENTO!A:A),"-")</f>
        <v>CUIABÁ</v>
      </c>
      <c r="D1145" s="28" t="s">
        <v>29</v>
      </c>
      <c r="E1145" s="28" t="s">
        <v>2098</v>
      </c>
      <c r="F1145" s="28" t="s">
        <v>31</v>
      </c>
      <c r="G1145" s="28" t="s">
        <v>2099</v>
      </c>
      <c r="H1145" s="28">
        <v>18308</v>
      </c>
      <c r="I1145" s="29">
        <f>IFERROR(_xlfn.XLOOKUP(E1145,[1]EMPREENDIMENTO!C:C,[1]EMPREENDIMENTO!E:E),"0")</f>
        <v>544</v>
      </c>
      <c r="J1145" s="30"/>
      <c r="K1145" s="28" t="s">
        <v>33</v>
      </c>
      <c r="L1145" s="31">
        <v>46188</v>
      </c>
      <c r="M1145" s="32">
        <v>143643996</v>
      </c>
      <c r="N1145" s="32">
        <v>155506268</v>
      </c>
      <c r="O1145" s="32">
        <v>155232552</v>
      </c>
      <c r="P1145" s="28" t="s">
        <v>34</v>
      </c>
      <c r="Q1145" s="28" t="s">
        <v>2100</v>
      </c>
      <c r="R1145" s="30">
        <v>46192</v>
      </c>
      <c r="S1145" s="30">
        <v>46188</v>
      </c>
      <c r="T1145" s="33"/>
      <c r="U1145" s="34" t="str">
        <f>IFERROR(_xlfn.XLOOKUP(E1145,[1]EMPREENDIMENTO!C:C,[1]EMPREENDIMENTO!D:D),"")</f>
        <v>9b2ddaf7-984f-e811-8ce7-80c16e075108</v>
      </c>
    </row>
    <row r="1146" spans="1:21" hidden="1" x14ac:dyDescent="0.35">
      <c r="A1146" s="28" t="str">
        <f>IFERROR(_xlfn.XLOOKUP(C1146,[1]DIRETORIA!C:C,[1]DIRETORIA!A:A),"-")</f>
        <v>DIR. COM E CRED CO E AM</v>
      </c>
      <c r="B1146" s="28" t="str">
        <f>IFERROR(_xlfn.XLOOKUP(C1146,[1]DIRETORIA!C:C,[1]DIRETORIA!B:B),"-")</f>
        <v>GST. COM MT</v>
      </c>
      <c r="C1146" s="28" t="str">
        <f>IFERROR(_xlfn.XLOOKUP(E1146,[1]EMPREENDIMENTO!C:C,[1]EMPREENDIMENTO!A:A),"-")</f>
        <v>CUIABÁ</v>
      </c>
      <c r="D1146" s="28" t="s">
        <v>29</v>
      </c>
      <c r="E1146" s="28" t="s">
        <v>2098</v>
      </c>
      <c r="F1146" s="28" t="s">
        <v>36</v>
      </c>
      <c r="G1146" s="28" t="s">
        <v>2101</v>
      </c>
      <c r="H1146" s="28">
        <v>62707</v>
      </c>
      <c r="I1146" s="29">
        <f>IFERROR(_xlfn.XLOOKUP(E1146,[1]EMPREENDIMENTO!C:C,[1]EMPREENDIMENTO!E:E),"0")</f>
        <v>544</v>
      </c>
      <c r="J1146" s="30"/>
      <c r="K1146" s="28" t="s">
        <v>33</v>
      </c>
      <c r="L1146" s="31">
        <v>46188</v>
      </c>
      <c r="M1146" s="32">
        <v>143643996</v>
      </c>
      <c r="N1146" s="32">
        <v>155506268</v>
      </c>
      <c r="O1146" s="32">
        <v>155232552</v>
      </c>
      <c r="P1146" s="28" t="s">
        <v>34</v>
      </c>
      <c r="Q1146" s="28" t="s">
        <v>2100</v>
      </c>
      <c r="R1146" s="30">
        <v>46192</v>
      </c>
      <c r="S1146" s="30">
        <v>46188</v>
      </c>
      <c r="T1146" s="33"/>
      <c r="U1146" s="34" t="str">
        <f>IFERROR(_xlfn.XLOOKUP(E1146,[1]EMPREENDIMENTO!C:C,[1]EMPREENDIMENTO!D:D),"")</f>
        <v>9b2ddaf7-984f-e811-8ce7-80c16e075108</v>
      </c>
    </row>
    <row r="1147" spans="1:21" hidden="1" x14ac:dyDescent="0.35">
      <c r="A1147" s="28" t="str">
        <f>IFERROR(_xlfn.XLOOKUP(C1147,[1]DIRETORIA!C:C,[1]DIRETORIA!A:A),"-")</f>
        <v>DIR. COM E CRED CO E AM</v>
      </c>
      <c r="B1147" s="28" t="str">
        <f>IFERROR(_xlfn.XLOOKUP(C1147,[1]DIRETORIA!C:C,[1]DIRETORIA!B:B),"-")</f>
        <v>GST. COM AM</v>
      </c>
      <c r="C1147" s="28" t="str">
        <f>IFERROR(_xlfn.XLOOKUP(E1147,[1]EMPREENDIMENTO!C:C,[1]EMPREENDIMENTO!A:A),"-")</f>
        <v>MANAUS</v>
      </c>
      <c r="D1147" s="28" t="s">
        <v>85</v>
      </c>
      <c r="E1147" s="28" t="s">
        <v>2102</v>
      </c>
      <c r="F1147" s="28" t="s">
        <v>42</v>
      </c>
      <c r="G1147" s="28" t="s">
        <v>2103</v>
      </c>
      <c r="H1147" s="28">
        <v>59911</v>
      </c>
      <c r="I1147" s="29">
        <f>IFERROR(_xlfn.XLOOKUP(E1147,[1]EMPREENDIMENTO!C:C,[1]EMPREENDIMENTO!E:E),"0")</f>
        <v>0</v>
      </c>
      <c r="J1147" s="30"/>
      <c r="K1147" s="28" t="s">
        <v>33</v>
      </c>
      <c r="L1147" s="31">
        <v>45954</v>
      </c>
      <c r="M1147" s="32">
        <v>126505046</v>
      </c>
      <c r="N1147" s="32">
        <v>126505046</v>
      </c>
      <c r="O1147" s="32">
        <v>126505046</v>
      </c>
      <c r="P1147" s="28" t="s">
        <v>34</v>
      </c>
      <c r="Q1147" s="28"/>
      <c r="R1147" s="30"/>
      <c r="S1147" s="30">
        <v>45959</v>
      </c>
      <c r="T1147" s="33"/>
      <c r="U1147" s="34" t="str">
        <f>IFERROR(_xlfn.XLOOKUP(E1147,[1]EMPREENDIMENTO!C:C,[1]EMPREENDIMENTO!D:D),"")</f>
        <v>6FE1D42A-5A47-EA11-801D-005056856875</v>
      </c>
    </row>
    <row r="1148" spans="1:21" x14ac:dyDescent="0.35">
      <c r="A1148" s="28" t="str">
        <f>IFERROR(_xlfn.XLOOKUP(C1148,[1]DIRETORIA!C:C,[1]DIRETORIA!A:A),"-")</f>
        <v>DIR. COM E CRED SPI</v>
      </c>
      <c r="B1148" s="28" t="str">
        <f>IFERROR(_xlfn.XLOOKUP(C1148,[1]DIRETORIA!C:C,[1]DIRETORIA!B:B),"-")</f>
        <v>GST. COM RP 1</v>
      </c>
      <c r="C1148" s="28" t="str">
        <f>IFERROR(_xlfn.XLOOKUP(E1148,[1]EMPREENDIMENTO!C:C,[1]EMPREENDIMENTO!A:A),"-")</f>
        <v>RIBEIRÃO PRETO</v>
      </c>
      <c r="D1148" s="28" t="s">
        <v>29</v>
      </c>
      <c r="E1148" s="28" t="s">
        <v>2104</v>
      </c>
      <c r="F1148" s="28" t="s">
        <v>31</v>
      </c>
      <c r="G1148" s="28" t="s">
        <v>2105</v>
      </c>
      <c r="H1148" s="28">
        <v>60066</v>
      </c>
      <c r="I1148" s="29">
        <f>IFERROR(_xlfn.XLOOKUP(E1148,[1]EMPREENDIMENTO!C:C,[1]EMPREENDIMENTO!E:E),"0")</f>
        <v>426</v>
      </c>
      <c r="J1148" s="30"/>
      <c r="K1148" s="28" t="s">
        <v>33</v>
      </c>
      <c r="L1148" s="31">
        <v>46181</v>
      </c>
      <c r="M1148" s="32">
        <v>116159000</v>
      </c>
      <c r="N1148" s="32">
        <v>118119000</v>
      </c>
      <c r="O1148" s="32">
        <v>118119000</v>
      </c>
      <c r="P1148" s="28" t="s">
        <v>34</v>
      </c>
      <c r="Q1148" s="28" t="s">
        <v>2106</v>
      </c>
      <c r="R1148" s="30">
        <v>46188</v>
      </c>
      <c r="S1148" s="30">
        <v>46181</v>
      </c>
      <c r="T1148" s="33"/>
      <c r="U1148" s="34" t="str">
        <f>IFERROR(_xlfn.XLOOKUP(E1148,[1]EMPREENDIMENTO!C:C,[1]EMPREENDIMENTO!D:D),"")</f>
        <v>6D6F96D8-5A66-F011-A9C1-009C02B0CB58</v>
      </c>
    </row>
    <row r="1149" spans="1:21" x14ac:dyDescent="0.35">
      <c r="A1149" s="28" t="str">
        <f>IFERROR(_xlfn.XLOOKUP(C1149,[1]DIRETORIA!C:C,[1]DIRETORIA!A:A),"-")</f>
        <v>DIR. COM E CRED SPI</v>
      </c>
      <c r="B1149" s="28" t="str">
        <f>IFERROR(_xlfn.XLOOKUP(C1149,[1]DIRETORIA!C:C,[1]DIRETORIA!B:B),"-")</f>
        <v>GST. COM RP 1</v>
      </c>
      <c r="C1149" s="28" t="str">
        <f>IFERROR(_xlfn.XLOOKUP(E1149,[1]EMPREENDIMENTO!C:C,[1]EMPREENDIMENTO!A:A),"-")</f>
        <v>RIBEIRÃO PRETO</v>
      </c>
      <c r="D1149" s="28" t="s">
        <v>85</v>
      </c>
      <c r="E1149" s="28" t="s">
        <v>2104</v>
      </c>
      <c r="F1149" s="28" t="s">
        <v>36</v>
      </c>
      <c r="G1149" s="28" t="s">
        <v>268</v>
      </c>
      <c r="H1149" s="28" t="s">
        <v>268</v>
      </c>
      <c r="I1149" s="29">
        <f>IFERROR(_xlfn.XLOOKUP(E1149,[1]EMPREENDIMENTO!C:C,[1]EMPREENDIMENTO!E:E),"0")</f>
        <v>426</v>
      </c>
      <c r="J1149" s="30"/>
      <c r="K1149" s="28" t="s">
        <v>33</v>
      </c>
      <c r="L1149" s="31">
        <v>46181</v>
      </c>
      <c r="M1149" s="32">
        <v>116159000</v>
      </c>
      <c r="N1149" s="32">
        <v>118119000</v>
      </c>
      <c r="O1149" s="32">
        <v>118119000</v>
      </c>
      <c r="P1149" s="28" t="s">
        <v>34</v>
      </c>
      <c r="Q1149" s="28" t="s">
        <v>2106</v>
      </c>
      <c r="R1149" s="30">
        <v>46188</v>
      </c>
      <c r="S1149" s="30">
        <v>46181</v>
      </c>
      <c r="T1149" s="33"/>
      <c r="U1149" s="34" t="str">
        <f>IFERROR(_xlfn.XLOOKUP(E1149,[1]EMPREENDIMENTO!C:C,[1]EMPREENDIMENTO!D:D),"")</f>
        <v>6D6F96D8-5A66-F011-A9C1-009C02B0CB58</v>
      </c>
    </row>
    <row r="1150" spans="1:21" hidden="1" x14ac:dyDescent="0.35">
      <c r="A1150" s="28" t="str">
        <f>IFERROR(_xlfn.XLOOKUP(C1150,[1]DIRETORIA!C:C,[1]DIRETORIA!A:A),"-")</f>
        <v>DIR. COM E CRED CO E AM</v>
      </c>
      <c r="B1150" s="28" t="str">
        <f>IFERROR(_xlfn.XLOOKUP(C1150,[1]DIRETORIA!C:C,[1]DIRETORIA!B:B),"-")</f>
        <v>GST. COM MT</v>
      </c>
      <c r="C1150" s="28" t="str">
        <f>IFERROR(_xlfn.XLOOKUP(E1150,[1]EMPREENDIMENTO!C:C,[1]EMPREENDIMENTO!A:A),"-")</f>
        <v>CUIABÁ</v>
      </c>
      <c r="D1150" s="28" t="s">
        <v>29</v>
      </c>
      <c r="E1150" s="28" t="s">
        <v>2107</v>
      </c>
      <c r="F1150" s="28" t="s">
        <v>31</v>
      </c>
      <c r="G1150" s="28" t="s">
        <v>2108</v>
      </c>
      <c r="H1150" s="28">
        <v>60149</v>
      </c>
      <c r="I1150" s="29">
        <f>IFERROR(_xlfn.XLOOKUP(E1150,[1]EMPREENDIMENTO!C:C,[1]EMPREENDIMENTO!E:E),"0")</f>
        <v>576</v>
      </c>
      <c r="J1150" s="30"/>
      <c r="K1150" s="28" t="s">
        <v>33</v>
      </c>
      <c r="L1150" s="31">
        <v>45960</v>
      </c>
      <c r="M1150" s="32">
        <v>179673084</v>
      </c>
      <c r="N1150" s="32">
        <v>179673084</v>
      </c>
      <c r="O1150" s="32">
        <v>174551080</v>
      </c>
      <c r="P1150" s="28" t="s">
        <v>34</v>
      </c>
      <c r="Q1150" s="28"/>
      <c r="R1150" s="30"/>
      <c r="S1150" s="30">
        <v>45960</v>
      </c>
      <c r="T1150" s="33"/>
      <c r="U1150" s="34" t="str">
        <f>IFERROR(_xlfn.XLOOKUP(E1150,[1]EMPREENDIMENTO!C:C,[1]EMPREENDIMENTO!D:D),"")</f>
        <v>B8047E74-D714-E311-BEFC-80C16E075108</v>
      </c>
    </row>
    <row r="1151" spans="1:21" hidden="1" x14ac:dyDescent="0.35">
      <c r="A1151" s="28" t="str">
        <f>IFERROR(_xlfn.XLOOKUP(C1151,[1]DIRETORIA!C:C,[1]DIRETORIA!A:A),"-")</f>
        <v>DIR. COM E CRED CO E AM</v>
      </c>
      <c r="B1151" s="28" t="str">
        <f>IFERROR(_xlfn.XLOOKUP(C1151,[1]DIRETORIA!C:C,[1]DIRETORIA!B:B),"-")</f>
        <v>GST. COM MT</v>
      </c>
      <c r="C1151" s="28" t="str">
        <f>IFERROR(_xlfn.XLOOKUP(E1151,[1]EMPREENDIMENTO!C:C,[1]EMPREENDIMENTO!A:A),"-")</f>
        <v>CUIABÁ</v>
      </c>
      <c r="D1151" s="28" t="s">
        <v>29</v>
      </c>
      <c r="E1151" s="28" t="s">
        <v>2107</v>
      </c>
      <c r="F1151" s="28" t="s">
        <v>36</v>
      </c>
      <c r="G1151" s="28" t="s">
        <v>2109</v>
      </c>
      <c r="H1151" s="28">
        <v>66284</v>
      </c>
      <c r="I1151" s="29">
        <f>IFERROR(_xlfn.XLOOKUP(E1151,[1]EMPREENDIMENTO!C:C,[1]EMPREENDIMENTO!E:E),"0")</f>
        <v>576</v>
      </c>
      <c r="J1151" s="30"/>
      <c r="K1151" s="28" t="s">
        <v>33</v>
      </c>
      <c r="L1151" s="31">
        <v>45960</v>
      </c>
      <c r="M1151" s="32">
        <v>179673084</v>
      </c>
      <c r="N1151" s="32">
        <v>179673084</v>
      </c>
      <c r="O1151" s="32">
        <v>174551080</v>
      </c>
      <c r="P1151" s="28" t="s">
        <v>34</v>
      </c>
      <c r="Q1151" s="28"/>
      <c r="R1151" s="30"/>
      <c r="S1151" s="30">
        <v>45960</v>
      </c>
      <c r="T1151" s="33"/>
      <c r="U1151" s="34" t="str">
        <f>IFERROR(_xlfn.XLOOKUP(E1151,[1]EMPREENDIMENTO!C:C,[1]EMPREENDIMENTO!D:D),"")</f>
        <v>B8047E74-D714-E311-BEFC-80C16E075108</v>
      </c>
    </row>
    <row r="1152" spans="1:21" hidden="1" x14ac:dyDescent="0.35">
      <c r="A1152" s="28" t="str">
        <f>IFERROR(_xlfn.XLOOKUP(C1152,[1]DIRETORIA!C:C,[1]DIRETORIA!A:A),"-")</f>
        <v>DIR. COM E CRED CO E AM</v>
      </c>
      <c r="B1152" s="28" t="str">
        <f>IFERROR(_xlfn.XLOOKUP(C1152,[1]DIRETORIA!C:C,[1]DIRETORIA!B:B),"-")</f>
        <v>GST. COM MT</v>
      </c>
      <c r="C1152" s="28" t="str">
        <f>IFERROR(_xlfn.XLOOKUP(E1152,[1]EMPREENDIMENTO!C:C,[1]EMPREENDIMENTO!A:A),"-")</f>
        <v>CUIABÁ</v>
      </c>
      <c r="D1152" s="28" t="s">
        <v>85</v>
      </c>
      <c r="E1152" s="28" t="s">
        <v>2107</v>
      </c>
      <c r="F1152" s="28" t="s">
        <v>39</v>
      </c>
      <c r="G1152" s="28" t="s">
        <v>268</v>
      </c>
      <c r="H1152" s="28" t="s">
        <v>268</v>
      </c>
      <c r="I1152" s="29">
        <f>IFERROR(_xlfn.XLOOKUP(E1152,[1]EMPREENDIMENTO!C:C,[1]EMPREENDIMENTO!E:E),"0")</f>
        <v>576</v>
      </c>
      <c r="J1152" s="30"/>
      <c r="K1152" s="28" t="s">
        <v>33</v>
      </c>
      <c r="L1152" s="31">
        <v>45960</v>
      </c>
      <c r="M1152" s="32">
        <v>179673084</v>
      </c>
      <c r="N1152" s="32">
        <v>179673084</v>
      </c>
      <c r="O1152" s="32">
        <v>174551080</v>
      </c>
      <c r="P1152" s="28" t="s">
        <v>34</v>
      </c>
      <c r="Q1152" s="28"/>
      <c r="R1152" s="30"/>
      <c r="S1152" s="30">
        <v>45960</v>
      </c>
      <c r="T1152" s="33"/>
      <c r="U1152" s="34" t="str">
        <f>IFERROR(_xlfn.XLOOKUP(E1152,[1]EMPREENDIMENTO!C:C,[1]EMPREENDIMENTO!D:D),"")</f>
        <v>B8047E74-D714-E311-BEFC-80C16E075108</v>
      </c>
    </row>
    <row r="1153" spans="1:21" hidden="1" x14ac:dyDescent="0.35">
      <c r="A1153" s="28" t="s">
        <v>1188</v>
      </c>
      <c r="B1153" s="28" t="s">
        <v>2110</v>
      </c>
      <c r="C1153" s="28" t="str">
        <f>IFERROR(_xlfn.XLOOKUP(E1153,[1]EMPREENDIMENTO!C:C,[1]EMPREENDIMENTO!A:A),"-")</f>
        <v>FORTALEZA</v>
      </c>
      <c r="D1153" s="28" t="s">
        <v>85</v>
      </c>
      <c r="E1153" s="28" t="s">
        <v>2111</v>
      </c>
      <c r="F1153" s="28" t="s">
        <v>42</v>
      </c>
      <c r="G1153" s="28" t="s">
        <v>2112</v>
      </c>
      <c r="H1153" s="28">
        <v>59807</v>
      </c>
      <c r="I1153" s="29">
        <f>IFERROR(_xlfn.XLOOKUP(E1153,[1]EMPREENDIMENTO!C:C,[1]EMPREENDIMENTO!E:E),"0")</f>
        <v>252</v>
      </c>
      <c r="J1153" s="30"/>
      <c r="K1153" s="28" t="s">
        <v>33</v>
      </c>
      <c r="L1153" s="31">
        <v>46157</v>
      </c>
      <c r="M1153" s="32">
        <v>78196697</v>
      </c>
      <c r="N1153" s="32">
        <v>78196697</v>
      </c>
      <c r="O1153" s="32">
        <v>74450900</v>
      </c>
      <c r="P1153" s="28" t="s">
        <v>34</v>
      </c>
      <c r="Q1153" s="28"/>
      <c r="R1153" s="30"/>
      <c r="S1153" s="30">
        <v>46160</v>
      </c>
      <c r="T1153" s="33"/>
      <c r="U1153" s="34" t="str">
        <f>IFERROR(_xlfn.XLOOKUP(E1153,[1]EMPREENDIMENTO!C:C,[1]EMPREENDIMENTO!D:D),"")</f>
        <v>3E2ED8E5-ED81-EF11-B65C-009C02B0CB58</v>
      </c>
    </row>
    <row r="1154" spans="1:21" hidden="1" x14ac:dyDescent="0.35">
      <c r="A1154" s="28" t="str">
        <f>IFERROR(_xlfn.XLOOKUP(C1154,[1]DIRETORIA!C:C,[1]DIRETORIA!A:A),"-")</f>
        <v>DIR. COM E CRED MG E ES</v>
      </c>
      <c r="B1154" s="28" t="str">
        <f>IFERROR(_xlfn.XLOOKUP(C1154,[1]DIRETORIA!C:C,[1]DIRETORIA!B:B),"-")</f>
        <v>GST. COM BH E INT</v>
      </c>
      <c r="C1154" s="28" t="str">
        <f>IFERROR(_xlfn.XLOOKUP(E1154,[1]EMPREENDIMENTO!C:C,[1]EMPREENDIMENTO!A:A),"-")</f>
        <v>BELO HORIZONTE</v>
      </c>
      <c r="D1154" s="28" t="s">
        <v>85</v>
      </c>
      <c r="E1154" s="28" t="s">
        <v>2113</v>
      </c>
      <c r="F1154" s="28" t="s">
        <v>42</v>
      </c>
      <c r="G1154" s="28" t="s">
        <v>2114</v>
      </c>
      <c r="H1154" s="28">
        <v>60213</v>
      </c>
      <c r="I1154" s="29">
        <f>IFERROR(_xlfn.XLOOKUP(E1154,[1]EMPREENDIMENTO!C:C,[1]EMPREENDIMENTO!E:E),"0")</f>
        <v>144</v>
      </c>
      <c r="J1154" s="30"/>
      <c r="K1154" s="28" t="s">
        <v>33</v>
      </c>
      <c r="L1154" s="31">
        <v>46128</v>
      </c>
      <c r="M1154" s="32">
        <v>49661605.5</v>
      </c>
      <c r="N1154" s="32">
        <v>53385488</v>
      </c>
      <c r="O1154" s="32">
        <v>49963000</v>
      </c>
      <c r="P1154" s="28" t="s">
        <v>6</v>
      </c>
      <c r="Q1154" s="28">
        <v>864283</v>
      </c>
      <c r="R1154" s="30">
        <v>46262</v>
      </c>
      <c r="S1154" s="30">
        <v>46253</v>
      </c>
      <c r="T1154" s="33"/>
      <c r="U1154" s="34" t="str">
        <f>IFERROR(_xlfn.XLOOKUP(E1154,[1]EMPREENDIMENTO!C:C,[1]EMPREENDIMENTO!D:D),"")</f>
        <v>4B52A0FC-9A17-EF11-9143-80C16E075108</v>
      </c>
    </row>
    <row r="1155" spans="1:21" hidden="1" x14ac:dyDescent="0.35">
      <c r="A1155" s="28" t="s">
        <v>1188</v>
      </c>
      <c r="B1155" s="28" t="s">
        <v>1189</v>
      </c>
      <c r="C1155" s="28" t="s">
        <v>2065</v>
      </c>
      <c r="D1155" s="28" t="s">
        <v>85</v>
      </c>
      <c r="E1155" s="28" t="s">
        <v>2115</v>
      </c>
      <c r="F1155" s="28" t="s">
        <v>42</v>
      </c>
      <c r="G1155" s="28" t="s">
        <v>2116</v>
      </c>
      <c r="H1155" s="28">
        <v>58745</v>
      </c>
      <c r="I1155" s="29">
        <f>IFERROR(_xlfn.XLOOKUP(E1155,[1]EMPREENDIMENTO!C:C,[1]EMPREENDIMENTO!E:E),"0")</f>
        <v>0</v>
      </c>
      <c r="J1155" s="30"/>
      <c r="K1155" s="28" t="s">
        <v>33</v>
      </c>
      <c r="L1155" s="31">
        <v>45978</v>
      </c>
      <c r="M1155" s="32">
        <v>76982000</v>
      </c>
      <c r="N1155" s="32">
        <v>76982000</v>
      </c>
      <c r="O1155" s="32">
        <v>70359800</v>
      </c>
      <c r="P1155" s="28" t="s">
        <v>34</v>
      </c>
      <c r="Q1155" s="28"/>
      <c r="R1155" s="30"/>
      <c r="S1155" s="30">
        <v>45978</v>
      </c>
      <c r="T1155" s="33"/>
      <c r="U1155" s="34" t="str">
        <f>IFERROR(_xlfn.XLOOKUP(E1155,[1]EMPREENDIMENTO!C:C,[1]EMPREENDIMENTO!D:D),"")</f>
        <v>03698438-4C39-EF11-9143-80C16E075108</v>
      </c>
    </row>
    <row r="1156" spans="1:21" hidden="1" x14ac:dyDescent="0.35">
      <c r="A1156" s="28" t="str">
        <f>IFERROR(_xlfn.XLOOKUP(C1156,[1]DIRETORIA!C:C,[1]DIRETORIA!A:A),"-")</f>
        <v>DIR. COM E CRED SUL</v>
      </c>
      <c r="B1156" s="28" t="str">
        <f>IFERROR(_xlfn.XLOOKUP(C1156,[1]DIRETORIA!C:C,[1]DIRETORIA!B:B),"-")</f>
        <v>GST. COM RS SUL</v>
      </c>
      <c r="C1156" s="28" t="str">
        <f>IFERROR(_xlfn.XLOOKUP(E1156,[1]EMPREENDIMENTO!C:C,[1]EMPREENDIMENTO!A:A),"-")</f>
        <v>PORTO ALEGRE</v>
      </c>
      <c r="D1156" s="28" t="s">
        <v>85</v>
      </c>
      <c r="E1156" s="28" t="s">
        <v>2117</v>
      </c>
      <c r="F1156" s="28" t="s">
        <v>42</v>
      </c>
      <c r="G1156" s="28" t="s">
        <v>2118</v>
      </c>
      <c r="H1156" s="28">
        <v>60371</v>
      </c>
      <c r="I1156" s="29">
        <f>IFERROR(_xlfn.XLOOKUP(E1156,[1]EMPREENDIMENTO!C:C,[1]EMPREENDIMENTO!E:E),"0")</f>
        <v>0</v>
      </c>
      <c r="J1156" s="30"/>
      <c r="K1156" s="28" t="s">
        <v>33</v>
      </c>
      <c r="L1156" s="31">
        <v>46119</v>
      </c>
      <c r="M1156" s="32">
        <v>97000000</v>
      </c>
      <c r="N1156" s="32">
        <v>100603000</v>
      </c>
      <c r="O1156" s="32">
        <v>100603000</v>
      </c>
      <c r="P1156" s="28" t="s">
        <v>34</v>
      </c>
      <c r="Q1156" s="28"/>
      <c r="R1156" s="30"/>
      <c r="S1156" s="30">
        <v>46120</v>
      </c>
      <c r="T1156" s="33"/>
      <c r="U1156" s="34" t="str">
        <f>IFERROR(_xlfn.XLOOKUP(E1156,[1]EMPREENDIMENTO!C:C,[1]EMPREENDIMENTO!D:D),"")</f>
        <v>6D611C7C-AD7A-EF11-B65C-009C02B0CB58</v>
      </c>
    </row>
    <row r="1157" spans="1:21" x14ac:dyDescent="0.35">
      <c r="A1157" s="28" t="str">
        <f>IFERROR(_xlfn.XLOOKUP(C1157,[1]DIRETORIA!C:C,[1]DIRETORIA!A:A),"-")</f>
        <v>DIR. COM E CRED SPI</v>
      </c>
      <c r="B1157" s="28" t="str">
        <f>IFERROR(_xlfn.XLOOKUP(C1157,[1]DIRETORIA!C:C,[1]DIRETORIA!B:B),"-")</f>
        <v>GST. COM RP 2</v>
      </c>
      <c r="C1157" s="28" t="str">
        <f>IFERROR(_xlfn.XLOOKUP(E1157,[1]EMPREENDIMENTO!C:C,[1]EMPREENDIMENTO!A:A),"-")</f>
        <v>SÃO CARLOS</v>
      </c>
      <c r="D1157" s="28" t="s">
        <v>29</v>
      </c>
      <c r="E1157" s="28" t="s">
        <v>2119</v>
      </c>
      <c r="F1157" s="28" t="s">
        <v>31</v>
      </c>
      <c r="G1157" s="28" t="s">
        <v>2120</v>
      </c>
      <c r="H1157" s="28">
        <v>60111</v>
      </c>
      <c r="I1157" s="29">
        <f>IFERROR(_xlfn.XLOOKUP(E1157,[1]EMPREENDIMENTO!C:C,[1]EMPREENDIMENTO!E:E),"0")</f>
        <v>272</v>
      </c>
      <c r="J1157" s="30"/>
      <c r="K1157" s="28" t="s">
        <v>33</v>
      </c>
      <c r="L1157" s="31">
        <v>46218</v>
      </c>
      <c r="M1157" s="32">
        <v>72028000</v>
      </c>
      <c r="N1157" s="32">
        <v>75286988</v>
      </c>
      <c r="O1157" s="32">
        <v>73485894</v>
      </c>
      <c r="P1157" s="28" t="s">
        <v>34</v>
      </c>
      <c r="Q1157" s="28"/>
      <c r="R1157" s="30">
        <v>46226</v>
      </c>
      <c r="S1157" s="30">
        <v>46218</v>
      </c>
      <c r="T1157" s="33"/>
      <c r="U1157" s="34" t="str">
        <f>IFERROR(_xlfn.XLOOKUP(E1157,[1]EMPREENDIMENTO!C:C,[1]EMPREENDIMENTO!D:D),"")</f>
        <v>39C74231-B449-EA11-BA0A-0050568AA20F</v>
      </c>
    </row>
    <row r="1158" spans="1:21" x14ac:dyDescent="0.35">
      <c r="A1158" s="28" t="str">
        <f>IFERROR(_xlfn.XLOOKUP(C1158,[1]DIRETORIA!C:C,[1]DIRETORIA!A:A),"-")</f>
        <v>DIR. COM E CRED SPI</v>
      </c>
      <c r="B1158" s="28" t="str">
        <f>IFERROR(_xlfn.XLOOKUP(C1158,[1]DIRETORIA!C:C,[1]DIRETORIA!B:B),"-")</f>
        <v>GST. COM RP 2</v>
      </c>
      <c r="C1158" s="28" t="str">
        <f>IFERROR(_xlfn.XLOOKUP(E1158,[1]EMPREENDIMENTO!C:C,[1]EMPREENDIMENTO!A:A),"-")</f>
        <v>SÃO CARLOS</v>
      </c>
      <c r="D1158" s="28" t="s">
        <v>85</v>
      </c>
      <c r="E1158" s="28" t="s">
        <v>2119</v>
      </c>
      <c r="F1158" s="28" t="s">
        <v>36</v>
      </c>
      <c r="G1158" s="28" t="s">
        <v>268</v>
      </c>
      <c r="H1158" s="28" t="s">
        <v>268</v>
      </c>
      <c r="I1158" s="29">
        <f>IFERROR(_xlfn.XLOOKUP(E1158,[1]EMPREENDIMENTO!C:C,[1]EMPREENDIMENTO!E:E),"0")</f>
        <v>272</v>
      </c>
      <c r="J1158" s="30"/>
      <c r="K1158" s="28" t="s">
        <v>33</v>
      </c>
      <c r="L1158" s="31">
        <v>46218</v>
      </c>
      <c r="M1158" s="32">
        <v>72028000</v>
      </c>
      <c r="N1158" s="32">
        <v>75286988</v>
      </c>
      <c r="O1158" s="32">
        <v>73485894</v>
      </c>
      <c r="P1158" s="28" t="s">
        <v>34</v>
      </c>
      <c r="Q1158" s="28"/>
      <c r="R1158" s="30">
        <v>46226</v>
      </c>
      <c r="S1158" s="30">
        <v>46218</v>
      </c>
      <c r="T1158" s="33"/>
      <c r="U1158" s="34" t="str">
        <f>IFERROR(_xlfn.XLOOKUP(E1158,[1]EMPREENDIMENTO!C:C,[1]EMPREENDIMENTO!D:D),"")</f>
        <v>39C74231-B449-EA11-BA0A-0050568AA20F</v>
      </c>
    </row>
    <row r="1159" spans="1:21" hidden="1" x14ac:dyDescent="0.35">
      <c r="A1159" s="28" t="s">
        <v>1188</v>
      </c>
      <c r="B1159" s="28" t="s">
        <v>2110</v>
      </c>
      <c r="C1159" s="28" t="s">
        <v>2121</v>
      </c>
      <c r="D1159" s="28" t="s">
        <v>85</v>
      </c>
      <c r="E1159" s="28" t="s">
        <v>2122</v>
      </c>
      <c r="F1159" s="28" t="s">
        <v>42</v>
      </c>
      <c r="G1159" s="28" t="s">
        <v>2123</v>
      </c>
      <c r="H1159" s="28">
        <v>34116</v>
      </c>
      <c r="I1159" s="29">
        <f>IFERROR(_xlfn.XLOOKUP(E1159,[1]EMPREENDIMENTO!C:C,[1]EMPREENDIMENTO!E:E),"0")</f>
        <v>0</v>
      </c>
      <c r="J1159" s="30"/>
      <c r="K1159" s="28" t="s">
        <v>33</v>
      </c>
      <c r="L1159" s="31">
        <v>45982</v>
      </c>
      <c r="M1159" s="32">
        <v>106560800</v>
      </c>
      <c r="N1159" s="32">
        <v>106560800</v>
      </c>
      <c r="O1159" s="32">
        <v>106560800</v>
      </c>
      <c r="P1159" s="28" t="s">
        <v>34</v>
      </c>
      <c r="Q1159" s="28"/>
      <c r="R1159" s="30"/>
      <c r="S1159" s="30">
        <v>45982</v>
      </c>
      <c r="T1159" s="33"/>
      <c r="U1159" s="34" t="str">
        <f>IFERROR(_xlfn.XLOOKUP(E1159,[1]EMPREENDIMENTO!C:C,[1]EMPREENDIMENTO!D:D),"")</f>
        <v>5F7D8099-4547-EA11-801D-005056856875</v>
      </c>
    </row>
    <row r="1160" spans="1:21" hidden="1" x14ac:dyDescent="0.35">
      <c r="A1160" s="28" t="str">
        <f>IFERROR(_xlfn.XLOOKUP(C1160,[1]DIRETORIA!C:C,[1]DIRETORIA!A:A),"-")</f>
        <v>DIR. COM E CRED SUL</v>
      </c>
      <c r="B1160" s="28" t="str">
        <f>IFERROR(_xlfn.XLOOKUP(C1160,[1]DIRETORIA!C:C,[1]DIRETORIA!B:B),"-")</f>
        <v>GST. COM RS SUL</v>
      </c>
      <c r="C1160" s="28" t="str">
        <f>IFERROR(_xlfn.XLOOKUP(E1160,[1]EMPREENDIMENTO!C:C,[1]EMPREENDIMENTO!A:A),"-")</f>
        <v>PORTO ALEGRE</v>
      </c>
      <c r="D1160" s="28" t="s">
        <v>85</v>
      </c>
      <c r="E1160" s="28" t="s">
        <v>2124</v>
      </c>
      <c r="F1160" s="28" t="s">
        <v>42</v>
      </c>
      <c r="G1160" s="28" t="s">
        <v>2125</v>
      </c>
      <c r="H1160" s="28">
        <v>60399</v>
      </c>
      <c r="I1160" s="29">
        <f>IFERROR(_xlfn.XLOOKUP(E1160,[1]EMPREENDIMENTO!C:C,[1]EMPREENDIMENTO!E:E),"0")</f>
        <v>0</v>
      </c>
      <c r="J1160" s="30"/>
      <c r="K1160" s="28" t="s">
        <v>33</v>
      </c>
      <c r="L1160" s="31">
        <v>46017</v>
      </c>
      <c r="M1160" s="32">
        <v>83298000</v>
      </c>
      <c r="N1160" s="32">
        <v>83298000</v>
      </c>
      <c r="O1160" s="32">
        <v>82722000</v>
      </c>
      <c r="P1160" s="28" t="s">
        <v>34</v>
      </c>
      <c r="Q1160" s="28">
        <v>858880</v>
      </c>
      <c r="R1160" s="30">
        <v>46251</v>
      </c>
      <c r="S1160" s="30"/>
      <c r="T1160" s="33" t="s">
        <v>2126</v>
      </c>
      <c r="U1160" s="34" t="str">
        <f>IFERROR(_xlfn.XLOOKUP(E1160,[1]EMPREENDIMENTO!C:C,[1]EMPREENDIMENTO!D:D),"")</f>
        <v>253663BF-3D62-EB11-AA45-005056856875</v>
      </c>
    </row>
    <row r="1161" spans="1:21" hidden="1" x14ac:dyDescent="0.35">
      <c r="A1161" s="28" t="str">
        <f>IFERROR(_xlfn.XLOOKUP(C1161,[1]DIRETORIA!C:C,[1]DIRETORIA!A:A),"-")</f>
        <v>DIR. COM E CRED SUL</v>
      </c>
      <c r="B1161" s="28" t="str">
        <f>IFERROR(_xlfn.XLOOKUP(C1161,[1]DIRETORIA!C:C,[1]DIRETORIA!B:B),"-")</f>
        <v>GST. COM CURITIBA</v>
      </c>
      <c r="C1161" s="28" t="str">
        <f>IFERROR(_xlfn.XLOOKUP(E1161,[1]EMPREENDIMENTO!C:C,[1]EMPREENDIMENTO!A:A),"-")</f>
        <v>CURITIBA</v>
      </c>
      <c r="D1161" s="28" t="s">
        <v>29</v>
      </c>
      <c r="E1161" s="28" t="s">
        <v>2127</v>
      </c>
      <c r="F1161" s="28" t="s">
        <v>42</v>
      </c>
      <c r="G1161" s="28" t="s">
        <v>2128</v>
      </c>
      <c r="H1161" s="28">
        <v>60273</v>
      </c>
      <c r="I1161" s="29">
        <f>IFERROR(_xlfn.XLOOKUP(E1161,[1]EMPREENDIMENTO!C:C,[1]EMPREENDIMENTO!E:E),"0")</f>
        <v>144</v>
      </c>
      <c r="J1161" s="30"/>
      <c r="K1161" s="28" t="s">
        <v>33</v>
      </c>
      <c r="L1161" s="31">
        <v>46240</v>
      </c>
      <c r="M1161" s="32">
        <v>47543600</v>
      </c>
      <c r="N1161" s="32">
        <v>53724268</v>
      </c>
      <c r="O1161" s="32">
        <v>50715000</v>
      </c>
      <c r="P1161" s="28" t="s">
        <v>34</v>
      </c>
      <c r="Q1161" s="28" t="s">
        <v>2129</v>
      </c>
      <c r="R1161" s="30">
        <v>46239</v>
      </c>
      <c r="S1161" s="30">
        <v>46240</v>
      </c>
      <c r="T1161" s="33"/>
      <c r="U1161" s="34" t="str">
        <f>IFERROR(_xlfn.XLOOKUP(E1161,[1]EMPREENDIMENTO!C:C,[1]EMPREENDIMENTO!D:D),"")</f>
        <v>1DC489DF-DE3B-F011-8DE6-005056856875</v>
      </c>
    </row>
    <row r="1162" spans="1:21" x14ac:dyDescent="0.35">
      <c r="A1162" s="28" t="s">
        <v>2074</v>
      </c>
      <c r="B1162" s="28" t="s">
        <v>2075</v>
      </c>
      <c r="C1162" s="28" t="s">
        <v>2130</v>
      </c>
      <c r="D1162" s="28" t="s">
        <v>85</v>
      </c>
      <c r="E1162" s="28" t="s">
        <v>2131</v>
      </c>
      <c r="F1162" s="28" t="s">
        <v>42</v>
      </c>
      <c r="G1162" s="28" t="s">
        <v>2132</v>
      </c>
      <c r="H1162" s="28">
        <v>60762</v>
      </c>
      <c r="I1162" s="29">
        <f>IFERROR(_xlfn.XLOOKUP(E1162,[1]EMPREENDIMENTO!C:C,[1]EMPREENDIMENTO!E:E),"0")</f>
        <v>192</v>
      </c>
      <c r="J1162" s="30"/>
      <c r="K1162" s="28" t="s">
        <v>33</v>
      </c>
      <c r="L1162" s="31">
        <v>46247</v>
      </c>
      <c r="M1162" s="32">
        <v>62328000</v>
      </c>
      <c r="N1162" s="32">
        <v>73212431</v>
      </c>
      <c r="O1162" s="32">
        <v>69667000</v>
      </c>
      <c r="P1162" s="28" t="s">
        <v>34</v>
      </c>
      <c r="Q1162" s="28"/>
      <c r="R1162" s="30"/>
      <c r="S1162" s="30">
        <v>46247</v>
      </c>
      <c r="T1162" s="33"/>
      <c r="U1162" s="34" t="str">
        <f>IFERROR(_xlfn.XLOOKUP(E1162,[1]EMPREENDIMENTO!C:C,[1]EMPREENDIMENTO!D:D),"")</f>
        <v>048C3F9D-E8F9-EB11-A30E-0050568A2E98</v>
      </c>
    </row>
    <row r="1163" spans="1:21" hidden="1" x14ac:dyDescent="0.35">
      <c r="A1163" s="28" t="str">
        <f>IFERROR(_xlfn.XLOOKUP(C1163,[1]DIRETORIA!C:C,[1]DIRETORIA!A:A),"-")</f>
        <v>DIR. COM E CRED CO E AM</v>
      </c>
      <c r="B1163" s="28" t="str">
        <f>IFERROR(_xlfn.XLOOKUP(C1163,[1]DIRETORIA!C:C,[1]DIRETORIA!B:B),"-")</f>
        <v>GST. COM GO</v>
      </c>
      <c r="C1163" s="28" t="str">
        <f>IFERROR(_xlfn.XLOOKUP(E1163,[1]EMPREENDIMENTO!C:C,[1]EMPREENDIMENTO!A:A),"-")</f>
        <v>GOIÂNIA</v>
      </c>
      <c r="D1163" s="28" t="s">
        <v>85</v>
      </c>
      <c r="E1163" s="28" t="s">
        <v>2133</v>
      </c>
      <c r="F1163" s="28" t="s">
        <v>42</v>
      </c>
      <c r="G1163" s="28" t="s">
        <v>2134</v>
      </c>
      <c r="H1163" s="28">
        <v>60739</v>
      </c>
      <c r="I1163" s="29">
        <f>IFERROR(_xlfn.XLOOKUP(E1163,[1]EMPREENDIMENTO!C:C,[1]EMPREENDIMENTO!E:E),"0")</f>
        <v>600</v>
      </c>
      <c r="J1163" s="30"/>
      <c r="K1163" s="28" t="s">
        <v>33</v>
      </c>
      <c r="L1163" s="31">
        <v>45989</v>
      </c>
      <c r="M1163" s="32">
        <v>158422930</v>
      </c>
      <c r="N1163" s="32">
        <v>158422930</v>
      </c>
      <c r="O1163" s="32">
        <v>156436952</v>
      </c>
      <c r="P1163" s="28" t="s">
        <v>34</v>
      </c>
      <c r="Q1163" s="28"/>
      <c r="R1163" s="30"/>
      <c r="S1163" s="30">
        <v>45992</v>
      </c>
      <c r="T1163" s="33"/>
      <c r="U1163" s="34" t="str">
        <f>IFERROR(_xlfn.XLOOKUP(E1163,[1]EMPREENDIMENTO!C:C,[1]EMPREENDIMENTO!D:D),"")</f>
        <v>CE156B47-D7D8-EB11-930A-0050568AA20F</v>
      </c>
    </row>
    <row r="1164" spans="1:21" hidden="1" x14ac:dyDescent="0.35">
      <c r="A1164" s="28" t="str">
        <f>IFERROR(_xlfn.XLOOKUP(C1164,[1]DIRETORIA!C:C,[1]DIRETORIA!A:A),"-")</f>
        <v>DIR. COM E CRED SP E VL</v>
      </c>
      <c r="B1164" s="28" t="str">
        <f>IFERROR(_xlfn.XLOOKUP(C1164,[1]DIRETORIA!C:C,[1]DIRETORIA!B:B),"-")</f>
        <v>GST. COM SP2</v>
      </c>
      <c r="C1164" s="28" t="str">
        <f>IFERROR(_xlfn.XLOOKUP(E1164,[1]EMPREENDIMENTO!C:C,[1]EMPREENDIMENTO!A:A),"-")</f>
        <v>SÃO PAULO</v>
      </c>
      <c r="D1164" s="28" t="s">
        <v>85</v>
      </c>
      <c r="E1164" s="28" t="s">
        <v>2135</v>
      </c>
      <c r="F1164" s="28" t="s">
        <v>42</v>
      </c>
      <c r="G1164" s="28" t="s">
        <v>2136</v>
      </c>
      <c r="H1164" s="28">
        <v>60600</v>
      </c>
      <c r="I1164" s="29">
        <f>IFERROR(_xlfn.XLOOKUP(E1164,[1]EMPREENDIMENTO!C:C,[1]EMPREENDIMENTO!E:E),"0")</f>
        <v>432</v>
      </c>
      <c r="J1164" s="30"/>
      <c r="K1164" s="28" t="s">
        <v>33</v>
      </c>
      <c r="L1164" s="31">
        <v>46213</v>
      </c>
      <c r="M1164" s="32">
        <v>442936933</v>
      </c>
      <c r="N1164" s="32">
        <v>464660980</v>
      </c>
      <c r="O1164" s="32">
        <v>464205688</v>
      </c>
      <c r="P1164" s="28" t="s">
        <v>34</v>
      </c>
      <c r="Q1164" s="28"/>
      <c r="R1164" s="30"/>
      <c r="S1164" s="30">
        <v>46213</v>
      </c>
      <c r="T1164" s="33"/>
      <c r="U1164" s="34" t="str">
        <f>IFERROR(_xlfn.XLOOKUP(E1164,[1]EMPREENDIMENTO!C:C,[1]EMPREENDIMENTO!D:D),"")</f>
        <v>E58047EF-2683-EB11-AA45-005056856875</v>
      </c>
    </row>
    <row r="1165" spans="1:21" x14ac:dyDescent="0.35">
      <c r="A1165" s="28" t="str">
        <f>IFERROR(_xlfn.XLOOKUP(C1165,[1]DIRETORIA!C:C,[1]DIRETORIA!A:A),"-")</f>
        <v>DIR. COM E CRED SPI CP</v>
      </c>
      <c r="B1165" s="28" t="str">
        <f>IFERROR(_xlfn.XLOOKUP(C1165,[1]DIRETORIA!C:C,[1]DIRETORIA!B:B),"-")</f>
        <v>GST. COM CP2</v>
      </c>
      <c r="C1165" s="28" t="str">
        <f>IFERROR(_xlfn.XLOOKUP(E1165,[1]EMPREENDIMENTO!C:C,[1]EMPREENDIMENTO!A:A),"-")</f>
        <v>VOTORANTIM</v>
      </c>
      <c r="D1165" s="28" t="s">
        <v>85</v>
      </c>
      <c r="E1165" s="28" t="s">
        <v>2137</v>
      </c>
      <c r="F1165" s="28" t="s">
        <v>42</v>
      </c>
      <c r="G1165" s="28" t="s">
        <v>2138</v>
      </c>
      <c r="H1165" s="28">
        <v>60669</v>
      </c>
      <c r="I1165" s="29">
        <f>IFERROR(_xlfn.XLOOKUP(E1165,[1]EMPREENDIMENTO!C:C,[1]EMPREENDIMENTO!E:E),"0")</f>
        <v>0</v>
      </c>
      <c r="J1165" s="30"/>
      <c r="K1165" s="28" t="s">
        <v>33</v>
      </c>
      <c r="L1165" s="31">
        <v>46044</v>
      </c>
      <c r="M1165" s="32">
        <v>55490978</v>
      </c>
      <c r="N1165" s="32">
        <v>55490978</v>
      </c>
      <c r="O1165" s="32">
        <v>52483816</v>
      </c>
      <c r="P1165" s="28" t="s">
        <v>34</v>
      </c>
      <c r="Q1165" s="28">
        <v>781792</v>
      </c>
      <c r="R1165" s="30"/>
      <c r="S1165" s="30"/>
      <c r="T1165" s="33" t="s">
        <v>2139</v>
      </c>
      <c r="U1165" s="34" t="str">
        <f>IFERROR(_xlfn.XLOOKUP(E1165,[1]EMPREENDIMENTO!C:C,[1]EMPREENDIMENTO!D:D),"")</f>
        <v>BD54043F-8BC3-EF11-AAAE-005056856875</v>
      </c>
    </row>
    <row r="1166" spans="1:21" hidden="1" x14ac:dyDescent="0.35">
      <c r="A1166" s="28" t="str">
        <f>IFERROR(_xlfn.XLOOKUP(C1166,[1]DIRETORIA!C:C,[1]DIRETORIA!A:A),"-")</f>
        <v>DIR. COM E CRED CO E AM</v>
      </c>
      <c r="B1166" s="28" t="str">
        <f>IFERROR(_xlfn.XLOOKUP(C1166,[1]DIRETORIA!C:C,[1]DIRETORIA!B:B),"-")</f>
        <v>GST. COM MS</v>
      </c>
      <c r="C1166" s="28" t="str">
        <f>IFERROR(_xlfn.XLOOKUP(E1166,[1]EMPREENDIMENTO!C:C,[1]EMPREENDIMENTO!A:A),"-")</f>
        <v>CAMPO GRANDE</v>
      </c>
      <c r="D1166" s="28" t="s">
        <v>85</v>
      </c>
      <c r="E1166" s="28" t="s">
        <v>2140</v>
      </c>
      <c r="F1166" s="28" t="s">
        <v>42</v>
      </c>
      <c r="G1166" s="28" t="s">
        <v>2141</v>
      </c>
      <c r="H1166" s="28">
        <v>60809</v>
      </c>
      <c r="I1166" s="29">
        <f>IFERROR(_xlfn.XLOOKUP(E1166,[1]EMPREENDIMENTO!C:C,[1]EMPREENDIMENTO!E:E),"0")</f>
        <v>0</v>
      </c>
      <c r="J1166" s="30"/>
      <c r="K1166" s="28" t="s">
        <v>164</v>
      </c>
      <c r="L1166" s="31">
        <v>46253</v>
      </c>
      <c r="M1166" s="32">
        <v>239837000</v>
      </c>
      <c r="N1166" s="32">
        <v>283410530</v>
      </c>
      <c r="O1166" s="32">
        <v>280165440</v>
      </c>
      <c r="P1166" s="28" t="s">
        <v>34</v>
      </c>
      <c r="Q1166" s="28">
        <v>867394</v>
      </c>
      <c r="R1166" s="30">
        <v>46269</v>
      </c>
      <c r="S1166" s="30">
        <v>46253</v>
      </c>
      <c r="T1166" s="33"/>
      <c r="U1166" s="34" t="str">
        <f>IFERROR(_xlfn.XLOOKUP(E1166,[1]EMPREENDIMENTO!C:C,[1]EMPREENDIMENTO!D:D),"")</f>
        <v>B4670128-FBC1-EE11-8386-009C02B0CB58</v>
      </c>
    </row>
    <row r="1167" spans="1:21" hidden="1" x14ac:dyDescent="0.35">
      <c r="A1167" s="28" t="str">
        <f>IFERROR(_xlfn.XLOOKUP(C1167,[1]DIRETORIA!C:C,[1]DIRETORIA!A:A),"-")</f>
        <v>DIR. COM E CRED NE</v>
      </c>
      <c r="B1167" s="28" t="str">
        <f>IFERROR(_xlfn.XLOOKUP(C1167,[1]DIRETORIA!C:C,[1]DIRETORIA!B:B),"-")</f>
        <v>GST. COM NE4 (CE)</v>
      </c>
      <c r="C1167" s="28" t="str">
        <f>IFERROR(_xlfn.XLOOKUP(E1167,[1]EMPREENDIMENTO!C:C,[1]EMPREENDIMENTO!A:A),"-")</f>
        <v>FORTALEZA</v>
      </c>
      <c r="D1167" s="28" t="s">
        <v>85</v>
      </c>
      <c r="E1167" s="28" t="s">
        <v>2142</v>
      </c>
      <c r="F1167" s="28" t="s">
        <v>42</v>
      </c>
      <c r="G1167" s="28" t="s">
        <v>2143</v>
      </c>
      <c r="H1167" s="28">
        <v>59587</v>
      </c>
      <c r="I1167" s="29">
        <f>IFERROR(_xlfn.XLOOKUP(E1167,[1]EMPREENDIMENTO!C:C,[1]EMPREENDIMENTO!E:E),"0")</f>
        <v>0</v>
      </c>
      <c r="J1167" s="30"/>
      <c r="K1167" s="28" t="s">
        <v>33</v>
      </c>
      <c r="L1167" s="31">
        <v>46000</v>
      </c>
      <c r="M1167" s="32">
        <v>116297009</v>
      </c>
      <c r="N1167" s="32">
        <v>116297009</v>
      </c>
      <c r="O1167" s="32">
        <v>115306009</v>
      </c>
      <c r="P1167" s="28" t="s">
        <v>34</v>
      </c>
      <c r="Q1167" s="28"/>
      <c r="R1167" s="30"/>
      <c r="S1167" s="30">
        <v>46000</v>
      </c>
      <c r="T1167" s="33"/>
      <c r="U1167" s="34" t="str">
        <f>IFERROR(_xlfn.XLOOKUP(E1167,[1]EMPREENDIMENTO!C:C,[1]EMPREENDIMENTO!D:D),"")</f>
        <v>5397CC6E-AF1C-F111-AC21-005056856875</v>
      </c>
    </row>
    <row r="1168" spans="1:21" hidden="1" x14ac:dyDescent="0.35">
      <c r="A1168" s="28" t="str">
        <f>IFERROR(_xlfn.XLOOKUP(C1168,[1]DIRETORIA!C:C,[1]DIRETORIA!A:A),"-")</f>
        <v>DIR. COM E CRED CO E AM</v>
      </c>
      <c r="B1168" s="28" t="str">
        <f>IFERROR(_xlfn.XLOOKUP(C1168,[1]DIRETORIA!C:C,[1]DIRETORIA!B:B),"-")</f>
        <v>GST. COM DF</v>
      </c>
      <c r="C1168" s="28" t="str">
        <f>IFERROR(_xlfn.XLOOKUP(E1168,[1]EMPREENDIMENTO!C:C,[1]EMPREENDIMENTO!A:A),"-")</f>
        <v>BRASÍLIA</v>
      </c>
      <c r="D1168" s="28" t="s">
        <v>85</v>
      </c>
      <c r="E1168" s="28" t="s">
        <v>2144</v>
      </c>
      <c r="F1168" s="28" t="s">
        <v>42</v>
      </c>
      <c r="G1168" s="28" t="s">
        <v>2145</v>
      </c>
      <c r="H1168" s="28">
        <v>60880</v>
      </c>
      <c r="I1168" s="29">
        <f>IFERROR(_xlfn.XLOOKUP(E1168,[1]EMPREENDIMENTO!C:C,[1]EMPREENDIMENTO!E:E),"0")</f>
        <v>240</v>
      </c>
      <c r="J1168" s="30"/>
      <c r="K1168" s="28" t="s">
        <v>33</v>
      </c>
      <c r="L1168" s="31">
        <v>46003</v>
      </c>
      <c r="M1168" s="32">
        <v>95132186</v>
      </c>
      <c r="N1168" s="32">
        <v>95132186</v>
      </c>
      <c r="O1168" s="32">
        <v>93519492</v>
      </c>
      <c r="P1168" s="28" t="s">
        <v>2</v>
      </c>
      <c r="Q1168" s="28">
        <v>875503</v>
      </c>
      <c r="R1168" s="30">
        <v>46286</v>
      </c>
      <c r="S1168" s="30"/>
      <c r="T1168" s="33"/>
      <c r="U1168" s="34" t="str">
        <f>IFERROR(_xlfn.XLOOKUP(E1168,[1]EMPREENDIMENTO!C:C,[1]EMPREENDIMENTO!D:D),"")</f>
        <v>D8DC845F-EDCB-E811-A4F5-80C16E075108</v>
      </c>
    </row>
    <row r="1169" spans="1:21" hidden="1" x14ac:dyDescent="0.35">
      <c r="A1169" s="28" t="str">
        <f>IFERROR(_xlfn.XLOOKUP(C1169,[1]DIRETORIA!C:C,[1]DIRETORIA!A:A),"-")</f>
        <v>DIR. COM E CRED NE</v>
      </c>
      <c r="B1169" s="28" t="str">
        <f>IFERROR(_xlfn.XLOOKUP(C1169,[1]DIRETORIA!C:C,[1]DIRETORIA!B:B),"-")</f>
        <v>GST. COM NE 3 (SE+AL)</v>
      </c>
      <c r="C1169" s="28" t="str">
        <f>IFERROR(_xlfn.XLOOKUP(E1169,[1]EMPREENDIMENTO!C:C,[1]EMPREENDIMENTO!A:A),"-")</f>
        <v>MACEIÓ</v>
      </c>
      <c r="D1169" s="28" t="s">
        <v>85</v>
      </c>
      <c r="E1169" s="28" t="s">
        <v>2146</v>
      </c>
      <c r="F1169" s="28" t="s">
        <v>42</v>
      </c>
      <c r="G1169" s="28" t="s">
        <v>2147</v>
      </c>
      <c r="H1169" s="28">
        <v>60274</v>
      </c>
      <c r="I1169" s="29">
        <f>IFERROR(_xlfn.XLOOKUP(E1169,[1]EMPREENDIMENTO!C:C,[1]EMPREENDIMENTO!E:E),"0")</f>
        <v>384</v>
      </c>
      <c r="J1169" s="30"/>
      <c r="K1169" s="28" t="s">
        <v>33</v>
      </c>
      <c r="L1169" s="31">
        <v>46162</v>
      </c>
      <c r="M1169" s="32">
        <v>141919196</v>
      </c>
      <c r="N1169" s="32">
        <v>149200398</v>
      </c>
      <c r="O1169" s="32">
        <v>147527944</v>
      </c>
      <c r="P1169" s="28" t="s">
        <v>34</v>
      </c>
      <c r="Q1169" s="28"/>
      <c r="R1169" s="30">
        <v>46181</v>
      </c>
      <c r="S1169" s="30">
        <v>46163</v>
      </c>
      <c r="T1169" s="33"/>
      <c r="U1169" s="34" t="str">
        <f>IFERROR(_xlfn.XLOOKUP(E1169,[1]EMPREENDIMENTO!C:C,[1]EMPREENDIMENTO!D:D),"")</f>
        <v>73087B95-E537-EF11-9E4D-009C02B0CB58</v>
      </c>
    </row>
    <row r="1170" spans="1:21" hidden="1" x14ac:dyDescent="0.35">
      <c r="A1170" s="28" t="str">
        <f>IFERROR(_xlfn.XLOOKUP(C1170,[1]DIRETORIA!C:C,[1]DIRETORIA!A:A),"-")</f>
        <v>DIR. COM E CRED NE</v>
      </c>
      <c r="B1170" s="28" t="str">
        <f>IFERROR(_xlfn.XLOOKUP(C1170,[1]DIRETORIA!C:C,[1]DIRETORIA!B:B),"-")</f>
        <v>GST. COM NE1 (BA 1)</v>
      </c>
      <c r="C1170" s="28" t="str">
        <f>IFERROR(_xlfn.XLOOKUP(E1170,[1]EMPREENDIMENTO!C:C,[1]EMPREENDIMENTO!A:A),"-")</f>
        <v>CAMAÇARI</v>
      </c>
      <c r="D1170" s="28" t="s">
        <v>29</v>
      </c>
      <c r="E1170" s="28" t="s">
        <v>2148</v>
      </c>
      <c r="F1170" s="28" t="s">
        <v>31</v>
      </c>
      <c r="G1170" s="28" t="s">
        <v>2149</v>
      </c>
      <c r="H1170" s="28">
        <v>30806</v>
      </c>
      <c r="I1170" s="29">
        <f>IFERROR(_xlfn.XLOOKUP(E1170,[1]EMPREENDIMENTO!C:C,[1]EMPREENDIMENTO!E:E),"0")</f>
        <v>440</v>
      </c>
      <c r="J1170" s="30"/>
      <c r="K1170" s="28" t="s">
        <v>33</v>
      </c>
      <c r="L1170" s="31">
        <v>46140</v>
      </c>
      <c r="M1170" s="32">
        <v>110435944</v>
      </c>
      <c r="N1170" s="32"/>
      <c r="O1170" s="32"/>
      <c r="P1170" s="28" t="s">
        <v>2</v>
      </c>
      <c r="Q1170" s="28" t="s">
        <v>2150</v>
      </c>
      <c r="R1170" s="30">
        <v>46289</v>
      </c>
      <c r="S1170" s="30"/>
      <c r="T1170" s="33"/>
      <c r="U1170" s="34" t="str">
        <f>IFERROR(_xlfn.XLOOKUP(E1170,[1]EMPREENDIMENTO!C:C,[1]EMPREENDIMENTO!D:D),"")</f>
        <v>DDB54B14-AABA-E811-A4F5-80C16E075108</v>
      </c>
    </row>
    <row r="1171" spans="1:21" hidden="1" x14ac:dyDescent="0.35">
      <c r="A1171" s="28" t="str">
        <f>IFERROR(_xlfn.XLOOKUP(C1171,[1]DIRETORIA!C:C,[1]DIRETORIA!A:A),"-")</f>
        <v>DIR. COM E CRED NE</v>
      </c>
      <c r="B1171" s="28" t="str">
        <f>IFERROR(_xlfn.XLOOKUP(C1171,[1]DIRETORIA!C:C,[1]DIRETORIA!B:B),"-")</f>
        <v>GST. COM NE1 (BA 1)</v>
      </c>
      <c r="C1171" s="28" t="str">
        <f>IFERROR(_xlfn.XLOOKUP(E1171,[1]EMPREENDIMENTO!C:C,[1]EMPREENDIMENTO!A:A),"-")</f>
        <v>CAMAÇARI</v>
      </c>
      <c r="D1171" s="28" t="s">
        <v>29</v>
      </c>
      <c r="E1171" s="28" t="s">
        <v>2148</v>
      </c>
      <c r="F1171" s="28" t="s">
        <v>36</v>
      </c>
      <c r="G1171" s="28" t="s">
        <v>2151</v>
      </c>
      <c r="H1171" s="28">
        <v>67153</v>
      </c>
      <c r="I1171" s="29">
        <f>IFERROR(_xlfn.XLOOKUP(E1171,[1]EMPREENDIMENTO!C:C,[1]EMPREENDIMENTO!E:E),"0")</f>
        <v>440</v>
      </c>
      <c r="J1171" s="30"/>
      <c r="K1171" s="28" t="s">
        <v>33</v>
      </c>
      <c r="L1171" s="31">
        <v>46140</v>
      </c>
      <c r="M1171" s="32">
        <v>110435944</v>
      </c>
      <c r="N1171" s="32"/>
      <c r="O1171" s="32"/>
      <c r="P1171" s="28" t="s">
        <v>2</v>
      </c>
      <c r="Q1171" s="28" t="s">
        <v>2150</v>
      </c>
      <c r="R1171" s="30">
        <v>46289</v>
      </c>
      <c r="S1171" s="30"/>
      <c r="T1171" s="33"/>
      <c r="U1171" s="34" t="str">
        <f>IFERROR(_xlfn.XLOOKUP(E1171,[1]EMPREENDIMENTO!C:C,[1]EMPREENDIMENTO!D:D),"")</f>
        <v>DDB54B14-AABA-E811-A4F5-80C16E075108</v>
      </c>
    </row>
    <row r="1172" spans="1:21" hidden="1" x14ac:dyDescent="0.35">
      <c r="A1172" s="28" t="str">
        <f>IFERROR(_xlfn.XLOOKUP(C1172,[1]DIRETORIA!C:C,[1]DIRETORIA!A:A),"-")</f>
        <v>DIR. COM E CRED NE</v>
      </c>
      <c r="B1172" s="28" t="str">
        <f>IFERROR(_xlfn.XLOOKUP(C1172,[1]DIRETORIA!C:C,[1]DIRETORIA!B:B),"-")</f>
        <v>GST. COM NE1 (BA 1)</v>
      </c>
      <c r="C1172" s="28" t="str">
        <f>IFERROR(_xlfn.XLOOKUP(E1172,[1]EMPREENDIMENTO!C:C,[1]EMPREENDIMENTO!A:A),"-")</f>
        <v>CAMAÇARI</v>
      </c>
      <c r="D1172" s="28" t="s">
        <v>85</v>
      </c>
      <c r="E1172" s="28" t="s">
        <v>2148</v>
      </c>
      <c r="F1172" s="28" t="s">
        <v>39</v>
      </c>
      <c r="G1172" s="28" t="s">
        <v>268</v>
      </c>
      <c r="H1172" s="28">
        <v>68319</v>
      </c>
      <c r="I1172" s="29">
        <f>IFERROR(_xlfn.XLOOKUP(E1172,[1]EMPREENDIMENTO!C:C,[1]EMPREENDIMENTO!E:E),"0")</f>
        <v>440</v>
      </c>
      <c r="J1172" s="30"/>
      <c r="K1172" s="28" t="s">
        <v>33</v>
      </c>
      <c r="L1172" s="31">
        <v>46140</v>
      </c>
      <c r="M1172" s="32">
        <v>110435944</v>
      </c>
      <c r="N1172" s="32"/>
      <c r="O1172" s="32"/>
      <c r="P1172" s="28" t="s">
        <v>2</v>
      </c>
      <c r="Q1172" s="28" t="s">
        <v>2150</v>
      </c>
      <c r="R1172" s="30">
        <v>46289</v>
      </c>
      <c r="S1172" s="30"/>
      <c r="T1172" s="33"/>
      <c r="U1172" s="34" t="str">
        <f>IFERROR(_xlfn.XLOOKUP(E1172,[1]EMPREENDIMENTO!C:C,[1]EMPREENDIMENTO!D:D),"")</f>
        <v>DDB54B14-AABA-E811-A4F5-80C16E075108</v>
      </c>
    </row>
    <row r="1173" spans="1:21" hidden="1" x14ac:dyDescent="0.35">
      <c r="A1173" s="28" t="str">
        <f>IFERROR(_xlfn.XLOOKUP(C1173,[1]DIRETORIA!C:C,[1]DIRETORIA!A:A),"-")</f>
        <v>DIR. COM E CRED CO E AM</v>
      </c>
      <c r="B1173" s="28" t="str">
        <f>IFERROR(_xlfn.XLOOKUP(C1173,[1]DIRETORIA!C:C,[1]DIRETORIA!B:B),"-")</f>
        <v>GST. COM GO</v>
      </c>
      <c r="C1173" s="28" t="str">
        <f>IFERROR(_xlfn.XLOOKUP(E1173,[1]EMPREENDIMENTO!C:C,[1]EMPREENDIMENTO!A:A),"-")</f>
        <v>ANÁPOLIS</v>
      </c>
      <c r="D1173" s="28" t="s">
        <v>85</v>
      </c>
      <c r="E1173" s="28" t="s">
        <v>2152</v>
      </c>
      <c r="F1173" s="28" t="s">
        <v>42</v>
      </c>
      <c r="G1173" s="28" t="s">
        <v>2153</v>
      </c>
      <c r="H1173" s="28">
        <v>61064</v>
      </c>
      <c r="I1173" s="29">
        <f>IFERROR(_xlfn.XLOOKUP(E1173,[1]EMPREENDIMENTO!C:C,[1]EMPREENDIMENTO!E:E),"0")</f>
        <v>420</v>
      </c>
      <c r="J1173" s="30"/>
      <c r="K1173" s="28" t="s">
        <v>33</v>
      </c>
      <c r="L1173" s="31">
        <v>46009</v>
      </c>
      <c r="M1173" s="32">
        <v>159472953</v>
      </c>
      <c r="N1173" s="32">
        <v>159472953</v>
      </c>
      <c r="O1173" s="32">
        <v>154220581</v>
      </c>
      <c r="P1173" s="28" t="s">
        <v>34</v>
      </c>
      <c r="Q1173" s="28"/>
      <c r="R1173" s="30"/>
      <c r="S1173" s="30">
        <v>46009</v>
      </c>
      <c r="T1173" s="33"/>
      <c r="U1173" s="34" t="str">
        <f>IFERROR(_xlfn.XLOOKUP(E1173,[1]EMPREENDIMENTO!C:C,[1]EMPREENDIMENTO!D:D),"")</f>
        <v>BD7BE40E-E4AE-E911-A3F3-005056856B6C</v>
      </c>
    </row>
    <row r="1174" spans="1:21" hidden="1" x14ac:dyDescent="0.35">
      <c r="A1174" s="28" t="str">
        <f>IFERROR(_xlfn.XLOOKUP(C1174,[1]DIRETORIA!C:C,[1]DIRETORIA!A:A),"-")</f>
        <v>DIR. COM E CRED SUL</v>
      </c>
      <c r="B1174" s="28" t="str">
        <f>IFERROR(_xlfn.XLOOKUP(C1174,[1]DIRETORIA!C:C,[1]DIRETORIA!B:B),"-")</f>
        <v>GST. COM LONDRINA</v>
      </c>
      <c r="C1174" s="28" t="str">
        <f>IFERROR(_xlfn.XLOOKUP(E1174,[1]EMPREENDIMENTO!C:C,[1]EMPREENDIMENTO!A:A),"-")</f>
        <v>LONDRINA</v>
      </c>
      <c r="D1174" s="28" t="s">
        <v>29</v>
      </c>
      <c r="E1174" s="28" t="s">
        <v>2154</v>
      </c>
      <c r="F1174" s="28" t="s">
        <v>31</v>
      </c>
      <c r="G1174" s="28" t="s">
        <v>2155</v>
      </c>
      <c r="H1174" s="28">
        <v>61065</v>
      </c>
      <c r="I1174" s="29">
        <f>IFERROR(_xlfn.XLOOKUP(E1174,[1]EMPREENDIMENTO!C:C,[1]EMPREENDIMENTO!E:E),"0")</f>
        <v>300</v>
      </c>
      <c r="J1174" s="30"/>
      <c r="K1174" s="28" t="s">
        <v>33</v>
      </c>
      <c r="L1174" s="31">
        <v>46156</v>
      </c>
      <c r="M1174" s="32">
        <v>99922030</v>
      </c>
      <c r="N1174" s="32">
        <v>104713030</v>
      </c>
      <c r="O1174" s="32">
        <v>102532000</v>
      </c>
      <c r="P1174" s="28" t="s">
        <v>34</v>
      </c>
      <c r="Q1174" s="28">
        <v>825948</v>
      </c>
      <c r="R1174" s="30">
        <v>46171</v>
      </c>
      <c r="S1174" s="30">
        <v>46157</v>
      </c>
      <c r="T1174" s="33" t="s">
        <v>2156</v>
      </c>
      <c r="U1174" s="34" t="str">
        <f>IFERROR(_xlfn.XLOOKUP(E1174,[1]EMPREENDIMENTO!C:C,[1]EMPREENDIMENTO!D:D),"")</f>
        <v>C862B7CC-1CB4-EB11-94B3-005056856875</v>
      </c>
    </row>
    <row r="1175" spans="1:21" hidden="1" x14ac:dyDescent="0.35">
      <c r="A1175" s="28" t="str">
        <f>IFERROR(_xlfn.XLOOKUP(C1175,[1]DIRETORIA!C:C,[1]DIRETORIA!A:A),"-")</f>
        <v>DIR. COM E CRED SUL</v>
      </c>
      <c r="B1175" s="28" t="str">
        <f>IFERROR(_xlfn.XLOOKUP(C1175,[1]DIRETORIA!C:C,[1]DIRETORIA!B:B),"-")</f>
        <v>GST. COM LONDRINA</v>
      </c>
      <c r="C1175" s="28" t="str">
        <f>IFERROR(_xlfn.XLOOKUP(E1175,[1]EMPREENDIMENTO!C:C,[1]EMPREENDIMENTO!A:A),"-")</f>
        <v>LONDRINA</v>
      </c>
      <c r="D1175" s="28" t="s">
        <v>85</v>
      </c>
      <c r="E1175" s="28" t="s">
        <v>2154</v>
      </c>
      <c r="F1175" s="28" t="s">
        <v>36</v>
      </c>
      <c r="G1175" s="28" t="s">
        <v>268</v>
      </c>
      <c r="H1175" s="28" t="s">
        <v>268</v>
      </c>
      <c r="I1175" s="29">
        <f>IFERROR(_xlfn.XLOOKUP(E1175,[1]EMPREENDIMENTO!C:C,[1]EMPREENDIMENTO!E:E),"0")</f>
        <v>300</v>
      </c>
      <c r="J1175" s="30"/>
      <c r="K1175" s="28" t="s">
        <v>33</v>
      </c>
      <c r="L1175" s="31">
        <v>46156</v>
      </c>
      <c r="M1175" s="32">
        <v>99922030</v>
      </c>
      <c r="N1175" s="32">
        <v>104713030</v>
      </c>
      <c r="O1175" s="32">
        <v>102532000</v>
      </c>
      <c r="P1175" s="28" t="s">
        <v>34</v>
      </c>
      <c r="Q1175" s="28">
        <v>825948</v>
      </c>
      <c r="R1175" s="30">
        <v>46171</v>
      </c>
      <c r="S1175" s="30">
        <v>46157</v>
      </c>
      <c r="T1175" s="33" t="s">
        <v>2156</v>
      </c>
      <c r="U1175" s="34" t="str">
        <f>IFERROR(_xlfn.XLOOKUP(E1175,[1]EMPREENDIMENTO!C:C,[1]EMPREENDIMENTO!D:D),"")</f>
        <v>C862B7CC-1CB4-EB11-94B3-005056856875</v>
      </c>
    </row>
    <row r="1176" spans="1:21" hidden="1" x14ac:dyDescent="0.35">
      <c r="A1176" s="28" t="str">
        <f>IFERROR(_xlfn.XLOOKUP(C1176,[1]DIRETORIA!C:C,[1]DIRETORIA!A:A),"-")</f>
        <v>DIR. COM E CRED CO E AM</v>
      </c>
      <c r="B1176" s="28" t="str">
        <f>IFERROR(_xlfn.XLOOKUP(C1176,[1]DIRETORIA!C:C,[1]DIRETORIA!B:B),"-")</f>
        <v>GST. COM TO</v>
      </c>
      <c r="C1176" s="28" t="str">
        <f>IFERROR(_xlfn.XLOOKUP(E1176,[1]EMPREENDIMENTO!C:C,[1]EMPREENDIMENTO!A:A),"-")</f>
        <v>PALMAS</v>
      </c>
      <c r="D1176" s="28" t="s">
        <v>29</v>
      </c>
      <c r="E1176" s="28" t="s">
        <v>2157</v>
      </c>
      <c r="F1176" s="28" t="s">
        <v>31</v>
      </c>
      <c r="G1176" s="28" t="s">
        <v>2158</v>
      </c>
      <c r="H1176" s="28">
        <v>61279</v>
      </c>
      <c r="I1176" s="29">
        <f>IFERROR(_xlfn.XLOOKUP(E1176,[1]EMPREENDIMENTO!C:C,[1]EMPREENDIMENTO!E:E),"0")</f>
        <v>432</v>
      </c>
      <c r="J1176" s="30"/>
      <c r="K1176" s="28" t="s">
        <v>33</v>
      </c>
      <c r="L1176" s="31">
        <v>46189</v>
      </c>
      <c r="M1176" s="32">
        <v>122174604</v>
      </c>
      <c r="N1176" s="32">
        <v>135134604</v>
      </c>
      <c r="O1176" s="32">
        <v>129715410</v>
      </c>
      <c r="P1176" s="28" t="s">
        <v>34</v>
      </c>
      <c r="Q1176" s="28" t="s">
        <v>2159</v>
      </c>
      <c r="R1176" s="30">
        <v>46192</v>
      </c>
      <c r="S1176" s="30">
        <v>46190</v>
      </c>
      <c r="T1176" s="33"/>
      <c r="U1176" s="34" t="str">
        <f>IFERROR(_xlfn.XLOOKUP(E1176,[1]EMPREENDIMENTO!C:C,[1]EMPREENDIMENTO!D:D),"")</f>
        <v>f2f97498-fba7-ef11-aaae-005056856875</v>
      </c>
    </row>
    <row r="1177" spans="1:21" hidden="1" x14ac:dyDescent="0.35">
      <c r="A1177" s="28" t="str">
        <f>IFERROR(_xlfn.XLOOKUP(C1177,[1]DIRETORIA!C:C,[1]DIRETORIA!A:A),"-")</f>
        <v>DIR. COM E CRED CO E AM</v>
      </c>
      <c r="B1177" s="28" t="str">
        <f>IFERROR(_xlfn.XLOOKUP(C1177,[1]DIRETORIA!C:C,[1]DIRETORIA!B:B),"-")</f>
        <v>GST. COM TO</v>
      </c>
      <c r="C1177" s="28" t="str">
        <f>IFERROR(_xlfn.XLOOKUP(E1177,[1]EMPREENDIMENTO!C:C,[1]EMPREENDIMENTO!A:A),"-")</f>
        <v>PALMAS</v>
      </c>
      <c r="D1177" s="28" t="s">
        <v>85</v>
      </c>
      <c r="E1177" s="28" t="s">
        <v>2157</v>
      </c>
      <c r="F1177" s="28" t="s">
        <v>36</v>
      </c>
      <c r="G1177" s="28" t="s">
        <v>2160</v>
      </c>
      <c r="H1177" s="28">
        <v>62800</v>
      </c>
      <c r="I1177" s="29">
        <f>IFERROR(_xlfn.XLOOKUP(E1177,[1]EMPREENDIMENTO!C:C,[1]EMPREENDIMENTO!E:E),"0")</f>
        <v>432</v>
      </c>
      <c r="J1177" s="30"/>
      <c r="K1177" s="28" t="s">
        <v>33</v>
      </c>
      <c r="L1177" s="31">
        <v>46189</v>
      </c>
      <c r="M1177" s="32">
        <v>122174604</v>
      </c>
      <c r="N1177" s="32">
        <v>135134604</v>
      </c>
      <c r="O1177" s="32">
        <v>129715410</v>
      </c>
      <c r="P1177" s="28" t="s">
        <v>34</v>
      </c>
      <c r="Q1177" s="28" t="s">
        <v>2159</v>
      </c>
      <c r="R1177" s="30">
        <v>46192</v>
      </c>
      <c r="S1177" s="30">
        <v>46190</v>
      </c>
      <c r="T1177" s="33"/>
      <c r="U1177" s="34" t="str">
        <f>IFERROR(_xlfn.XLOOKUP(E1177,[1]EMPREENDIMENTO!C:C,[1]EMPREENDIMENTO!D:D),"")</f>
        <v>f2f97498-fba7-ef11-aaae-005056856875</v>
      </c>
    </row>
    <row r="1178" spans="1:21" hidden="1" x14ac:dyDescent="0.35">
      <c r="A1178" s="28" t="str">
        <f>IFERROR(_xlfn.XLOOKUP(C1178,[1]DIRETORIA!C:C,[1]DIRETORIA!A:A),"-")</f>
        <v>DIR. COM E CRED CO E AM</v>
      </c>
      <c r="B1178" s="28" t="str">
        <f>IFERROR(_xlfn.XLOOKUP(C1178,[1]DIRETORIA!C:C,[1]DIRETORIA!B:B),"-")</f>
        <v>GST. COM MS</v>
      </c>
      <c r="C1178" s="28" t="str">
        <f>IFERROR(_xlfn.XLOOKUP(E1178,[1]EMPREENDIMENTO!C:C,[1]EMPREENDIMENTO!A:A),"-")</f>
        <v>CAMPO GRANDE</v>
      </c>
      <c r="D1178" s="28" t="s">
        <v>85</v>
      </c>
      <c r="E1178" s="28" t="s">
        <v>2161</v>
      </c>
      <c r="F1178" s="28" t="s">
        <v>31</v>
      </c>
      <c r="G1178" s="28" t="s">
        <v>2162</v>
      </c>
      <c r="H1178" s="28">
        <v>61411</v>
      </c>
      <c r="I1178" s="29">
        <f>IFERROR(_xlfn.XLOOKUP(E1178,[1]EMPREENDIMENTO!C:C,[1]EMPREENDIMENTO!E:E),"0")</f>
        <v>0</v>
      </c>
      <c r="J1178" s="30"/>
      <c r="K1178" s="28" t="s">
        <v>33</v>
      </c>
      <c r="L1178" s="31">
        <v>46034</v>
      </c>
      <c r="M1178" s="32">
        <v>126371533</v>
      </c>
      <c r="N1178" s="32">
        <v>126371533</v>
      </c>
      <c r="O1178" s="32">
        <v>124048540</v>
      </c>
      <c r="P1178" s="28" t="s">
        <v>34</v>
      </c>
      <c r="Q1178" s="28"/>
      <c r="R1178" s="30"/>
      <c r="S1178" s="30">
        <v>46035</v>
      </c>
      <c r="T1178" s="33"/>
      <c r="U1178" s="34" t="str">
        <f>IFERROR(_xlfn.XLOOKUP(E1178,[1]EMPREENDIMENTO!C:C,[1]EMPREENDIMENTO!D:D),"")</f>
        <v>1DC668ED-884F-EB11-85D0-005056856875</v>
      </c>
    </row>
    <row r="1179" spans="1:21" hidden="1" x14ac:dyDescent="0.35">
      <c r="A1179" s="28" t="str">
        <f>IFERROR(_xlfn.XLOOKUP(C1179,[1]DIRETORIA!C:C,[1]DIRETORIA!A:A),"-")</f>
        <v>DIR. COM E CRED CO E AM</v>
      </c>
      <c r="B1179" s="28" t="str">
        <f>IFERROR(_xlfn.XLOOKUP(C1179,[1]DIRETORIA!C:C,[1]DIRETORIA!B:B),"-")</f>
        <v>GST. COM MS</v>
      </c>
      <c r="C1179" s="28" t="str">
        <f>IFERROR(_xlfn.XLOOKUP(E1179,[1]EMPREENDIMENTO!C:C,[1]EMPREENDIMENTO!A:A),"-")</f>
        <v>CAMPO GRANDE</v>
      </c>
      <c r="D1179" s="28" t="s">
        <v>85</v>
      </c>
      <c r="E1179" s="28" t="s">
        <v>2161</v>
      </c>
      <c r="F1179" s="28" t="s">
        <v>36</v>
      </c>
      <c r="G1179" s="28" t="s">
        <v>268</v>
      </c>
      <c r="H1179" s="28">
        <v>68568</v>
      </c>
      <c r="I1179" s="29">
        <f>IFERROR(_xlfn.XLOOKUP(E1179,[1]EMPREENDIMENTO!C:C,[1]EMPREENDIMENTO!E:E),"0")</f>
        <v>0</v>
      </c>
      <c r="J1179" s="30"/>
      <c r="K1179" s="28" t="s">
        <v>33</v>
      </c>
      <c r="L1179" s="31">
        <v>46034</v>
      </c>
      <c r="M1179" s="32">
        <v>126371533</v>
      </c>
      <c r="N1179" s="32">
        <v>126371533</v>
      </c>
      <c r="O1179" s="32">
        <v>124048540</v>
      </c>
      <c r="P1179" s="28" t="s">
        <v>34</v>
      </c>
      <c r="Q1179" s="28"/>
      <c r="R1179" s="30"/>
      <c r="S1179" s="30">
        <v>46035</v>
      </c>
      <c r="T1179" s="33"/>
      <c r="U1179" s="34" t="str">
        <f>IFERROR(_xlfn.XLOOKUP(E1179,[1]EMPREENDIMENTO!C:C,[1]EMPREENDIMENTO!D:D),"")</f>
        <v>1DC668ED-884F-EB11-85D0-005056856875</v>
      </c>
    </row>
    <row r="1180" spans="1:21" hidden="1" x14ac:dyDescent="0.35">
      <c r="A1180" s="28" t="str">
        <f>IFERROR(_xlfn.XLOOKUP(C1180,[1]DIRETORIA!C:C,[1]DIRETORIA!A:A),"-")</f>
        <v>DIR. COM E CRED CO E AM</v>
      </c>
      <c r="B1180" s="28" t="str">
        <f>IFERROR(_xlfn.XLOOKUP(C1180,[1]DIRETORIA!C:C,[1]DIRETORIA!B:B),"-")</f>
        <v>GST. COM MS</v>
      </c>
      <c r="C1180" s="28" t="str">
        <f>IFERROR(_xlfn.XLOOKUP(E1180,[1]EMPREENDIMENTO!C:C,[1]EMPREENDIMENTO!A:A),"-")</f>
        <v>CAMPO GRANDE</v>
      </c>
      <c r="D1180" s="28" t="s">
        <v>85</v>
      </c>
      <c r="E1180" s="28" t="s">
        <v>2161</v>
      </c>
      <c r="F1180" s="28" t="s">
        <v>39</v>
      </c>
      <c r="G1180" s="28" t="s">
        <v>268</v>
      </c>
      <c r="H1180" s="28" t="s">
        <v>268</v>
      </c>
      <c r="I1180" s="29">
        <f>IFERROR(_xlfn.XLOOKUP(E1180,[1]EMPREENDIMENTO!C:C,[1]EMPREENDIMENTO!E:E),"0")</f>
        <v>0</v>
      </c>
      <c r="J1180" s="30"/>
      <c r="K1180" s="28" t="s">
        <v>33</v>
      </c>
      <c r="L1180" s="31">
        <v>46034</v>
      </c>
      <c r="M1180" s="32">
        <v>126371533</v>
      </c>
      <c r="N1180" s="32">
        <v>126371533</v>
      </c>
      <c r="O1180" s="32">
        <v>124048540</v>
      </c>
      <c r="P1180" s="28" t="s">
        <v>34</v>
      </c>
      <c r="Q1180" s="28"/>
      <c r="R1180" s="30"/>
      <c r="S1180" s="30">
        <v>46035</v>
      </c>
      <c r="T1180" s="33"/>
      <c r="U1180" s="34" t="str">
        <f>IFERROR(_xlfn.XLOOKUP(E1180,[1]EMPREENDIMENTO!C:C,[1]EMPREENDIMENTO!D:D),"")</f>
        <v>1DC668ED-884F-EB11-85D0-005056856875</v>
      </c>
    </row>
    <row r="1181" spans="1:21" hidden="1" x14ac:dyDescent="0.35">
      <c r="A1181" s="28" t="str">
        <f>IFERROR(_xlfn.XLOOKUP(C1181,[1]DIRETORIA!C:C,[1]DIRETORIA!A:A),"-")</f>
        <v>DIR. COM E CRED CO E AM</v>
      </c>
      <c r="B1181" s="28" t="str">
        <f>IFERROR(_xlfn.XLOOKUP(C1181,[1]DIRETORIA!C:C,[1]DIRETORIA!B:B),"-")</f>
        <v>GST. COM AM</v>
      </c>
      <c r="C1181" s="28" t="str">
        <f>IFERROR(_xlfn.XLOOKUP(E1181,[1]EMPREENDIMENTO!C:C,[1]EMPREENDIMENTO!A:A),"-")</f>
        <v>MANAUS</v>
      </c>
      <c r="D1181" s="28" t="s">
        <v>85</v>
      </c>
      <c r="E1181" s="28" t="s">
        <v>2163</v>
      </c>
      <c r="F1181" s="28" t="s">
        <v>42</v>
      </c>
      <c r="G1181" s="28" t="s">
        <v>2164</v>
      </c>
      <c r="H1181" s="28">
        <v>61661</v>
      </c>
      <c r="I1181" s="29">
        <f>IFERROR(_xlfn.XLOOKUP(E1181,[1]EMPREENDIMENTO!C:C,[1]EMPREENDIMENTO!E:E),"0")</f>
        <v>220</v>
      </c>
      <c r="J1181" s="30"/>
      <c r="K1181" s="28" t="s">
        <v>33</v>
      </c>
      <c r="L1181" s="31">
        <v>46056</v>
      </c>
      <c r="M1181" s="32">
        <v>110472259</v>
      </c>
      <c r="N1181" s="32">
        <v>110472259</v>
      </c>
      <c r="O1181" s="32">
        <v>94073950</v>
      </c>
      <c r="P1181" s="28" t="s">
        <v>34</v>
      </c>
      <c r="Q1181" s="28">
        <v>801550</v>
      </c>
      <c r="R1181" s="30">
        <v>46115</v>
      </c>
      <c r="S1181" s="30">
        <v>46115</v>
      </c>
      <c r="T1181" s="33" t="s">
        <v>2165</v>
      </c>
      <c r="U1181" s="34" t="str">
        <f>IFERROR(_xlfn.XLOOKUP(E1181,[1]EMPREENDIMENTO!C:C,[1]EMPREENDIMENTO!D:D),"")</f>
        <v>29805E2A-6E62-E711-91B2-80C16E075108</v>
      </c>
    </row>
    <row r="1182" spans="1:21" hidden="1" x14ac:dyDescent="0.35">
      <c r="A1182" s="28" t="str">
        <f>IFERROR(_xlfn.XLOOKUP(C1182,[1]DIRETORIA!C:C,[1]DIRETORIA!A:A),"-")</f>
        <v>DIR. COM E CRED SP E VL</v>
      </c>
      <c r="B1182" s="28" t="str">
        <f>IFERROR(_xlfn.XLOOKUP(C1182,[1]DIRETORIA!C:C,[1]DIRETORIA!B:B),"-")</f>
        <v>GST. COM VL1</v>
      </c>
      <c r="C1182" s="28" t="str">
        <f>IFERROR(_xlfn.XLOOKUP(E1182,[1]EMPREENDIMENTO!C:C,[1]EMPREENDIMENTO!A:A),"-")</f>
        <v>SÃO JOSÉ DOS CAMPOS</v>
      </c>
      <c r="D1182" s="28" t="s">
        <v>29</v>
      </c>
      <c r="E1182" s="28" t="s">
        <v>2166</v>
      </c>
      <c r="F1182" s="28" t="s">
        <v>42</v>
      </c>
      <c r="G1182" s="28" t="s">
        <v>2167</v>
      </c>
      <c r="H1182" s="28">
        <v>61514</v>
      </c>
      <c r="I1182" s="29">
        <f>IFERROR(_xlfn.XLOOKUP(E1182,[1]EMPREENDIMENTO!C:C,[1]EMPREENDIMENTO!E:E),"0")</f>
        <v>288</v>
      </c>
      <c r="J1182" s="30"/>
      <c r="K1182" s="28" t="s">
        <v>2168</v>
      </c>
      <c r="L1182" s="31">
        <v>46057</v>
      </c>
      <c r="M1182" s="32">
        <v>98205355</v>
      </c>
      <c r="N1182" s="32">
        <v>98205355</v>
      </c>
      <c r="O1182" s="32">
        <v>96312000</v>
      </c>
      <c r="P1182" s="28" t="s">
        <v>34</v>
      </c>
      <c r="Q1182" s="28"/>
      <c r="R1182" s="30"/>
      <c r="S1182" s="30">
        <v>46177</v>
      </c>
      <c r="T1182" s="33"/>
      <c r="U1182" s="34" t="str">
        <f>IFERROR(_xlfn.XLOOKUP(E1182,[1]EMPREENDIMENTO!C:C,[1]EMPREENDIMENTO!D:D),"")</f>
        <v>026641C3-AF6A-E911-90BB-80C16E075108</v>
      </c>
    </row>
    <row r="1183" spans="1:21" hidden="1" x14ac:dyDescent="0.35">
      <c r="A1183" s="28" t="str">
        <f>IFERROR(_xlfn.XLOOKUP(C1183,[1]DIRETORIA!C:C,[1]DIRETORIA!A:A),"-")</f>
        <v>DIR. COM E CRED RJ</v>
      </c>
      <c r="B1183" s="28" t="str">
        <f>IFERROR(_xlfn.XLOOKUP(C1183,[1]DIRETORIA!C:C,[1]DIRETORIA!B:B),"-")</f>
        <v>GST. COM RJ2</v>
      </c>
      <c r="C1183" s="28" t="str">
        <f>IFERROR(_xlfn.XLOOKUP(E1183,[1]EMPREENDIMENTO!C:C,[1]EMPREENDIMENTO!A:A),"-")</f>
        <v>SÃO GONÇALO</v>
      </c>
      <c r="D1183" s="28" t="s">
        <v>85</v>
      </c>
      <c r="E1183" s="28" t="s">
        <v>2169</v>
      </c>
      <c r="F1183" s="28" t="s">
        <v>42</v>
      </c>
      <c r="G1183" s="28" t="s">
        <v>2170</v>
      </c>
      <c r="H1183" s="28">
        <v>61653</v>
      </c>
      <c r="I1183" s="29">
        <f>IFERROR(_xlfn.XLOOKUP(E1183,[1]EMPREENDIMENTO!C:C,[1]EMPREENDIMENTO!E:E),"0")</f>
        <v>0</v>
      </c>
      <c r="J1183" s="30"/>
      <c r="K1183" s="28" t="s">
        <v>33</v>
      </c>
      <c r="L1183" s="31">
        <v>46169</v>
      </c>
      <c r="M1183" s="32">
        <v>100489872</v>
      </c>
      <c r="N1183" s="32">
        <v>100489872</v>
      </c>
      <c r="O1183" s="32">
        <v>91091000</v>
      </c>
      <c r="P1183" s="28" t="s">
        <v>34</v>
      </c>
      <c r="Q1183" s="28">
        <v>785279</v>
      </c>
      <c r="R1183" s="30">
        <v>46100</v>
      </c>
      <c r="S1183" s="30">
        <v>46086</v>
      </c>
      <c r="T1183" s="33"/>
      <c r="U1183" s="34" t="str">
        <f>IFERROR(_xlfn.XLOOKUP(E1183,[1]EMPREENDIMENTO!C:C,[1]EMPREENDIMENTO!D:D),"")</f>
        <v>151EA096-F190-ED11-98D9-009C02B0CB58</v>
      </c>
    </row>
    <row r="1184" spans="1:21" hidden="1" x14ac:dyDescent="0.35">
      <c r="A1184" s="28" t="str">
        <f>IFERROR(_xlfn.XLOOKUP(C1184,[1]DIRETORIA!C:C,[1]DIRETORIA!A:A),"-")</f>
        <v>DIR. COM E CRED RJ</v>
      </c>
      <c r="B1184" s="28" t="str">
        <f>IFERROR(_xlfn.XLOOKUP(C1184,[1]DIRETORIA!C:C,[1]DIRETORIA!B:B),"-")</f>
        <v>GST. COM RJ1</v>
      </c>
      <c r="C1184" s="28" t="str">
        <f>IFERROR(_xlfn.XLOOKUP(E1184,[1]EMPREENDIMENTO!C:C,[1]EMPREENDIMENTO!A:A),"-")</f>
        <v>RIO DE JANEIRO</v>
      </c>
      <c r="D1184" s="28" t="s">
        <v>85</v>
      </c>
      <c r="E1184" s="28" t="s">
        <v>2171</v>
      </c>
      <c r="F1184" s="28" t="s">
        <v>42</v>
      </c>
      <c r="G1184" s="28" t="s">
        <v>2172</v>
      </c>
      <c r="H1184" s="28">
        <v>61172</v>
      </c>
      <c r="I1184" s="29">
        <f>IFERROR(_xlfn.XLOOKUP(E1184,[1]EMPREENDIMENTO!C:C,[1]EMPREENDIMENTO!E:E),"0")</f>
        <v>432</v>
      </c>
      <c r="J1184" s="30"/>
      <c r="K1184" s="28" t="s">
        <v>33</v>
      </c>
      <c r="L1184" s="31">
        <v>46091</v>
      </c>
      <c r="M1184" s="32">
        <v>150851282</v>
      </c>
      <c r="N1184" s="32">
        <v>150851282</v>
      </c>
      <c r="O1184" s="32">
        <v>145984315</v>
      </c>
      <c r="P1184" s="28" t="s">
        <v>34</v>
      </c>
      <c r="Q1184" s="28"/>
      <c r="R1184" s="30"/>
      <c r="S1184" s="30">
        <v>46064</v>
      </c>
      <c r="T1184" s="33"/>
      <c r="U1184" s="34" t="str">
        <f>IFERROR(_xlfn.XLOOKUP(E1184,[1]EMPREENDIMENTO!C:C,[1]EMPREENDIMENTO!D:D),"")</f>
        <v>E2215E0C-A9C6-E511-9CC2-009C02B0CB58</v>
      </c>
    </row>
    <row r="1185" spans="1:21" hidden="1" x14ac:dyDescent="0.35">
      <c r="A1185" s="28" t="s">
        <v>2173</v>
      </c>
      <c r="B1185" s="28" t="s">
        <v>2174</v>
      </c>
      <c r="C1185" s="28" t="s">
        <v>2175</v>
      </c>
      <c r="D1185" s="28" t="s">
        <v>85</v>
      </c>
      <c r="E1185" s="28" t="s">
        <v>2176</v>
      </c>
      <c r="F1185" s="28" t="s">
        <v>42</v>
      </c>
      <c r="G1185" s="28" t="s">
        <v>2177</v>
      </c>
      <c r="H1185" s="28">
        <v>33953</v>
      </c>
      <c r="I1185" s="29">
        <f>IFERROR(_xlfn.XLOOKUP(E1185,[1]EMPREENDIMENTO!C:C,[1]EMPREENDIMENTO!E:E),"0")</f>
        <v>0</v>
      </c>
      <c r="J1185" s="30"/>
      <c r="K1185" s="28" t="s">
        <v>33</v>
      </c>
      <c r="L1185" s="31">
        <v>45534</v>
      </c>
      <c r="M1185" s="32">
        <v>87165000</v>
      </c>
      <c r="N1185" s="32">
        <v>87165000</v>
      </c>
      <c r="O1185" s="32">
        <v>82101100</v>
      </c>
      <c r="P1185" s="28" t="s">
        <v>34</v>
      </c>
      <c r="Q1185" s="28" t="s">
        <v>2178</v>
      </c>
      <c r="R1185" s="30"/>
      <c r="S1185" s="30">
        <v>45538</v>
      </c>
      <c r="T1185" s="33" t="s">
        <v>2178</v>
      </c>
      <c r="U1185" s="34" t="str">
        <f>IFERROR(_xlfn.XLOOKUP(E1185,[1]EMPREENDIMENTO!C:C,[1]EMPREENDIMENTO!D:D),"")</f>
        <v>782E5F0C-56C8-EA11-BEEB-005056856875</v>
      </c>
    </row>
    <row r="1186" spans="1:21" hidden="1" x14ac:dyDescent="0.35">
      <c r="A1186" s="28" t="s">
        <v>2173</v>
      </c>
      <c r="B1186" s="28" t="s">
        <v>2174</v>
      </c>
      <c r="C1186" s="28" t="s">
        <v>2179</v>
      </c>
      <c r="D1186" s="28" t="s">
        <v>29</v>
      </c>
      <c r="E1186" s="28" t="s">
        <v>2180</v>
      </c>
      <c r="F1186" s="28" t="s">
        <v>31</v>
      </c>
      <c r="G1186" s="28" t="s">
        <v>2181</v>
      </c>
      <c r="H1186" s="28">
        <v>40045</v>
      </c>
      <c r="I1186" s="29">
        <f>IFERROR(_xlfn.XLOOKUP(E1186,[1]EMPREENDIMENTO!C:C,[1]EMPREENDIMENTO!E:E),"0")</f>
        <v>176</v>
      </c>
      <c r="J1186" s="30">
        <v>46566</v>
      </c>
      <c r="K1186" s="28" t="s">
        <v>164</v>
      </c>
      <c r="L1186" s="31">
        <v>46104</v>
      </c>
      <c r="M1186" s="32">
        <v>39765800</v>
      </c>
      <c r="N1186" s="32">
        <v>42384641</v>
      </c>
      <c r="O1186" s="32">
        <v>41238111</v>
      </c>
      <c r="P1186" s="28" t="s">
        <v>34</v>
      </c>
      <c r="Q1186" s="28" t="s">
        <v>2182</v>
      </c>
      <c r="R1186" s="30">
        <v>46101</v>
      </c>
      <c r="S1186" s="30">
        <v>46104</v>
      </c>
      <c r="T1186" s="33" t="s">
        <v>2178</v>
      </c>
      <c r="U1186" s="34" t="str">
        <f>IFERROR(_xlfn.XLOOKUP(E1186,[1]EMPREENDIMENTO!C:C,[1]EMPREENDIMENTO!D:D),"")</f>
        <v>b432ee77-6308-ed11-b1ad-005056856875</v>
      </c>
    </row>
    <row r="1187" spans="1:21" hidden="1" x14ac:dyDescent="0.35">
      <c r="A1187" s="28" t="s">
        <v>2173</v>
      </c>
      <c r="B1187" s="28" t="s">
        <v>2174</v>
      </c>
      <c r="C1187" s="28" t="s">
        <v>2179</v>
      </c>
      <c r="D1187" s="28" t="s">
        <v>29</v>
      </c>
      <c r="E1187" s="28" t="s">
        <v>2180</v>
      </c>
      <c r="F1187" s="28" t="s">
        <v>36</v>
      </c>
      <c r="G1187" s="28" t="s">
        <v>2183</v>
      </c>
      <c r="H1187" s="28">
        <v>45541</v>
      </c>
      <c r="I1187" s="29">
        <f>IFERROR(_xlfn.XLOOKUP(E1187,[1]EMPREENDIMENTO!C:C,[1]EMPREENDIMENTO!E:E),"0")</f>
        <v>176</v>
      </c>
      <c r="J1187" s="30">
        <v>46566</v>
      </c>
      <c r="K1187" s="28" t="s">
        <v>164</v>
      </c>
      <c r="L1187" s="31">
        <v>46104</v>
      </c>
      <c r="M1187" s="32">
        <v>39765800</v>
      </c>
      <c r="N1187" s="32">
        <v>42384641</v>
      </c>
      <c r="O1187" s="32">
        <v>41238111</v>
      </c>
      <c r="P1187" s="28" t="s">
        <v>34</v>
      </c>
      <c r="Q1187" s="28" t="s">
        <v>2182</v>
      </c>
      <c r="R1187" s="30">
        <v>46101</v>
      </c>
      <c r="S1187" s="30">
        <v>46104</v>
      </c>
      <c r="T1187" s="33" t="s">
        <v>2178</v>
      </c>
      <c r="U1187" s="34" t="str">
        <f>IFERROR(_xlfn.XLOOKUP(E1187,[1]EMPREENDIMENTO!C:C,[1]EMPREENDIMENTO!D:D),"")</f>
        <v>b432ee77-6308-ed11-b1ad-005056856875</v>
      </c>
    </row>
    <row r="1188" spans="1:21" hidden="1" x14ac:dyDescent="0.35">
      <c r="A1188" s="28" t="str">
        <f>IFERROR(_xlfn.XLOOKUP(C1188,[1]DIRETORIA!C:C,[1]DIRETORIA!A:A),"-")</f>
        <v>DIR. COM E CRED SP E VL</v>
      </c>
      <c r="B1188" s="28" t="str">
        <f>IFERROR(_xlfn.XLOOKUP(C1188,[1]DIRETORIA!C:C,[1]DIRETORIA!B:B),"-")</f>
        <v>GST. COM SP2</v>
      </c>
      <c r="C1188" s="28" t="str">
        <f>IFERROR(_xlfn.XLOOKUP(E1188,[1]EMPREENDIMENTO!C:C,[1]EMPREENDIMENTO!A:A),"-")</f>
        <v>SÃO PAULO</v>
      </c>
      <c r="D1188" s="28" t="s">
        <v>85</v>
      </c>
      <c r="E1188" s="28" t="s">
        <v>2184</v>
      </c>
      <c r="F1188" s="28" t="s">
        <v>42</v>
      </c>
      <c r="G1188" s="28" t="s">
        <v>2185</v>
      </c>
      <c r="H1188" s="28">
        <v>61651</v>
      </c>
      <c r="I1188" s="29">
        <f>IFERROR(_xlfn.XLOOKUP(E1188,[1]EMPREENDIMENTO!C:C,[1]EMPREENDIMENTO!E:E),"0")</f>
        <v>0</v>
      </c>
      <c r="J1188" s="30"/>
      <c r="K1188" s="28" t="s">
        <v>33</v>
      </c>
      <c r="L1188" s="31">
        <v>46100</v>
      </c>
      <c r="M1188" s="32">
        <v>211284943</v>
      </c>
      <c r="N1188" s="32">
        <v>211284943</v>
      </c>
      <c r="O1188" s="32">
        <v>210846449</v>
      </c>
      <c r="P1188" s="28" t="s">
        <v>34</v>
      </c>
      <c r="Q1188" s="28"/>
      <c r="R1188" s="30"/>
      <c r="S1188" s="30">
        <v>46067</v>
      </c>
      <c r="T1188" s="33"/>
      <c r="U1188" s="34" t="str">
        <f>IFERROR(_xlfn.XLOOKUP(E1188,[1]EMPREENDIMENTO!C:C,[1]EMPREENDIMENTO!D:D),"")</f>
        <v>2D002E71-0C7B-ED11-9E0C-00505685534B</v>
      </c>
    </row>
    <row r="1189" spans="1:21" hidden="1" x14ac:dyDescent="0.35">
      <c r="A1189" s="28" t="str">
        <f>IFERROR(_xlfn.XLOOKUP(C1189,[1]DIRETORIA!C:C,[1]DIRETORIA!A:A),"-")</f>
        <v>DIR. COM E CRED CO E AM</v>
      </c>
      <c r="B1189" s="28" t="str">
        <f>IFERROR(_xlfn.XLOOKUP(C1189,[1]DIRETORIA!C:C,[1]DIRETORIA!B:B),"-")</f>
        <v>GST. COM GO</v>
      </c>
      <c r="C1189" s="28" t="str">
        <f>IFERROR(_xlfn.XLOOKUP(E1189,[1]EMPREENDIMENTO!C:C,[1]EMPREENDIMENTO!A:A),"-")</f>
        <v>APARECIDA DE GOIÂNIA</v>
      </c>
      <c r="D1189" s="28" t="s">
        <v>29</v>
      </c>
      <c r="E1189" s="28" t="s">
        <v>2186</v>
      </c>
      <c r="F1189" s="28" t="s">
        <v>31</v>
      </c>
      <c r="G1189" s="28" t="s">
        <v>2187</v>
      </c>
      <c r="H1189" s="28">
        <v>60859</v>
      </c>
      <c r="I1189" s="29">
        <f>IFERROR(_xlfn.XLOOKUP(E1189,[1]EMPREENDIMENTO!C:C,[1]EMPREENDIMENTO!E:E),"0")</f>
        <v>512</v>
      </c>
      <c r="J1189" s="30"/>
      <c r="K1189" s="28" t="s">
        <v>164</v>
      </c>
      <c r="L1189" s="31">
        <v>46107</v>
      </c>
      <c r="M1189" s="32">
        <v>133712740</v>
      </c>
      <c r="N1189" s="32">
        <v>133712740</v>
      </c>
      <c r="O1189" s="32">
        <v>133696300</v>
      </c>
      <c r="P1189" s="28" t="s">
        <v>34</v>
      </c>
      <c r="Q1189" s="28">
        <v>809237</v>
      </c>
      <c r="R1189" s="30">
        <v>46132</v>
      </c>
      <c r="S1189" s="30">
        <v>46107</v>
      </c>
      <c r="T1189" s="33"/>
      <c r="U1189" s="34" t="str">
        <f>IFERROR(_xlfn.XLOOKUP(E1189,[1]EMPREENDIMENTO!C:C,[1]EMPREENDIMENTO!D:D),"")</f>
        <v>E073EC03-3866-E711-8E92-009C02B0CB58</v>
      </c>
    </row>
    <row r="1190" spans="1:21" hidden="1" x14ac:dyDescent="0.35">
      <c r="A1190" s="28" t="str">
        <f>IFERROR(_xlfn.XLOOKUP(C1190,[1]DIRETORIA!C:C,[1]DIRETORIA!A:A),"-")</f>
        <v>DIR. COM E CRED CO E AM</v>
      </c>
      <c r="B1190" s="28" t="str">
        <f>IFERROR(_xlfn.XLOOKUP(C1190,[1]DIRETORIA!C:C,[1]DIRETORIA!B:B),"-")</f>
        <v>GST. COM GO</v>
      </c>
      <c r="C1190" s="28" t="str">
        <f>IFERROR(_xlfn.XLOOKUP(E1190,[1]EMPREENDIMENTO!C:C,[1]EMPREENDIMENTO!A:A),"-")</f>
        <v>APARECIDA DE GOIÂNIA</v>
      </c>
      <c r="D1190" s="28" t="s">
        <v>29</v>
      </c>
      <c r="E1190" s="28" t="s">
        <v>2186</v>
      </c>
      <c r="F1190" s="28" t="s">
        <v>36</v>
      </c>
      <c r="G1190" s="28" t="s">
        <v>2188</v>
      </c>
      <c r="H1190" s="28">
        <v>67587</v>
      </c>
      <c r="I1190" s="29">
        <f>IFERROR(_xlfn.XLOOKUP(E1190,[1]EMPREENDIMENTO!C:C,[1]EMPREENDIMENTO!E:E),"0")</f>
        <v>512</v>
      </c>
      <c r="J1190" s="30"/>
      <c r="K1190" s="28" t="s">
        <v>164</v>
      </c>
      <c r="L1190" s="31">
        <v>46107</v>
      </c>
      <c r="M1190" s="32">
        <v>133712740</v>
      </c>
      <c r="N1190" s="32">
        <v>133712740</v>
      </c>
      <c r="O1190" s="32">
        <v>133696300</v>
      </c>
      <c r="P1190" s="28" t="s">
        <v>34</v>
      </c>
      <c r="Q1190" s="28">
        <v>809237</v>
      </c>
      <c r="R1190" s="30">
        <v>46132</v>
      </c>
      <c r="S1190" s="30">
        <v>46107</v>
      </c>
      <c r="T1190" s="33"/>
      <c r="U1190" s="34" t="str">
        <f>IFERROR(_xlfn.XLOOKUP(E1190,[1]EMPREENDIMENTO!C:C,[1]EMPREENDIMENTO!D:D),"")</f>
        <v>E073EC03-3866-E711-8E92-009C02B0CB58</v>
      </c>
    </row>
    <row r="1191" spans="1:21" hidden="1" x14ac:dyDescent="0.35">
      <c r="A1191" s="28" t="str">
        <f>IFERROR(_xlfn.XLOOKUP(C1191,[1]DIRETORIA!C:C,[1]DIRETORIA!A:A),"-")</f>
        <v>DIR. COM E CRED CO E AM</v>
      </c>
      <c r="B1191" s="28" t="str">
        <f>IFERROR(_xlfn.XLOOKUP(C1191,[1]DIRETORIA!C:C,[1]DIRETORIA!B:B),"-")</f>
        <v>GST. COM GO</v>
      </c>
      <c r="C1191" s="28" t="str">
        <f>IFERROR(_xlfn.XLOOKUP(E1191,[1]EMPREENDIMENTO!C:C,[1]EMPREENDIMENTO!A:A),"-")</f>
        <v>APARECIDA DE GOIÂNIA</v>
      </c>
      <c r="D1191" s="28" t="s">
        <v>85</v>
      </c>
      <c r="E1191" s="28" t="s">
        <v>2186</v>
      </c>
      <c r="F1191" s="28" t="s">
        <v>39</v>
      </c>
      <c r="G1191" s="28" t="s">
        <v>268</v>
      </c>
      <c r="H1191" s="28" t="s">
        <v>268</v>
      </c>
      <c r="I1191" s="29">
        <f>IFERROR(_xlfn.XLOOKUP(E1191,[1]EMPREENDIMENTO!C:C,[1]EMPREENDIMENTO!E:E),"0")</f>
        <v>512</v>
      </c>
      <c r="J1191" s="30"/>
      <c r="K1191" s="28" t="s">
        <v>164</v>
      </c>
      <c r="L1191" s="31">
        <v>46107</v>
      </c>
      <c r="M1191" s="32">
        <v>133712740</v>
      </c>
      <c r="N1191" s="32">
        <v>133712740</v>
      </c>
      <c r="O1191" s="32">
        <v>133696300</v>
      </c>
      <c r="P1191" s="28" t="s">
        <v>34</v>
      </c>
      <c r="Q1191" s="28">
        <v>809237</v>
      </c>
      <c r="R1191" s="30">
        <v>46132</v>
      </c>
      <c r="S1191" s="30">
        <v>46107</v>
      </c>
      <c r="T1191" s="33"/>
      <c r="U1191" s="34" t="str">
        <f>IFERROR(_xlfn.XLOOKUP(E1191,[1]EMPREENDIMENTO!C:C,[1]EMPREENDIMENTO!D:D),"")</f>
        <v>E073EC03-3866-E711-8E92-009C02B0CB58</v>
      </c>
    </row>
    <row r="1192" spans="1:21" hidden="1" x14ac:dyDescent="0.35">
      <c r="A1192" s="28" t="str">
        <f>IFERROR(_xlfn.XLOOKUP(C1192,[1]DIRETORIA!C:C,[1]DIRETORIA!A:A),"-")</f>
        <v>DIR. COM E CRED CO E AM</v>
      </c>
      <c r="B1192" s="28" t="str">
        <f>IFERROR(_xlfn.XLOOKUP(C1192,[1]DIRETORIA!C:C,[1]DIRETORIA!B:B),"-")</f>
        <v>GST. COM GO</v>
      </c>
      <c r="C1192" s="28" t="str">
        <f>IFERROR(_xlfn.XLOOKUP(E1192,[1]EMPREENDIMENTO!C:C,[1]EMPREENDIMENTO!A:A),"-")</f>
        <v>APARECIDA DE GOIÂNIA</v>
      </c>
      <c r="D1192" s="28" t="s">
        <v>85</v>
      </c>
      <c r="E1192" s="28" t="s">
        <v>2186</v>
      </c>
      <c r="F1192" s="28" t="s">
        <v>50</v>
      </c>
      <c r="G1192" s="28" t="s">
        <v>268</v>
      </c>
      <c r="H1192" s="28" t="s">
        <v>268</v>
      </c>
      <c r="I1192" s="29">
        <f>IFERROR(_xlfn.XLOOKUP(E1192,[1]EMPREENDIMENTO!C:C,[1]EMPREENDIMENTO!E:E),"0")</f>
        <v>512</v>
      </c>
      <c r="J1192" s="30"/>
      <c r="K1192" s="28" t="s">
        <v>164</v>
      </c>
      <c r="L1192" s="31">
        <v>46107</v>
      </c>
      <c r="M1192" s="32">
        <v>133712740</v>
      </c>
      <c r="N1192" s="32">
        <v>133712740</v>
      </c>
      <c r="O1192" s="32">
        <v>133696300</v>
      </c>
      <c r="P1192" s="28" t="s">
        <v>34</v>
      </c>
      <c r="Q1192" s="28">
        <v>809237</v>
      </c>
      <c r="R1192" s="30">
        <v>46132</v>
      </c>
      <c r="S1192" s="30">
        <v>46107</v>
      </c>
      <c r="T1192" s="33"/>
      <c r="U1192" s="34" t="str">
        <f>IFERROR(_xlfn.XLOOKUP(E1192,[1]EMPREENDIMENTO!C:C,[1]EMPREENDIMENTO!D:D),"")</f>
        <v>E073EC03-3866-E711-8E92-009C02B0CB58</v>
      </c>
    </row>
    <row r="1193" spans="1:21" hidden="1" x14ac:dyDescent="0.35">
      <c r="A1193" s="28" t="str">
        <f>IFERROR(_xlfn.XLOOKUP(C1193,[1]DIRETORIA!C:C,[1]DIRETORIA!A:A),"-")</f>
        <v>DIR. COM E CRED CO E AM</v>
      </c>
      <c r="B1193" s="28" t="str">
        <f>IFERROR(_xlfn.XLOOKUP(C1193,[1]DIRETORIA!C:C,[1]DIRETORIA!B:B),"-")</f>
        <v>GST. COM MS</v>
      </c>
      <c r="C1193" s="28" t="str">
        <f>IFERROR(_xlfn.XLOOKUP(E1193,[1]EMPREENDIMENTO!C:C,[1]EMPREENDIMENTO!A:A),"-")</f>
        <v>CAMPO GRANDE</v>
      </c>
      <c r="D1193" s="28" t="s">
        <v>29</v>
      </c>
      <c r="E1193" s="28" t="s">
        <v>2189</v>
      </c>
      <c r="F1193" s="28" t="s">
        <v>31</v>
      </c>
      <c r="G1193" s="28" t="s">
        <v>2190</v>
      </c>
      <c r="H1193" s="28">
        <v>54509</v>
      </c>
      <c r="I1193" s="29">
        <f>IFERROR(_xlfn.XLOOKUP(E1193,[1]EMPREENDIMENTO!C:C,[1]EMPREENDIMENTO!E:E),"0")</f>
        <v>240</v>
      </c>
      <c r="J1193" s="30"/>
      <c r="K1193" s="28" t="s">
        <v>33</v>
      </c>
      <c r="L1193" s="31">
        <v>46149</v>
      </c>
      <c r="M1193" s="32">
        <v>61978000</v>
      </c>
      <c r="N1193" s="32"/>
      <c r="O1193" s="32"/>
      <c r="P1193" s="28" t="s">
        <v>2</v>
      </c>
      <c r="Q1193" s="28" t="s">
        <v>2191</v>
      </c>
      <c r="R1193" s="30">
        <v>46290</v>
      </c>
      <c r="S1193" s="30"/>
      <c r="T1193" s="33"/>
      <c r="U1193" s="34" t="str">
        <f>IFERROR(_xlfn.XLOOKUP(E1193,[1]EMPREENDIMENTO!C:C,[1]EMPREENDIMENTO!D:D),"")</f>
        <v>eac9c608-fac3-ed11-879a-80c16e075108</v>
      </c>
    </row>
    <row r="1194" spans="1:21" hidden="1" x14ac:dyDescent="0.35">
      <c r="A1194" s="28" t="str">
        <f>IFERROR(_xlfn.XLOOKUP(C1194,[1]DIRETORIA!C:C,[1]DIRETORIA!A:A),"-")</f>
        <v>DIR. COM E CRED CO E AM</v>
      </c>
      <c r="B1194" s="28" t="str">
        <f>IFERROR(_xlfn.XLOOKUP(C1194,[1]DIRETORIA!C:C,[1]DIRETORIA!B:B),"-")</f>
        <v>GST. COM MS</v>
      </c>
      <c r="C1194" s="28" t="str">
        <f>IFERROR(_xlfn.XLOOKUP(E1194,[1]EMPREENDIMENTO!C:C,[1]EMPREENDIMENTO!A:A),"-")</f>
        <v>CAMPO GRANDE</v>
      </c>
      <c r="D1194" s="28" t="s">
        <v>29</v>
      </c>
      <c r="E1194" s="28" t="s">
        <v>2189</v>
      </c>
      <c r="F1194" s="28" t="s">
        <v>36</v>
      </c>
      <c r="G1194" s="28" t="s">
        <v>2192</v>
      </c>
      <c r="H1194" s="28">
        <v>61668</v>
      </c>
      <c r="I1194" s="29">
        <f>IFERROR(_xlfn.XLOOKUP(E1194,[1]EMPREENDIMENTO!C:C,[1]EMPREENDIMENTO!E:E),"0")</f>
        <v>240</v>
      </c>
      <c r="J1194" s="30"/>
      <c r="K1194" s="28" t="s">
        <v>33</v>
      </c>
      <c r="L1194" s="31">
        <v>46149</v>
      </c>
      <c r="M1194" s="32">
        <v>61978000</v>
      </c>
      <c r="N1194" s="32"/>
      <c r="O1194" s="32"/>
      <c r="P1194" s="28" t="s">
        <v>2</v>
      </c>
      <c r="Q1194" s="28" t="s">
        <v>2191</v>
      </c>
      <c r="R1194" s="30">
        <v>46290</v>
      </c>
      <c r="S1194" s="30"/>
      <c r="T1194" s="33"/>
      <c r="U1194" s="34" t="str">
        <f>IFERROR(_xlfn.XLOOKUP(E1194,[1]EMPREENDIMENTO!C:C,[1]EMPREENDIMENTO!D:D),"")</f>
        <v>eac9c608-fac3-ed11-879a-80c16e075108</v>
      </c>
    </row>
    <row r="1195" spans="1:21" hidden="1" x14ac:dyDescent="0.35">
      <c r="A1195" s="28" t="str">
        <f>IFERROR(_xlfn.XLOOKUP(C1195,[1]DIRETORIA!C:C,[1]DIRETORIA!A:A),"-")</f>
        <v>DIR. COM E CRED CO E AM</v>
      </c>
      <c r="B1195" s="28" t="str">
        <f>IFERROR(_xlfn.XLOOKUP(C1195,[1]DIRETORIA!C:C,[1]DIRETORIA!B:B),"-")</f>
        <v>GST. COM MS</v>
      </c>
      <c r="C1195" s="28" t="str">
        <f>IFERROR(_xlfn.XLOOKUP(E1195,[1]EMPREENDIMENTO!C:C,[1]EMPREENDIMENTO!A:A),"-")</f>
        <v>CAMPO GRANDE</v>
      </c>
      <c r="D1195" s="28" t="s">
        <v>29</v>
      </c>
      <c r="E1195" s="28" t="s">
        <v>2189</v>
      </c>
      <c r="F1195" s="28" t="s">
        <v>39</v>
      </c>
      <c r="G1195" s="28" t="s">
        <v>2193</v>
      </c>
      <c r="H1195" s="28">
        <v>63648</v>
      </c>
      <c r="I1195" s="29">
        <f>IFERROR(_xlfn.XLOOKUP(E1195,[1]EMPREENDIMENTO!C:C,[1]EMPREENDIMENTO!E:E),"0")</f>
        <v>240</v>
      </c>
      <c r="J1195" s="30"/>
      <c r="K1195" s="28" t="s">
        <v>33</v>
      </c>
      <c r="L1195" s="31">
        <v>46149</v>
      </c>
      <c r="M1195" s="32">
        <v>61978000</v>
      </c>
      <c r="N1195" s="32"/>
      <c r="O1195" s="32"/>
      <c r="P1195" s="28" t="s">
        <v>2</v>
      </c>
      <c r="Q1195" s="28" t="s">
        <v>2191</v>
      </c>
      <c r="R1195" s="30">
        <v>46290</v>
      </c>
      <c r="S1195" s="30"/>
      <c r="T1195" s="33"/>
      <c r="U1195" s="34" t="str">
        <f>IFERROR(_xlfn.XLOOKUP(E1195,[1]EMPREENDIMENTO!C:C,[1]EMPREENDIMENTO!D:D),"")</f>
        <v>eac9c608-fac3-ed11-879a-80c16e075108</v>
      </c>
    </row>
    <row r="1196" spans="1:21" x14ac:dyDescent="0.35">
      <c r="A1196" s="28" t="str">
        <f>IFERROR(_xlfn.XLOOKUP(C1196,[1]DIRETORIA!C:C,[1]DIRETORIA!A:A),"-")</f>
        <v>DIR. COM E CRED SPI CP</v>
      </c>
      <c r="B1196" s="28" t="str">
        <f>IFERROR(_xlfn.XLOOKUP(C1196,[1]DIRETORIA!C:C,[1]DIRETORIA!B:B),"-")</f>
        <v>GST. COM CP2</v>
      </c>
      <c r="C1196" s="28" t="str">
        <f>IFERROR(_xlfn.XLOOKUP(E1196,[1]EMPREENDIMENTO!C:C,[1]EMPREENDIMENTO!A:A),"-")</f>
        <v>JUNDIAÍ</v>
      </c>
      <c r="D1196" s="28" t="s">
        <v>85</v>
      </c>
      <c r="E1196" s="28" t="s">
        <v>2194</v>
      </c>
      <c r="F1196" s="28" t="s">
        <v>42</v>
      </c>
      <c r="G1196" s="28" t="s">
        <v>2195</v>
      </c>
      <c r="H1196" s="28">
        <v>61880</v>
      </c>
      <c r="I1196" s="29">
        <f>IFERROR(_xlfn.XLOOKUP(E1196,[1]EMPREENDIMENTO!C:C,[1]EMPREENDIMENTO!E:E),"0")</f>
        <v>0</v>
      </c>
      <c r="J1196" s="30"/>
      <c r="K1196" s="28" t="s">
        <v>33</v>
      </c>
      <c r="L1196" s="31">
        <v>46078</v>
      </c>
      <c r="M1196" s="32">
        <v>87949556</v>
      </c>
      <c r="N1196" s="32">
        <v>87949556</v>
      </c>
      <c r="O1196" s="32">
        <v>80723000</v>
      </c>
      <c r="P1196" s="28" t="s">
        <v>34</v>
      </c>
      <c r="Q1196" s="28"/>
      <c r="R1196" s="30"/>
      <c r="S1196" s="30">
        <v>46078</v>
      </c>
      <c r="T1196" s="33"/>
      <c r="U1196" s="34" t="str">
        <f>IFERROR(_xlfn.XLOOKUP(E1196,[1]EMPREENDIMENTO!C:C,[1]EMPREENDIMENTO!D:D),"")</f>
        <v>CDA8F695-CB59-EB11-AC7F-005056856875</v>
      </c>
    </row>
    <row r="1197" spans="1:21" hidden="1" x14ac:dyDescent="0.35">
      <c r="A1197" s="28" t="str">
        <f>IFERROR(_xlfn.XLOOKUP(C1197,[1]DIRETORIA!C:C,[1]DIRETORIA!A:A),"-")</f>
        <v>DIR. COM E CRED SUL</v>
      </c>
      <c r="B1197" s="28" t="str">
        <f>IFERROR(_xlfn.XLOOKUP(C1197,[1]DIRETORIA!C:C,[1]DIRETORIA!B:B),"-")</f>
        <v>GST. COM SC</v>
      </c>
      <c r="C1197" s="28" t="str">
        <f>IFERROR(_xlfn.XLOOKUP(E1197,[1]EMPREENDIMENTO!C:C,[1]EMPREENDIMENTO!A:A),"-")</f>
        <v>SÃO JOSÉ</v>
      </c>
      <c r="D1197" s="28" t="s">
        <v>85</v>
      </c>
      <c r="E1197" s="28" t="s">
        <v>2196</v>
      </c>
      <c r="F1197" s="28" t="s">
        <v>42</v>
      </c>
      <c r="G1197" s="28" t="s">
        <v>2197</v>
      </c>
      <c r="H1197" s="28">
        <v>62053</v>
      </c>
      <c r="I1197" s="29">
        <f>IFERROR(_xlfn.XLOOKUP(E1197,[1]EMPREENDIMENTO!C:C,[1]EMPREENDIMENTO!E:E),"0")</f>
        <v>0</v>
      </c>
      <c r="J1197" s="30"/>
      <c r="K1197" s="28" t="s">
        <v>33</v>
      </c>
      <c r="L1197" s="31">
        <v>46078</v>
      </c>
      <c r="M1197" s="32">
        <v>76556368</v>
      </c>
      <c r="N1197" s="32">
        <v>76556368</v>
      </c>
      <c r="O1197" s="32">
        <v>74384800</v>
      </c>
      <c r="P1197" s="28" t="s">
        <v>34</v>
      </c>
      <c r="Q1197" s="28"/>
      <c r="R1197" s="30"/>
      <c r="S1197" s="30">
        <v>46079</v>
      </c>
      <c r="T1197" s="33"/>
      <c r="U1197" s="34" t="str">
        <f>IFERROR(_xlfn.XLOOKUP(E1197,[1]EMPREENDIMENTO!C:C,[1]EMPREENDIMENTO!D:D),"")</f>
        <v>2CC5D35A-2690-ED11-9E0C-00505685534B</v>
      </c>
    </row>
    <row r="1198" spans="1:21" hidden="1" x14ac:dyDescent="0.35">
      <c r="A1198" s="28" t="str">
        <f>IFERROR(_xlfn.XLOOKUP(C1198,[1]DIRETORIA!C:C,[1]DIRETORIA!A:A),"-")</f>
        <v>DIR. COM E CRED SUL</v>
      </c>
      <c r="B1198" s="28" t="str">
        <f>IFERROR(_xlfn.XLOOKUP(C1198,[1]DIRETORIA!C:C,[1]DIRETORIA!B:B),"-")</f>
        <v>GST. COM RS NORTE</v>
      </c>
      <c r="C1198" s="28" t="str">
        <f>IFERROR(_xlfn.XLOOKUP(E1198,[1]EMPREENDIMENTO!C:C,[1]EMPREENDIMENTO!A:A),"-")</f>
        <v>CANOAS</v>
      </c>
      <c r="D1198" s="28" t="s">
        <v>85</v>
      </c>
      <c r="E1198" s="28" t="s">
        <v>2198</v>
      </c>
      <c r="F1198" s="28" t="s">
        <v>42</v>
      </c>
      <c r="G1198" s="28" t="s">
        <v>2199</v>
      </c>
      <c r="H1198" s="28">
        <v>62070</v>
      </c>
      <c r="I1198" s="29">
        <f>IFERROR(_xlfn.XLOOKUP(E1198,[1]EMPREENDIMENTO!C:C,[1]EMPREENDIMENTO!E:E),"0")</f>
        <v>0</v>
      </c>
      <c r="J1198" s="30"/>
      <c r="K1198" s="28" t="s">
        <v>33</v>
      </c>
      <c r="L1198" s="31">
        <v>46086</v>
      </c>
      <c r="M1198" s="32">
        <v>93846691</v>
      </c>
      <c r="N1198" s="32">
        <v>93846691</v>
      </c>
      <c r="O1198" s="32">
        <v>86741000</v>
      </c>
      <c r="P1198" s="28" t="s">
        <v>34</v>
      </c>
      <c r="Q1198" s="28"/>
      <c r="R1198" s="30"/>
      <c r="S1198" s="30">
        <v>46086</v>
      </c>
      <c r="T1198" s="33"/>
      <c r="U1198" s="34" t="str">
        <f>IFERROR(_xlfn.XLOOKUP(E1198,[1]EMPREENDIMENTO!C:C,[1]EMPREENDIMENTO!D:D),"")</f>
        <v>BB2B5016-ADFB-F011-AC21-005056856875</v>
      </c>
    </row>
    <row r="1199" spans="1:21" hidden="1" x14ac:dyDescent="0.35">
      <c r="A1199" s="28" t="str">
        <f>IFERROR(_xlfn.XLOOKUP(C1199,[1]DIRETORIA!C:C,[1]DIRETORIA!A:A),"-")</f>
        <v>DIR. COM E CRED SUL</v>
      </c>
      <c r="B1199" s="28" t="str">
        <f>IFERROR(_xlfn.XLOOKUP(C1199,[1]DIRETORIA!C:C,[1]DIRETORIA!B:B),"-")</f>
        <v>GST. COM RS NORTE</v>
      </c>
      <c r="C1199" s="28" t="str">
        <f>IFERROR(_xlfn.XLOOKUP(E1199,[1]EMPREENDIMENTO!C:C,[1]EMPREENDIMENTO!A:A),"-")</f>
        <v>CANOAS</v>
      </c>
      <c r="D1199" s="28" t="s">
        <v>85</v>
      </c>
      <c r="E1199" s="28" t="s">
        <v>2200</v>
      </c>
      <c r="F1199" s="28" t="s">
        <v>42</v>
      </c>
      <c r="G1199" s="28" t="s">
        <v>2201</v>
      </c>
      <c r="H1199" s="28">
        <v>50450</v>
      </c>
      <c r="I1199" s="29">
        <f>IFERROR(_xlfn.XLOOKUP(E1199,[1]EMPREENDIMENTO!C:C,[1]EMPREENDIMENTO!E:E),"0")</f>
        <v>0</v>
      </c>
      <c r="J1199" s="30"/>
      <c r="K1199" s="28" t="s">
        <v>33</v>
      </c>
      <c r="L1199" s="31">
        <v>46087</v>
      </c>
      <c r="M1199" s="32">
        <v>121327812</v>
      </c>
      <c r="N1199" s="32">
        <v>121327812</v>
      </c>
      <c r="O1199" s="32">
        <v>110388000</v>
      </c>
      <c r="P1199" s="28" t="s">
        <v>34</v>
      </c>
      <c r="Q1199" s="28"/>
      <c r="R1199" s="30"/>
      <c r="S1199" s="30">
        <v>46090</v>
      </c>
      <c r="T1199" s="33" t="s">
        <v>2202</v>
      </c>
      <c r="U1199" s="34">
        <f>IFERROR(_xlfn.XLOOKUP(E1199,[1]EMPREENDIMENTO!C:C,[1]EMPREENDIMENTO!D:D),"")</f>
        <v>0</v>
      </c>
    </row>
    <row r="1200" spans="1:21" hidden="1" x14ac:dyDescent="0.35">
      <c r="A1200" s="28" t="str">
        <f>IFERROR(_xlfn.XLOOKUP(C1200,[1]DIRETORIA!C:C,[1]DIRETORIA!A:A),"-")</f>
        <v>DIR. COM E CRED NE</v>
      </c>
      <c r="B1200" s="28" t="str">
        <f>IFERROR(_xlfn.XLOOKUP(C1200,[1]DIRETORIA!C:C,[1]DIRETORIA!B:B),"-")</f>
        <v>GST. COM NE5 (RN+PB)</v>
      </c>
      <c r="C1200" s="28" t="str">
        <f>IFERROR(_xlfn.XLOOKUP(E1200,[1]EMPREENDIMENTO!C:C,[1]EMPREENDIMENTO!A:A),"-")</f>
        <v>NATAL</v>
      </c>
      <c r="D1200" s="28" t="s">
        <v>29</v>
      </c>
      <c r="E1200" s="28" t="s">
        <v>2203</v>
      </c>
      <c r="F1200" s="28" t="s">
        <v>42</v>
      </c>
      <c r="G1200" s="28" t="s">
        <v>2204</v>
      </c>
      <c r="H1200" s="28">
        <v>61649</v>
      </c>
      <c r="I1200" s="29">
        <f>IFERROR(_xlfn.XLOOKUP(E1200,[1]EMPREENDIMENTO!C:C,[1]EMPREENDIMENTO!E:E),"0")</f>
        <v>328</v>
      </c>
      <c r="J1200" s="30"/>
      <c r="K1200" s="28" t="s">
        <v>33</v>
      </c>
      <c r="L1200" s="31">
        <v>46195</v>
      </c>
      <c r="M1200" s="32">
        <v>92689816</v>
      </c>
      <c r="N1200" s="32"/>
      <c r="O1200" s="32"/>
      <c r="P1200" s="28" t="s">
        <v>2</v>
      </c>
      <c r="Q1200" s="28" t="s">
        <v>2205</v>
      </c>
      <c r="R1200" s="30">
        <v>46290</v>
      </c>
      <c r="S1200" s="30"/>
      <c r="T1200" s="33"/>
      <c r="U1200" s="34" t="str">
        <f>IFERROR(_xlfn.XLOOKUP(E1200,[1]EMPREENDIMENTO!C:C,[1]EMPREENDIMENTO!D:D),"")</f>
        <v>1AC5E0B2-E747-EC11-B2FE-005056895191</v>
      </c>
    </row>
    <row r="1201" spans="1:21" hidden="1" x14ac:dyDescent="0.35">
      <c r="A1201" s="28" t="str">
        <f>IFERROR(_xlfn.XLOOKUP(C1201,[1]DIRETORIA!C:C,[1]DIRETORIA!A:A),"-")</f>
        <v>DIR. COM E CRED NE</v>
      </c>
      <c r="B1201" s="28" t="str">
        <f>IFERROR(_xlfn.XLOOKUP(C1201,[1]DIRETORIA!C:C,[1]DIRETORIA!B:B),"-")</f>
        <v>GST. COM NE2 (PE)</v>
      </c>
      <c r="C1201" s="28" t="str">
        <f>IFERROR(_xlfn.XLOOKUP(E1201,[1]EMPREENDIMENTO!C:C,[1]EMPREENDIMENTO!A:A),"-")</f>
        <v>RECIFE</v>
      </c>
      <c r="D1201" s="28" t="s">
        <v>85</v>
      </c>
      <c r="E1201" s="28" t="s">
        <v>2206</v>
      </c>
      <c r="F1201" s="28" t="s">
        <v>42</v>
      </c>
      <c r="G1201" s="28" t="s">
        <v>2207</v>
      </c>
      <c r="H1201" s="28">
        <v>61199</v>
      </c>
      <c r="I1201" s="29">
        <f>IFERROR(_xlfn.XLOOKUP(E1201,[1]EMPREENDIMENTO!C:C,[1]EMPREENDIMENTO!E:E),"0")</f>
        <v>0</v>
      </c>
      <c r="J1201" s="30"/>
      <c r="K1201" s="28" t="s">
        <v>33</v>
      </c>
      <c r="L1201" s="31">
        <v>46097</v>
      </c>
      <c r="M1201" s="32">
        <v>87532606</v>
      </c>
      <c r="N1201" s="32">
        <v>87532606</v>
      </c>
      <c r="O1201" s="32">
        <v>87509972</v>
      </c>
      <c r="P1201" s="28" t="s">
        <v>34</v>
      </c>
      <c r="Q1201" s="28"/>
      <c r="R1201" s="30"/>
      <c r="S1201" s="30">
        <v>46098</v>
      </c>
      <c r="T1201" s="33"/>
      <c r="U1201" s="34" t="str">
        <f>IFERROR(_xlfn.XLOOKUP(E1201,[1]EMPREENDIMENTO!C:C,[1]EMPREENDIMENTO!D:D),"")</f>
        <v>147BA1E1-8BC3-EF11-AAAE-005056856875</v>
      </c>
    </row>
    <row r="1202" spans="1:21" hidden="1" x14ac:dyDescent="0.35">
      <c r="A1202" s="28" t="str">
        <f>IFERROR(_xlfn.XLOOKUP(C1202,[1]DIRETORIA!C:C,[1]DIRETORIA!A:A),"-")</f>
        <v>DIR. COM E CRED SP E VL</v>
      </c>
      <c r="B1202" s="28" t="str">
        <f>IFERROR(_xlfn.XLOOKUP(C1202,[1]DIRETORIA!C:C,[1]DIRETORIA!B:B),"-")</f>
        <v>GST. COM VL1</v>
      </c>
      <c r="C1202" s="28" t="str">
        <f>IFERROR(_xlfn.XLOOKUP(E1202,[1]EMPREENDIMENTO!C:C,[1]EMPREENDIMENTO!A:A),"-")</f>
        <v>SÃO JOSÉ DOS CAMPOS</v>
      </c>
      <c r="D1202" s="28" t="s">
        <v>85</v>
      </c>
      <c r="E1202" s="28" t="s">
        <v>2208</v>
      </c>
      <c r="F1202" s="28" t="s">
        <v>42</v>
      </c>
      <c r="G1202" s="28" t="s">
        <v>2209</v>
      </c>
      <c r="H1202" s="28">
        <v>62266</v>
      </c>
      <c r="I1202" s="29">
        <f>IFERROR(_xlfn.XLOOKUP(E1202,[1]EMPREENDIMENTO!C:C,[1]EMPREENDIMENTO!E:E),"0")</f>
        <v>0</v>
      </c>
      <c r="J1202" s="30"/>
      <c r="K1202" s="28" t="s">
        <v>33</v>
      </c>
      <c r="L1202" s="31">
        <v>46098</v>
      </c>
      <c r="M1202" s="32">
        <v>61161566</v>
      </c>
      <c r="N1202" s="32">
        <v>61161566</v>
      </c>
      <c r="O1202" s="32">
        <v>58758000</v>
      </c>
      <c r="P1202" s="28" t="s">
        <v>34</v>
      </c>
      <c r="Q1202" s="28"/>
      <c r="R1202" s="30"/>
      <c r="S1202" s="30">
        <v>46098</v>
      </c>
      <c r="T1202" s="33"/>
      <c r="U1202" s="34" t="str">
        <f>IFERROR(_xlfn.XLOOKUP(E1202,[1]EMPREENDIMENTO!C:C,[1]EMPREENDIMENTO!D:D),"")</f>
        <v>49A9DF52-06C4-ED11-98D9-009C02B0CB58</v>
      </c>
    </row>
    <row r="1203" spans="1:21" hidden="1" x14ac:dyDescent="0.35">
      <c r="A1203" s="28" t="str">
        <f>IFERROR(_xlfn.XLOOKUP(C1203,[1]DIRETORIA!C:C,[1]DIRETORIA!A:A),"-")</f>
        <v>DIR. COM E CRED RJ</v>
      </c>
      <c r="B1203" s="28" t="str">
        <f>IFERROR(_xlfn.XLOOKUP(C1203,[1]DIRETORIA!C:C,[1]DIRETORIA!B:B),"-")</f>
        <v>GST. COM NF</v>
      </c>
      <c r="C1203" s="28" t="str">
        <f>IFERROR(_xlfn.XLOOKUP(E1203,[1]EMPREENDIMENTO!C:C,[1]EMPREENDIMENTO!A:A),"-")</f>
        <v>MACAÉ</v>
      </c>
      <c r="D1203" s="28" t="s">
        <v>85</v>
      </c>
      <c r="E1203" s="28" t="s">
        <v>2210</v>
      </c>
      <c r="F1203" s="28" t="s">
        <v>42</v>
      </c>
      <c r="G1203" s="28" t="s">
        <v>2211</v>
      </c>
      <c r="H1203" s="28">
        <v>61899</v>
      </c>
      <c r="I1203" s="29">
        <f>IFERROR(_xlfn.XLOOKUP(E1203,[1]EMPREENDIMENTO!C:C,[1]EMPREENDIMENTO!E:E),"0")</f>
        <v>400</v>
      </c>
      <c r="J1203" s="30"/>
      <c r="K1203" s="28" t="s">
        <v>33</v>
      </c>
      <c r="L1203" s="31">
        <v>46225</v>
      </c>
      <c r="M1203" s="32">
        <v>89680000</v>
      </c>
      <c r="N1203" s="32">
        <v>97602270</v>
      </c>
      <c r="O1203" s="32">
        <v>90816000</v>
      </c>
      <c r="P1203" s="28" t="s">
        <v>34</v>
      </c>
      <c r="Q1203" s="28">
        <v>856080</v>
      </c>
      <c r="R1203" s="30">
        <v>46243</v>
      </c>
      <c r="S1203" s="30">
        <v>46225</v>
      </c>
      <c r="T1203" s="33" t="s">
        <v>2212</v>
      </c>
      <c r="U1203" s="34" t="str">
        <f>IFERROR(_xlfn.XLOOKUP(E1203,[1]EMPREENDIMENTO!C:C,[1]EMPREENDIMENTO!D:D),"")</f>
        <v>D3A57EA1-A962-E811-A558-009C02B0CB58</v>
      </c>
    </row>
    <row r="1204" spans="1:21" hidden="1" x14ac:dyDescent="0.35">
      <c r="A1204" s="28" t="str">
        <f>IFERROR(_xlfn.XLOOKUP(C1204,[1]DIRETORIA!C:C,[1]DIRETORIA!A:A),"-")</f>
        <v>DIR. COM E CRED CO E AM</v>
      </c>
      <c r="B1204" s="28" t="str">
        <f>IFERROR(_xlfn.XLOOKUP(C1204,[1]DIRETORIA!C:C,[1]DIRETORIA!B:B),"-")</f>
        <v>GST. COM AM</v>
      </c>
      <c r="C1204" s="28" t="str">
        <f>IFERROR(_xlfn.XLOOKUP(E1204,[1]EMPREENDIMENTO!C:C,[1]EMPREENDIMENTO!A:A),"-")</f>
        <v>MANAUS</v>
      </c>
      <c r="D1204" s="28" t="s">
        <v>85</v>
      </c>
      <c r="E1204" s="28" t="s">
        <v>2213</v>
      </c>
      <c r="F1204" s="28" t="s">
        <v>42</v>
      </c>
      <c r="G1204" s="28" t="s">
        <v>2214</v>
      </c>
      <c r="H1204" s="28">
        <v>61659</v>
      </c>
      <c r="I1204" s="29">
        <f>IFERROR(_xlfn.XLOOKUP(E1204,[1]EMPREENDIMENTO!C:C,[1]EMPREENDIMENTO!E:E),"0")</f>
        <v>0</v>
      </c>
      <c r="J1204" s="30"/>
      <c r="K1204" s="28" t="s">
        <v>33</v>
      </c>
      <c r="L1204" s="31">
        <v>46248</v>
      </c>
      <c r="M1204" s="32">
        <v>172143181</v>
      </c>
      <c r="N1204" s="32">
        <v>172143181</v>
      </c>
      <c r="O1204" s="32">
        <v>163343600</v>
      </c>
      <c r="P1204" s="28" t="s">
        <v>2</v>
      </c>
      <c r="Q1204" s="28">
        <v>867464</v>
      </c>
      <c r="R1204" s="30">
        <v>46269</v>
      </c>
      <c r="S1204" s="30"/>
      <c r="T1204" s="33"/>
      <c r="U1204" s="34" t="str">
        <f>IFERROR(_xlfn.XLOOKUP(E1204,[1]EMPREENDIMENTO!C:C,[1]EMPREENDIMENTO!D:D),"")</f>
        <v>CC08F0E0-C95D-EC11-B2FE-005056895191</v>
      </c>
    </row>
    <row r="1205" spans="1:21" hidden="1" x14ac:dyDescent="0.35">
      <c r="A1205" s="28" t="str">
        <f>IFERROR(_xlfn.XLOOKUP(C1205,[1]DIRETORIA!C:C,[1]DIRETORIA!A:A),"-")</f>
        <v>DIR. COM E CRED MG E ES</v>
      </c>
      <c r="B1205" s="28" t="str">
        <f>IFERROR(_xlfn.XLOOKUP(C1205,[1]DIRETORIA!C:C,[1]DIRETORIA!B:B),"-")</f>
        <v>GST. COM BH E INT</v>
      </c>
      <c r="C1205" s="28" t="str">
        <f>IFERROR(_xlfn.XLOOKUP(E1205,[1]EMPREENDIMENTO!C:C,[1]EMPREENDIMENTO!A:A),"-")</f>
        <v>BELO HORIZONTE</v>
      </c>
      <c r="D1205" s="28" t="s">
        <v>85</v>
      </c>
      <c r="E1205" s="28" t="s">
        <v>2215</v>
      </c>
      <c r="F1205" s="28" t="s">
        <v>42</v>
      </c>
      <c r="G1205" s="28" t="s">
        <v>2216</v>
      </c>
      <c r="H1205" s="28">
        <v>62433</v>
      </c>
      <c r="I1205" s="29">
        <f>IFERROR(_xlfn.XLOOKUP(E1205,[1]EMPREENDIMENTO!C:C,[1]EMPREENDIMENTO!E:E),"0")</f>
        <v>0</v>
      </c>
      <c r="J1205" s="30"/>
      <c r="K1205" s="28" t="s">
        <v>33</v>
      </c>
      <c r="L1205" s="31">
        <v>46262</v>
      </c>
      <c r="M1205" s="32">
        <v>215338294</v>
      </c>
      <c r="N1205" s="32">
        <v>222546305</v>
      </c>
      <c r="O1205" s="32">
        <v>222369252</v>
      </c>
      <c r="P1205" s="28" t="s">
        <v>34</v>
      </c>
      <c r="Q1205" s="28">
        <v>869557</v>
      </c>
      <c r="R1205" s="30">
        <v>46275</v>
      </c>
      <c r="S1205" s="30">
        <v>46262</v>
      </c>
      <c r="T1205" s="33"/>
      <c r="U1205" s="34" t="str">
        <f>IFERROR(_xlfn.XLOOKUP(E1205,[1]EMPREENDIMENTO!C:C,[1]EMPREENDIMENTO!D:D),"")</f>
        <v>C3172E78-86EA-ED11-9510-005056856875</v>
      </c>
    </row>
    <row r="1206" spans="1:21" hidden="1" x14ac:dyDescent="0.35">
      <c r="A1206" s="28" t="str">
        <f>IFERROR(_xlfn.XLOOKUP(C1206,[1]DIRETORIA!C:C,[1]DIRETORIA!A:A),"-")</f>
        <v>DIR. COM E CRED CO E AM</v>
      </c>
      <c r="B1206" s="28" t="str">
        <f>IFERROR(_xlfn.XLOOKUP(C1206,[1]DIRETORIA!C:C,[1]DIRETORIA!B:B),"-")</f>
        <v>GST. COM AM</v>
      </c>
      <c r="C1206" s="28" t="str">
        <f>IFERROR(_xlfn.XLOOKUP(E1206,[1]EMPREENDIMENTO!C:C,[1]EMPREENDIMENTO!A:A),"-")</f>
        <v>MANAUS</v>
      </c>
      <c r="D1206" s="28" t="s">
        <v>85</v>
      </c>
      <c r="E1206" s="28" t="s">
        <v>2217</v>
      </c>
      <c r="F1206" s="28" t="s">
        <v>42</v>
      </c>
      <c r="G1206" s="28" t="s">
        <v>2218</v>
      </c>
      <c r="H1206" s="28">
        <v>62441</v>
      </c>
      <c r="I1206" s="29">
        <f>IFERROR(_xlfn.XLOOKUP(E1206,[1]EMPREENDIMENTO!C:C,[1]EMPREENDIMENTO!E:E),"0")</f>
        <v>0</v>
      </c>
      <c r="J1206" s="30"/>
      <c r="K1206" s="28" t="s">
        <v>33</v>
      </c>
      <c r="L1206" s="31">
        <v>46105</v>
      </c>
      <c r="M1206" s="32">
        <v>162170628</v>
      </c>
      <c r="N1206" s="32">
        <v>162170628</v>
      </c>
      <c r="O1206" s="32">
        <v>151800553</v>
      </c>
      <c r="P1206" s="28" t="s">
        <v>34</v>
      </c>
      <c r="Q1206" s="28"/>
      <c r="R1206" s="30"/>
      <c r="S1206" s="30">
        <v>46106</v>
      </c>
      <c r="T1206" s="33"/>
      <c r="U1206" s="34" t="str">
        <f>IFERROR(_xlfn.XLOOKUP(E1206,[1]EMPREENDIMENTO!C:C,[1]EMPREENDIMENTO!D:D),"")</f>
        <v>2A45DB40-3321-F011-AAAE-005056856875</v>
      </c>
    </row>
    <row r="1207" spans="1:21" hidden="1" x14ac:dyDescent="0.35">
      <c r="A1207" s="28" t="str">
        <f>IFERROR(_xlfn.XLOOKUP(C1207,[1]DIRETORIA!C:C,[1]DIRETORIA!A:A),"-")</f>
        <v>DIR. COM E CRED MG E ES</v>
      </c>
      <c r="B1207" s="28" t="str">
        <f>IFERROR(_xlfn.XLOOKUP(C1207,[1]DIRETORIA!C:C,[1]DIRETORIA!B:B),"-")</f>
        <v>GST. COM ES</v>
      </c>
      <c r="C1207" s="28" t="str">
        <f>IFERROR(_xlfn.XLOOKUP(E1207,[1]EMPREENDIMENTO!C:C,[1]EMPREENDIMENTO!A:A),"-")</f>
        <v>SERRA</v>
      </c>
      <c r="D1207" s="28" t="s">
        <v>29</v>
      </c>
      <c r="E1207" s="28" t="s">
        <v>2219</v>
      </c>
      <c r="F1207" s="28" t="s">
        <v>31</v>
      </c>
      <c r="G1207" s="28" t="s">
        <v>2220</v>
      </c>
      <c r="H1207" s="28">
        <v>62408</v>
      </c>
      <c r="I1207" s="29">
        <f>IFERROR(_xlfn.XLOOKUP(E1207,[1]EMPREENDIMENTO!C:C,[1]EMPREENDIMENTO!E:E),"0")</f>
        <v>432</v>
      </c>
      <c r="J1207" s="30"/>
      <c r="K1207" s="28" t="s">
        <v>33</v>
      </c>
      <c r="L1207" s="31">
        <v>46169</v>
      </c>
      <c r="M1207" s="32">
        <v>210239630</v>
      </c>
      <c r="N1207" s="32">
        <v>210239630</v>
      </c>
      <c r="O1207" s="32">
        <v>173950900</v>
      </c>
      <c r="P1207" s="28" t="s">
        <v>4</v>
      </c>
      <c r="Q1207" s="28"/>
      <c r="R1207" s="30"/>
      <c r="S1207" s="30">
        <v>46169</v>
      </c>
      <c r="T1207" s="33"/>
      <c r="U1207" s="34" t="str">
        <f>IFERROR(_xlfn.XLOOKUP(E1207,[1]EMPREENDIMENTO!C:C,[1]EMPREENDIMENTO!D:D),"")</f>
        <v>EFBD5EBE-6EB1-E611-ABB6-80C16E075108</v>
      </c>
    </row>
    <row r="1208" spans="1:21" hidden="1" x14ac:dyDescent="0.35">
      <c r="A1208" s="28" t="str">
        <f>IFERROR(_xlfn.XLOOKUP(C1208,[1]DIRETORIA!C:C,[1]DIRETORIA!A:A),"-")</f>
        <v>DIR. COM E CRED MG E ES</v>
      </c>
      <c r="B1208" s="28" t="str">
        <f>IFERROR(_xlfn.XLOOKUP(C1208,[1]DIRETORIA!C:C,[1]DIRETORIA!B:B),"-")</f>
        <v>GST. COM ES</v>
      </c>
      <c r="C1208" s="28" t="str">
        <f>IFERROR(_xlfn.XLOOKUP(E1208,[1]EMPREENDIMENTO!C:C,[1]EMPREENDIMENTO!A:A),"-")</f>
        <v>SERRA</v>
      </c>
      <c r="D1208" s="28" t="s">
        <v>85</v>
      </c>
      <c r="E1208" s="28" t="s">
        <v>2219</v>
      </c>
      <c r="F1208" s="28" t="s">
        <v>36</v>
      </c>
      <c r="G1208" s="28" t="s">
        <v>2221</v>
      </c>
      <c r="H1208" s="28">
        <v>64134</v>
      </c>
      <c r="I1208" s="29">
        <f>IFERROR(_xlfn.XLOOKUP(E1208,[1]EMPREENDIMENTO!C:C,[1]EMPREENDIMENTO!E:E),"0")</f>
        <v>432</v>
      </c>
      <c r="J1208" s="30"/>
      <c r="K1208" s="28" t="s">
        <v>33</v>
      </c>
      <c r="L1208" s="31">
        <v>46169</v>
      </c>
      <c r="M1208" s="32">
        <v>210239630</v>
      </c>
      <c r="N1208" s="32">
        <v>210239630</v>
      </c>
      <c r="O1208" s="32">
        <v>173950900</v>
      </c>
      <c r="P1208" s="28" t="s">
        <v>4</v>
      </c>
      <c r="Q1208" s="28"/>
      <c r="R1208" s="30"/>
      <c r="S1208" s="30">
        <v>46169</v>
      </c>
      <c r="T1208" s="33"/>
      <c r="U1208" s="34" t="str">
        <f>IFERROR(_xlfn.XLOOKUP(E1208,[1]EMPREENDIMENTO!C:C,[1]EMPREENDIMENTO!D:D),"")</f>
        <v>EFBD5EBE-6EB1-E611-ABB6-80C16E075108</v>
      </c>
    </row>
    <row r="1209" spans="1:21" hidden="1" x14ac:dyDescent="0.35">
      <c r="A1209" s="28" t="str">
        <f>IFERROR(_xlfn.XLOOKUP(C1209,[1]DIRETORIA!C:C,[1]DIRETORIA!A:A),"-")</f>
        <v>DIR. COM E CRED MG E ES</v>
      </c>
      <c r="B1209" s="28" t="str">
        <f>IFERROR(_xlfn.XLOOKUP(C1209,[1]DIRETORIA!C:C,[1]DIRETORIA!B:B),"-")</f>
        <v>GST. COM ES</v>
      </c>
      <c r="C1209" s="28" t="str">
        <f>IFERROR(_xlfn.XLOOKUP(E1209,[1]EMPREENDIMENTO!C:C,[1]EMPREENDIMENTO!A:A),"-")</f>
        <v>SERRA</v>
      </c>
      <c r="D1209" s="28" t="s">
        <v>85</v>
      </c>
      <c r="E1209" s="28" t="s">
        <v>2219</v>
      </c>
      <c r="F1209" s="28" t="s">
        <v>39</v>
      </c>
      <c r="G1209" s="28" t="s">
        <v>268</v>
      </c>
      <c r="H1209" s="28" t="s">
        <v>268</v>
      </c>
      <c r="I1209" s="29">
        <f>IFERROR(_xlfn.XLOOKUP(E1209,[1]EMPREENDIMENTO!C:C,[1]EMPREENDIMENTO!E:E),"0")</f>
        <v>432</v>
      </c>
      <c r="J1209" s="30"/>
      <c r="K1209" s="28" t="s">
        <v>33</v>
      </c>
      <c r="L1209" s="31">
        <v>46169</v>
      </c>
      <c r="M1209" s="32">
        <v>210239630</v>
      </c>
      <c r="N1209" s="32">
        <v>210239630</v>
      </c>
      <c r="O1209" s="32">
        <v>173950900</v>
      </c>
      <c r="P1209" s="28" t="s">
        <v>4</v>
      </c>
      <c r="Q1209" s="28"/>
      <c r="R1209" s="30"/>
      <c r="S1209" s="30">
        <v>46169</v>
      </c>
      <c r="T1209" s="33"/>
      <c r="U1209" s="34" t="str">
        <f>IFERROR(_xlfn.XLOOKUP(E1209,[1]EMPREENDIMENTO!C:C,[1]EMPREENDIMENTO!D:D),"")</f>
        <v>EFBD5EBE-6EB1-E611-ABB6-80C16E075108</v>
      </c>
    </row>
    <row r="1210" spans="1:21" hidden="1" x14ac:dyDescent="0.35">
      <c r="A1210" s="28" t="str">
        <f>IFERROR(_xlfn.XLOOKUP(C1210,[1]DIRETORIA!C:C,[1]DIRETORIA!A:A),"-")</f>
        <v>DIR. COM E CRED SUL</v>
      </c>
      <c r="B1210" s="28" t="str">
        <f>IFERROR(_xlfn.XLOOKUP(C1210,[1]DIRETORIA!C:C,[1]DIRETORIA!B:B),"-")</f>
        <v>GST. COM RS SUL</v>
      </c>
      <c r="C1210" s="28" t="str">
        <f>IFERROR(_xlfn.XLOOKUP(E1210,[1]EMPREENDIMENTO!C:C,[1]EMPREENDIMENTO!A:A),"-")</f>
        <v>PORTO ALEGRE</v>
      </c>
      <c r="D1210" s="28" t="s">
        <v>85</v>
      </c>
      <c r="E1210" s="28" t="s">
        <v>2222</v>
      </c>
      <c r="F1210" s="28" t="s">
        <v>42</v>
      </c>
      <c r="G1210" s="28" t="s">
        <v>2223</v>
      </c>
      <c r="H1210" s="28">
        <v>62442</v>
      </c>
      <c r="I1210" s="29">
        <f>IFERROR(_xlfn.XLOOKUP(E1210,[1]EMPREENDIMENTO!C:C,[1]EMPREENDIMENTO!E:E),"0")</f>
        <v>140</v>
      </c>
      <c r="J1210" s="30"/>
      <c r="K1210" s="28" t="s">
        <v>33</v>
      </c>
      <c r="L1210" s="31">
        <v>46139</v>
      </c>
      <c r="M1210" s="32">
        <v>35304000</v>
      </c>
      <c r="N1210" s="32">
        <v>35304000</v>
      </c>
      <c r="O1210" s="32">
        <v>34164500</v>
      </c>
      <c r="P1210" s="28" t="s">
        <v>34</v>
      </c>
      <c r="Q1210" s="28">
        <v>822072</v>
      </c>
      <c r="R1210" s="30">
        <v>46162</v>
      </c>
      <c r="S1210" s="30">
        <v>46139</v>
      </c>
      <c r="T1210" s="33"/>
      <c r="U1210" s="34" t="str">
        <f>IFERROR(_xlfn.XLOOKUP(E1210,[1]EMPREENDIMENTO!C:C,[1]EMPREENDIMENTO!D:D),"")</f>
        <v>5065A059-45E7-E711-B989-80C16E075108</v>
      </c>
    </row>
    <row r="1211" spans="1:21" x14ac:dyDescent="0.35">
      <c r="A1211" s="28" t="str">
        <f>IFERROR(_xlfn.XLOOKUP(C1211,[1]DIRETORIA!C:C,[1]DIRETORIA!A:A),"-")</f>
        <v>DIR. COM E CRED SPI CP</v>
      </c>
      <c r="B1211" s="28" t="str">
        <f>IFERROR(_xlfn.XLOOKUP(C1211,[1]DIRETORIA!C:C,[1]DIRETORIA!B:B),"-")</f>
        <v>GST. COM CP3</v>
      </c>
      <c r="C1211" s="28" t="str">
        <f>IFERROR(_xlfn.XLOOKUP(E1211,[1]EMPREENDIMENTO!C:C,[1]EMPREENDIMENTO!A:A),"-")</f>
        <v>LIMEIRA</v>
      </c>
      <c r="D1211" s="28" t="s">
        <v>85</v>
      </c>
      <c r="E1211" s="28" t="s">
        <v>2224</v>
      </c>
      <c r="F1211" s="28" t="s">
        <v>42</v>
      </c>
      <c r="G1211" s="28" t="s">
        <v>2225</v>
      </c>
      <c r="H1211" s="28">
        <v>61815</v>
      </c>
      <c r="I1211" s="29">
        <f>IFERROR(_xlfn.XLOOKUP(E1211,[1]EMPREENDIMENTO!C:C,[1]EMPREENDIMENTO!E:E),"0")</f>
        <v>384</v>
      </c>
      <c r="J1211" s="30"/>
      <c r="K1211" s="28" t="s">
        <v>33</v>
      </c>
      <c r="L1211" s="31">
        <v>46111</v>
      </c>
      <c r="M1211" s="32">
        <v>136843129</v>
      </c>
      <c r="N1211" s="32">
        <v>136843129</v>
      </c>
      <c r="O1211" s="32">
        <v>133920512</v>
      </c>
      <c r="P1211" s="28" t="s">
        <v>34</v>
      </c>
      <c r="Q1211" s="28"/>
      <c r="R1211" s="30"/>
      <c r="S1211" s="30">
        <v>46111</v>
      </c>
      <c r="T1211" s="33"/>
      <c r="U1211" s="34" t="str">
        <f>IFERROR(_xlfn.XLOOKUP(E1211,[1]EMPREENDIMENTO!C:C,[1]EMPREENDIMENTO!D:D),"")</f>
        <v>AFDD63D4-DD44-ED11-985B-009C02B0CB58</v>
      </c>
    </row>
    <row r="1212" spans="1:21" hidden="1" x14ac:dyDescent="0.35">
      <c r="A1212" s="28" t="str">
        <f>IFERROR(_xlfn.XLOOKUP(C1212,[1]DIRETORIA!C:C,[1]DIRETORIA!A:A),"-")</f>
        <v>DIR. COM E CRED NE</v>
      </c>
      <c r="B1212" s="28" t="str">
        <f>IFERROR(_xlfn.XLOOKUP(C1212,[1]DIRETORIA!C:C,[1]DIRETORIA!B:B),"-")</f>
        <v>GST. COM NE5 (RN+PB)</v>
      </c>
      <c r="C1212" s="28" t="str">
        <f>IFERROR(_xlfn.XLOOKUP(E1212,[1]EMPREENDIMENTO!C:C,[1]EMPREENDIMENTO!A:A),"-")</f>
        <v>NATAL</v>
      </c>
      <c r="D1212" s="28" t="s">
        <v>85</v>
      </c>
      <c r="E1212" s="28" t="s">
        <v>2226</v>
      </c>
      <c r="F1212" s="28" t="s">
        <v>42</v>
      </c>
      <c r="G1212" s="28" t="s">
        <v>2227</v>
      </c>
      <c r="H1212" s="28">
        <v>62092</v>
      </c>
      <c r="I1212" s="29">
        <f>IFERROR(_xlfn.XLOOKUP(E1212,[1]EMPREENDIMENTO!C:C,[1]EMPREENDIMENTO!E:E),"0")</f>
        <v>0</v>
      </c>
      <c r="J1212" s="30"/>
      <c r="K1212" s="28" t="s">
        <v>33</v>
      </c>
      <c r="L1212" s="31">
        <v>46113</v>
      </c>
      <c r="M1212" s="32">
        <v>226191121</v>
      </c>
      <c r="N1212" s="32">
        <v>226191121</v>
      </c>
      <c r="O1212" s="32">
        <v>219033190</v>
      </c>
      <c r="P1212" s="28" t="s">
        <v>34</v>
      </c>
      <c r="Q1212" s="28"/>
      <c r="R1212" s="30"/>
      <c r="S1212" s="30">
        <v>46113</v>
      </c>
      <c r="T1212" s="33"/>
      <c r="U1212" s="34" t="str">
        <f>IFERROR(_xlfn.XLOOKUP(E1212,[1]EMPREENDIMENTO!C:C,[1]EMPREENDIMENTO!D:D),"")</f>
        <v>9C679153-A999-EE11-8ACD-80C16E075108</v>
      </c>
    </row>
    <row r="1213" spans="1:21" hidden="1" x14ac:dyDescent="0.35">
      <c r="A1213" s="28" t="str">
        <f>IFERROR(_xlfn.XLOOKUP(C1213,[1]DIRETORIA!C:C,[1]DIRETORIA!A:A),"-")</f>
        <v>DIR. COM E CRED CO E AM</v>
      </c>
      <c r="B1213" s="28" t="str">
        <f>IFERROR(_xlfn.XLOOKUP(C1213,[1]DIRETORIA!C:C,[1]DIRETORIA!B:B),"-")</f>
        <v>GST. COM MS</v>
      </c>
      <c r="C1213" s="28" t="str">
        <f>IFERROR(_xlfn.XLOOKUP(E1213,[1]EMPREENDIMENTO!C:C,[1]EMPREENDIMENTO!A:A),"-")</f>
        <v>CAMPO GRANDE</v>
      </c>
      <c r="D1213" s="28" t="s">
        <v>85</v>
      </c>
      <c r="E1213" s="28" t="s">
        <v>2228</v>
      </c>
      <c r="F1213" s="28" t="s">
        <v>42</v>
      </c>
      <c r="G1213" s="28" t="s">
        <v>2229</v>
      </c>
      <c r="H1213" s="28">
        <v>62710</v>
      </c>
      <c r="I1213" s="29">
        <f>IFERROR(_xlfn.XLOOKUP(E1213,[1]EMPREENDIMENTO!C:C,[1]EMPREENDIMENTO!E:E),"0")</f>
        <v>0</v>
      </c>
      <c r="J1213" s="30"/>
      <c r="K1213" s="28" t="s">
        <v>33</v>
      </c>
      <c r="L1213" s="31">
        <v>46113</v>
      </c>
      <c r="M1213" s="32">
        <v>145788194</v>
      </c>
      <c r="N1213" s="32">
        <v>145788194</v>
      </c>
      <c r="O1213" s="32">
        <v>136160672</v>
      </c>
      <c r="P1213" s="28" t="s">
        <v>34</v>
      </c>
      <c r="Q1213" s="28"/>
      <c r="R1213" s="30"/>
      <c r="S1213" s="30">
        <v>46113</v>
      </c>
      <c r="T1213" s="33"/>
      <c r="U1213" s="34" t="str">
        <f>IFERROR(_xlfn.XLOOKUP(E1213,[1]EMPREENDIMENTO!C:C,[1]EMPREENDIMENTO!D:D),"")</f>
        <v>0204BE5D-874F-EB11-85D0-005056856875</v>
      </c>
    </row>
    <row r="1214" spans="1:21" x14ac:dyDescent="0.35">
      <c r="A1214" s="28" t="str">
        <f>IFERROR(_xlfn.XLOOKUP(C1214,[1]DIRETORIA!C:C,[1]DIRETORIA!A:A),"-")</f>
        <v>DIR. COM E CRED SPI CP</v>
      </c>
      <c r="B1214" s="28" t="str">
        <f>IFERROR(_xlfn.XLOOKUP(C1214,[1]DIRETORIA!C:C,[1]DIRETORIA!B:B),"-")</f>
        <v>GST. COM CP1</v>
      </c>
      <c r="C1214" s="28" t="str">
        <f>IFERROR(_xlfn.XLOOKUP(E1214,[1]EMPREENDIMENTO!C:C,[1]EMPREENDIMENTO!A:A),"-")</f>
        <v>CAMPINAS</v>
      </c>
      <c r="D1214" s="28" t="s">
        <v>85</v>
      </c>
      <c r="E1214" s="28" t="s">
        <v>2230</v>
      </c>
      <c r="F1214" s="28" t="s">
        <v>42</v>
      </c>
      <c r="G1214" s="28" t="s">
        <v>2231</v>
      </c>
      <c r="H1214" s="28">
        <v>62654</v>
      </c>
      <c r="I1214" s="29">
        <f>IFERROR(_xlfn.XLOOKUP(E1214,[1]EMPREENDIMENTO!C:C,[1]EMPREENDIMENTO!E:E),"0")</f>
        <v>240</v>
      </c>
      <c r="J1214" s="30"/>
      <c r="K1214" s="28" t="s">
        <v>33</v>
      </c>
      <c r="L1214" s="31">
        <v>46113</v>
      </c>
      <c r="M1214" s="32">
        <v>167269904</v>
      </c>
      <c r="N1214" s="32">
        <v>167269904</v>
      </c>
      <c r="O1214" s="32">
        <v>159415568</v>
      </c>
      <c r="P1214" s="28" t="s">
        <v>34</v>
      </c>
      <c r="Q1214" s="28"/>
      <c r="R1214" s="30"/>
      <c r="S1214" s="30">
        <v>46125</v>
      </c>
      <c r="T1214" s="33"/>
      <c r="U1214" s="34" t="str">
        <f>IFERROR(_xlfn.XLOOKUP(E1214,[1]EMPREENDIMENTO!C:C,[1]EMPREENDIMENTO!D:D),"")</f>
        <v>4FB6E0F2-7686-DE11-9553-001F2909E83C</v>
      </c>
    </row>
    <row r="1215" spans="1:21" hidden="1" x14ac:dyDescent="0.35">
      <c r="A1215" s="28" t="str">
        <f>IFERROR(_xlfn.XLOOKUP(C1215,[1]DIRETORIA!C:C,[1]DIRETORIA!A:A),"-")</f>
        <v>DIR. COM E CRED NE</v>
      </c>
      <c r="B1215" s="28" t="str">
        <f>IFERROR(_xlfn.XLOOKUP(C1215,[1]DIRETORIA!C:C,[1]DIRETORIA!B:B),"-")</f>
        <v>GST. COM NE5 (RN+PB)</v>
      </c>
      <c r="C1215" s="28" t="str">
        <f>IFERROR(_xlfn.XLOOKUP(E1215,[1]EMPREENDIMENTO!C:C,[1]EMPREENDIMENTO!A:A),"-")</f>
        <v>NATAL</v>
      </c>
      <c r="D1215" s="28" t="s">
        <v>85</v>
      </c>
      <c r="E1215" s="28" t="s">
        <v>2232</v>
      </c>
      <c r="F1215" s="28" t="s">
        <v>42</v>
      </c>
      <c r="G1215" s="28" t="s">
        <v>2233</v>
      </c>
      <c r="H1215" s="28">
        <v>62104</v>
      </c>
      <c r="I1215" s="29">
        <f>IFERROR(_xlfn.XLOOKUP(E1215,[1]EMPREENDIMENTO!C:C,[1]EMPREENDIMENTO!E:E),"0")</f>
        <v>0</v>
      </c>
      <c r="J1215" s="30"/>
      <c r="K1215" s="28" t="s">
        <v>33</v>
      </c>
      <c r="L1215" s="31">
        <v>46114</v>
      </c>
      <c r="M1215" s="32">
        <v>92339328</v>
      </c>
      <c r="N1215" s="32">
        <v>92339328</v>
      </c>
      <c r="O1215" s="32">
        <v>80581000</v>
      </c>
      <c r="P1215" s="28" t="s">
        <v>34</v>
      </c>
      <c r="Q1215" s="28"/>
      <c r="R1215" s="30"/>
      <c r="S1215" s="30">
        <v>46114</v>
      </c>
      <c r="T1215" s="33"/>
      <c r="U1215" s="34" t="str">
        <f>IFERROR(_xlfn.XLOOKUP(E1215,[1]EMPREENDIMENTO!C:C,[1]EMPREENDIMENTO!D:D),"")</f>
        <v>AD3AD578-E421-EF11-9E4D-009C02B0CB58</v>
      </c>
    </row>
    <row r="1216" spans="1:21" hidden="1" x14ac:dyDescent="0.35">
      <c r="A1216" s="28" t="str">
        <f>IFERROR(_xlfn.XLOOKUP(C1216,[1]DIRETORIA!C:C,[1]DIRETORIA!A:A),"-")</f>
        <v>DIR. COM E CRED SUL</v>
      </c>
      <c r="B1216" s="28" t="str">
        <f>IFERROR(_xlfn.XLOOKUP(C1216,[1]DIRETORIA!C:C,[1]DIRETORIA!B:B),"-")</f>
        <v>GST. COM SC</v>
      </c>
      <c r="C1216" s="28" t="str">
        <f>IFERROR(_xlfn.XLOOKUP(E1216,[1]EMPREENDIMENTO!C:C,[1]EMPREENDIMENTO!A:A),"-")</f>
        <v>PALHOÇA</v>
      </c>
      <c r="D1216" s="28" t="s">
        <v>85</v>
      </c>
      <c r="E1216" s="28" t="s">
        <v>2234</v>
      </c>
      <c r="F1216" s="28" t="s">
        <v>42</v>
      </c>
      <c r="G1216" s="28" t="s">
        <v>2235</v>
      </c>
      <c r="H1216" s="28">
        <v>62406</v>
      </c>
      <c r="I1216" s="29">
        <f>IFERROR(_xlfn.XLOOKUP(E1216,[1]EMPREENDIMENTO!C:C,[1]EMPREENDIMENTO!E:E),"0")</f>
        <v>0</v>
      </c>
      <c r="J1216" s="30"/>
      <c r="K1216" s="28" t="s">
        <v>33</v>
      </c>
      <c r="L1216" s="31">
        <v>46209</v>
      </c>
      <c r="M1216" s="32">
        <v>113178000</v>
      </c>
      <c r="N1216" s="32">
        <v>133093386</v>
      </c>
      <c r="O1216" s="32">
        <v>116004000</v>
      </c>
      <c r="P1216" s="28" t="s">
        <v>34</v>
      </c>
      <c r="Q1216" s="28"/>
      <c r="R1216" s="30"/>
      <c r="S1216" s="30">
        <v>46211</v>
      </c>
      <c r="T1216" s="33"/>
      <c r="U1216" s="34" t="str">
        <f>IFERROR(_xlfn.XLOOKUP(E1216,[1]EMPREENDIMENTO!C:C,[1]EMPREENDIMENTO!D:D),"")</f>
        <v>4F25626F-EF0C-F011-B65C-009C02B0CB58</v>
      </c>
    </row>
    <row r="1217" spans="1:21" hidden="1" x14ac:dyDescent="0.35">
      <c r="A1217" s="28" t="str">
        <f>IFERROR(_xlfn.XLOOKUP(C1217,[1]DIRETORIA!C:C,[1]DIRETORIA!A:A),"-")</f>
        <v>DIR. COM E CRED CO E AM</v>
      </c>
      <c r="B1217" s="28" t="str">
        <f>IFERROR(_xlfn.XLOOKUP(C1217,[1]DIRETORIA!C:C,[1]DIRETORIA!B:B),"-")</f>
        <v>GST. COM GO</v>
      </c>
      <c r="C1217" s="28" t="str">
        <f>IFERROR(_xlfn.XLOOKUP(E1217,[1]EMPREENDIMENTO!C:C,[1]EMPREENDIMENTO!A:A),"-")</f>
        <v>GOIÂNIA</v>
      </c>
      <c r="D1217" s="28" t="s">
        <v>85</v>
      </c>
      <c r="E1217" s="28" t="s">
        <v>2236</v>
      </c>
      <c r="F1217" s="28" t="s">
        <v>42</v>
      </c>
      <c r="G1217" s="28" t="s">
        <v>2237</v>
      </c>
      <c r="H1217" s="28">
        <v>62564</v>
      </c>
      <c r="I1217" s="29">
        <f>IFERROR(_xlfn.XLOOKUP(E1217,[1]EMPREENDIMENTO!C:C,[1]EMPREENDIMENTO!E:E),"0")</f>
        <v>0</v>
      </c>
      <c r="J1217" s="30"/>
      <c r="K1217" s="28" t="s">
        <v>33</v>
      </c>
      <c r="L1217" s="31">
        <v>46155</v>
      </c>
      <c r="M1217" s="32">
        <v>170118739</v>
      </c>
      <c r="N1217" s="32">
        <v>170118739</v>
      </c>
      <c r="O1217" s="32">
        <v>161504620</v>
      </c>
      <c r="P1217" s="28" t="s">
        <v>34</v>
      </c>
      <c r="Q1217" s="28">
        <v>824348</v>
      </c>
      <c r="R1217" s="30">
        <v>46169</v>
      </c>
      <c r="S1217" s="30">
        <v>46156</v>
      </c>
      <c r="T1217" s="33"/>
      <c r="U1217" s="34" t="str">
        <f>IFERROR(_xlfn.XLOOKUP(E1217,[1]EMPREENDIMENTO!C:C,[1]EMPREENDIMENTO!D:D),"")</f>
        <v>2822BB1A-6981-ED11-879A-80C16E075108</v>
      </c>
    </row>
    <row r="1218" spans="1:21" hidden="1" x14ac:dyDescent="0.35">
      <c r="A1218" s="28" t="str">
        <f>IFERROR(_xlfn.XLOOKUP(C1218,[1]DIRETORIA!C:C,[1]DIRETORIA!A:A),"-")</f>
        <v>DIR. COM E CRED SP E VL</v>
      </c>
      <c r="B1218" s="28" t="str">
        <f>IFERROR(_xlfn.XLOOKUP(C1218,[1]DIRETORIA!C:C,[1]DIRETORIA!B:B),"-")</f>
        <v>GST. COM SP2</v>
      </c>
      <c r="C1218" s="28" t="str">
        <f>IFERROR(_xlfn.XLOOKUP(E1218,[1]EMPREENDIMENTO!C:C,[1]EMPREENDIMENTO!A:A),"-")</f>
        <v>SÃO PAULO</v>
      </c>
      <c r="D1218" s="28" t="s">
        <v>85</v>
      </c>
      <c r="E1218" s="28" t="s">
        <v>2238</v>
      </c>
      <c r="F1218" s="28" t="s">
        <v>42</v>
      </c>
      <c r="G1218" s="28" t="s">
        <v>2239</v>
      </c>
      <c r="H1218" s="28">
        <v>62444</v>
      </c>
      <c r="I1218" s="29">
        <f>IFERROR(_xlfn.XLOOKUP(E1218,[1]EMPREENDIMENTO!C:C,[1]EMPREENDIMENTO!E:E),"0")</f>
        <v>240</v>
      </c>
      <c r="J1218" s="30"/>
      <c r="K1218" s="28" t="s">
        <v>33</v>
      </c>
      <c r="L1218" s="31">
        <v>46161</v>
      </c>
      <c r="M1218" s="32">
        <v>126861612</v>
      </c>
      <c r="N1218" s="32">
        <v>126861612</v>
      </c>
      <c r="O1218" s="32">
        <v>120320000</v>
      </c>
      <c r="P1218" s="28" t="s">
        <v>34</v>
      </c>
      <c r="Q1218" s="28" t="s">
        <v>977</v>
      </c>
      <c r="R1218" s="30">
        <v>46177</v>
      </c>
      <c r="S1218" s="30">
        <v>46163</v>
      </c>
      <c r="T1218" s="33"/>
      <c r="U1218" s="34" t="str">
        <f>IFERROR(_xlfn.XLOOKUP(E1218,[1]EMPREENDIMENTO!C:C,[1]EMPREENDIMENTO!D:D),"")</f>
        <v>B71E8AB2-AC8A-E811-8D3F-80C16E075108</v>
      </c>
    </row>
    <row r="1219" spans="1:21" hidden="1" x14ac:dyDescent="0.35">
      <c r="A1219" s="28" t="str">
        <f>IFERROR(_xlfn.XLOOKUP(C1219,[1]DIRETORIA!C:C,[1]DIRETORIA!A:A),"-")</f>
        <v>DIR. COM E CRED CO E AM</v>
      </c>
      <c r="B1219" s="28" t="str">
        <f>IFERROR(_xlfn.XLOOKUP(C1219,[1]DIRETORIA!C:C,[1]DIRETORIA!B:B),"-")</f>
        <v>GST. COM GO</v>
      </c>
      <c r="C1219" s="28" t="str">
        <f>IFERROR(_xlfn.XLOOKUP(E1219,[1]EMPREENDIMENTO!C:C,[1]EMPREENDIMENTO!A:A),"-")</f>
        <v>APARECIDA DE GOIÂNIA</v>
      </c>
      <c r="D1219" s="28" t="s">
        <v>85</v>
      </c>
      <c r="E1219" s="28" t="s">
        <v>2240</v>
      </c>
      <c r="F1219" s="28" t="s">
        <v>31</v>
      </c>
      <c r="G1219" s="28" t="s">
        <v>2241</v>
      </c>
      <c r="H1219" s="28">
        <v>62930</v>
      </c>
      <c r="I1219" s="29">
        <f>IFERROR(_xlfn.XLOOKUP(E1219,[1]EMPREENDIMENTO!C:C,[1]EMPREENDIMENTO!E:E),"0")</f>
        <v>160</v>
      </c>
      <c r="J1219" s="30"/>
      <c r="K1219" s="28" t="s">
        <v>33</v>
      </c>
      <c r="L1219" s="31">
        <v>46121</v>
      </c>
      <c r="M1219" s="32">
        <v>115731991</v>
      </c>
      <c r="N1219" s="32">
        <v>115731991</v>
      </c>
      <c r="O1219" s="32">
        <v>115643400</v>
      </c>
      <c r="P1219" s="28" t="s">
        <v>34</v>
      </c>
      <c r="Q1219" s="28"/>
      <c r="R1219" s="30"/>
      <c r="S1219" s="30">
        <v>46122</v>
      </c>
      <c r="T1219" s="33"/>
      <c r="U1219" s="34" t="str">
        <f>IFERROR(_xlfn.XLOOKUP(E1219,[1]EMPREENDIMENTO!C:C,[1]EMPREENDIMENTO!D:D),"")</f>
        <v>25265B62-CDCA-E711-B989-80C16E075108</v>
      </c>
    </row>
    <row r="1220" spans="1:21" hidden="1" x14ac:dyDescent="0.35">
      <c r="A1220" s="28" t="str">
        <f>IFERROR(_xlfn.XLOOKUP(C1220,[1]DIRETORIA!C:C,[1]DIRETORIA!A:A),"-")</f>
        <v>DIR. COM E CRED CO E AM</v>
      </c>
      <c r="B1220" s="28" t="str">
        <f>IFERROR(_xlfn.XLOOKUP(C1220,[1]DIRETORIA!C:C,[1]DIRETORIA!B:B),"-")</f>
        <v>GST. COM GO</v>
      </c>
      <c r="C1220" s="28" t="str">
        <f>IFERROR(_xlfn.XLOOKUP(E1220,[1]EMPREENDIMENTO!C:C,[1]EMPREENDIMENTO!A:A),"-")</f>
        <v>APARECIDA DE GOIÂNIA</v>
      </c>
      <c r="D1220" s="28" t="s">
        <v>85</v>
      </c>
      <c r="E1220" s="28" t="s">
        <v>2240</v>
      </c>
      <c r="F1220" s="28" t="s">
        <v>36</v>
      </c>
      <c r="G1220" s="28" t="s">
        <v>2242</v>
      </c>
      <c r="H1220" s="28">
        <v>68393</v>
      </c>
      <c r="I1220" s="29">
        <f>IFERROR(_xlfn.XLOOKUP(E1220,[1]EMPREENDIMENTO!C:C,[1]EMPREENDIMENTO!E:E),"0")</f>
        <v>160</v>
      </c>
      <c r="J1220" s="30"/>
      <c r="K1220" s="28" t="s">
        <v>33</v>
      </c>
      <c r="L1220" s="31">
        <v>46121</v>
      </c>
      <c r="M1220" s="32">
        <v>115731991</v>
      </c>
      <c r="N1220" s="32">
        <v>115731991</v>
      </c>
      <c r="O1220" s="32">
        <v>115643400</v>
      </c>
      <c r="P1220" s="28" t="s">
        <v>34</v>
      </c>
      <c r="Q1220" s="28"/>
      <c r="R1220" s="30"/>
      <c r="S1220" s="30">
        <v>46122</v>
      </c>
      <c r="T1220" s="33"/>
      <c r="U1220" s="34" t="str">
        <f>IFERROR(_xlfn.XLOOKUP(E1220,[1]EMPREENDIMENTO!C:C,[1]EMPREENDIMENTO!D:D),"")</f>
        <v>25265B62-CDCA-E711-B989-80C16E075108</v>
      </c>
    </row>
    <row r="1221" spans="1:21" hidden="1" x14ac:dyDescent="0.35">
      <c r="A1221" s="28" t="str">
        <f>IFERROR(_xlfn.XLOOKUP(C1221,[1]DIRETORIA!C:C,[1]DIRETORIA!A:A),"-")</f>
        <v>DIR. COM E CRED CO E AM</v>
      </c>
      <c r="B1221" s="28" t="str">
        <f>IFERROR(_xlfn.XLOOKUP(C1221,[1]DIRETORIA!C:C,[1]DIRETORIA!B:B),"-")</f>
        <v>GST. COM GO</v>
      </c>
      <c r="C1221" s="28" t="str">
        <f>IFERROR(_xlfn.XLOOKUP(E1221,[1]EMPREENDIMENTO!C:C,[1]EMPREENDIMENTO!A:A),"-")</f>
        <v>APARECIDA DE GOIÂNIA</v>
      </c>
      <c r="D1221" s="28" t="s">
        <v>85</v>
      </c>
      <c r="E1221" s="28" t="s">
        <v>2240</v>
      </c>
      <c r="F1221" s="28" t="s">
        <v>39</v>
      </c>
      <c r="G1221" s="28" t="s">
        <v>268</v>
      </c>
      <c r="H1221" s="28" t="s">
        <v>268</v>
      </c>
      <c r="I1221" s="29">
        <f>IFERROR(_xlfn.XLOOKUP(E1221,[1]EMPREENDIMENTO!C:C,[1]EMPREENDIMENTO!E:E),"0")</f>
        <v>160</v>
      </c>
      <c r="J1221" s="30"/>
      <c r="K1221" s="28" t="s">
        <v>33</v>
      </c>
      <c r="L1221" s="31">
        <v>46121</v>
      </c>
      <c r="M1221" s="32">
        <v>115731991</v>
      </c>
      <c r="N1221" s="32">
        <v>115731991</v>
      </c>
      <c r="O1221" s="32">
        <v>115643400</v>
      </c>
      <c r="P1221" s="28" t="s">
        <v>34</v>
      </c>
      <c r="Q1221" s="28"/>
      <c r="R1221" s="30"/>
      <c r="S1221" s="30">
        <v>46122</v>
      </c>
      <c r="T1221" s="33"/>
      <c r="U1221" s="34" t="str">
        <f>IFERROR(_xlfn.XLOOKUP(E1221,[1]EMPREENDIMENTO!C:C,[1]EMPREENDIMENTO!D:D),"")</f>
        <v>25265B62-CDCA-E711-B989-80C16E075108</v>
      </c>
    </row>
    <row r="1222" spans="1:21" hidden="1" x14ac:dyDescent="0.35">
      <c r="A1222" s="28" t="str">
        <f>IFERROR(_xlfn.XLOOKUP(C1222,[1]DIRETORIA!C:C,[1]DIRETORIA!A:A),"-")</f>
        <v>DIR. COM E CRED CO E AM</v>
      </c>
      <c r="B1222" s="28" t="str">
        <f>IFERROR(_xlfn.XLOOKUP(C1222,[1]DIRETORIA!C:C,[1]DIRETORIA!B:B),"-")</f>
        <v>GST. COM GO</v>
      </c>
      <c r="C1222" s="28" t="str">
        <f>IFERROR(_xlfn.XLOOKUP(E1222,[1]EMPREENDIMENTO!C:C,[1]EMPREENDIMENTO!A:A),"-")</f>
        <v>GOIÂNIA</v>
      </c>
      <c r="D1222" s="28" t="s">
        <v>85</v>
      </c>
      <c r="E1222" s="28" t="s">
        <v>2243</v>
      </c>
      <c r="F1222" s="28" t="s">
        <v>42</v>
      </c>
      <c r="G1222" s="28" t="s">
        <v>2244</v>
      </c>
      <c r="H1222" s="28">
        <v>62688</v>
      </c>
      <c r="I1222" s="29">
        <f>IFERROR(_xlfn.XLOOKUP(E1222,[1]EMPREENDIMENTO!C:C,[1]EMPREENDIMENTO!E:E),"0")</f>
        <v>260</v>
      </c>
      <c r="J1222" s="30"/>
      <c r="K1222" s="28" t="s">
        <v>33</v>
      </c>
      <c r="L1222" s="31">
        <v>46122</v>
      </c>
      <c r="M1222" s="32">
        <v>100239968</v>
      </c>
      <c r="N1222" s="32">
        <v>100239968</v>
      </c>
      <c r="O1222" s="32">
        <v>100176657</v>
      </c>
      <c r="P1222" s="28" t="s">
        <v>34</v>
      </c>
      <c r="Q1222" s="28"/>
      <c r="R1222" s="30"/>
      <c r="S1222" s="30">
        <v>46125</v>
      </c>
      <c r="T1222" s="33"/>
      <c r="U1222" s="34" t="str">
        <f>IFERROR(_xlfn.XLOOKUP(E1222,[1]EMPREENDIMENTO!C:C,[1]EMPREENDIMENTO!D:D),"")</f>
        <v>176727AD-6568-E911-B8F1-009C02B0CB58</v>
      </c>
    </row>
    <row r="1223" spans="1:21" hidden="1" x14ac:dyDescent="0.35">
      <c r="A1223" s="28" t="str">
        <f>IFERROR(_xlfn.XLOOKUP(C1223,[1]DIRETORIA!C:C,[1]DIRETORIA!A:A),"-")</f>
        <v>DIR. COM E CRED SP E VL</v>
      </c>
      <c r="B1223" s="28" t="str">
        <f>IFERROR(_xlfn.XLOOKUP(C1223,[1]DIRETORIA!C:C,[1]DIRETORIA!B:B),"-")</f>
        <v>GST. COM VL1</v>
      </c>
      <c r="C1223" s="28" t="str">
        <f>IFERROR(_xlfn.XLOOKUP(E1223,[1]EMPREENDIMENTO!C:C,[1]EMPREENDIMENTO!A:A),"-")</f>
        <v>SÃO JOSÉ DOS CAMPOS</v>
      </c>
      <c r="D1223" s="28" t="s">
        <v>85</v>
      </c>
      <c r="E1223" s="28" t="s">
        <v>2245</v>
      </c>
      <c r="F1223" s="28" t="s">
        <v>42</v>
      </c>
      <c r="G1223" s="28" t="s">
        <v>2246</v>
      </c>
      <c r="H1223" s="28">
        <v>62799</v>
      </c>
      <c r="I1223" s="29">
        <f>IFERROR(_xlfn.XLOOKUP(E1223,[1]EMPREENDIMENTO!C:C,[1]EMPREENDIMENTO!E:E),"0")</f>
        <v>264</v>
      </c>
      <c r="J1223" s="30"/>
      <c r="K1223" s="28" t="s">
        <v>33</v>
      </c>
      <c r="L1223" s="31">
        <v>46121</v>
      </c>
      <c r="M1223" s="32">
        <v>94684610</v>
      </c>
      <c r="N1223" s="32">
        <v>94684610</v>
      </c>
      <c r="O1223" s="32">
        <v>92957757</v>
      </c>
      <c r="P1223" s="28" t="s">
        <v>34</v>
      </c>
      <c r="Q1223" s="28"/>
      <c r="R1223" s="30"/>
      <c r="S1223" s="30">
        <v>46125</v>
      </c>
      <c r="T1223" s="33"/>
      <c r="U1223" s="34" t="str">
        <f>IFERROR(_xlfn.XLOOKUP(E1223,[1]EMPREENDIMENTO!C:C,[1]EMPREENDIMENTO!D:D),"")</f>
        <v>8E56EA89-B66A-E911-90BB-80C16E075108</v>
      </c>
    </row>
    <row r="1224" spans="1:21" hidden="1" x14ac:dyDescent="0.35">
      <c r="A1224" s="28" t="str">
        <f>IFERROR(_xlfn.XLOOKUP(C1224,[1]DIRETORIA!C:C,[1]DIRETORIA!A:A),"-")</f>
        <v>DIR. COM E CRED NE</v>
      </c>
      <c r="B1224" s="28" t="str">
        <f>IFERROR(_xlfn.XLOOKUP(C1224,[1]DIRETORIA!C:C,[1]DIRETORIA!B:B),"-")</f>
        <v>GST. COM NE 7 (PI+MA)</v>
      </c>
      <c r="C1224" s="28" t="str">
        <f>IFERROR(_xlfn.XLOOKUP(E1224,[1]EMPREENDIMENTO!C:C,[1]EMPREENDIMENTO!A:A),"-")</f>
        <v>SÃO LUÍS</v>
      </c>
      <c r="D1224" s="28" t="s">
        <v>85</v>
      </c>
      <c r="E1224" s="28" t="s">
        <v>2247</v>
      </c>
      <c r="F1224" s="28" t="s">
        <v>42</v>
      </c>
      <c r="G1224" s="28" t="s">
        <v>2248</v>
      </c>
      <c r="H1224" s="28">
        <v>54819</v>
      </c>
      <c r="I1224" s="29">
        <f>IFERROR(_xlfn.XLOOKUP(E1224,[1]EMPREENDIMENTO!C:C,[1]EMPREENDIMENTO!E:E),"0")</f>
        <v>0</v>
      </c>
      <c r="J1224" s="30"/>
      <c r="K1224" s="28" t="s">
        <v>33</v>
      </c>
      <c r="L1224" s="31">
        <v>46125</v>
      </c>
      <c r="M1224" s="32">
        <v>117918236</v>
      </c>
      <c r="N1224" s="32">
        <v>117918236</v>
      </c>
      <c r="O1224" s="32">
        <v>110538869</v>
      </c>
      <c r="P1224" s="28" t="s">
        <v>2</v>
      </c>
      <c r="Q1224" s="28">
        <v>880899</v>
      </c>
      <c r="R1224" s="30">
        <v>46295</v>
      </c>
      <c r="S1224" s="30">
        <v>46126</v>
      </c>
      <c r="T1224" s="33"/>
      <c r="U1224" s="34" t="str">
        <f>IFERROR(_xlfn.XLOOKUP(E1224,[1]EMPREENDIMENTO!C:C,[1]EMPREENDIMENTO!D:D),"")</f>
        <v>3C07C312-6165-EF11-B65C-009C02B0CB58</v>
      </c>
    </row>
    <row r="1225" spans="1:21" hidden="1" x14ac:dyDescent="0.35">
      <c r="A1225" s="28" t="str">
        <f>IFERROR(_xlfn.XLOOKUP(C1225,[1]DIRETORIA!C:C,[1]DIRETORIA!A:A),"-")</f>
        <v>DIR. COM E CRED CO E AM</v>
      </c>
      <c r="B1225" s="28" t="str">
        <f>IFERROR(_xlfn.XLOOKUP(C1225,[1]DIRETORIA!C:C,[1]DIRETORIA!B:B),"-")</f>
        <v>GST. COM AM</v>
      </c>
      <c r="C1225" s="28" t="str">
        <f>IFERROR(_xlfn.XLOOKUP(E1225,[1]EMPREENDIMENTO!C:C,[1]EMPREENDIMENTO!A:A),"-")</f>
        <v>MANAUS</v>
      </c>
      <c r="D1225" s="28" t="s">
        <v>85</v>
      </c>
      <c r="E1225" s="28" t="s">
        <v>2249</v>
      </c>
      <c r="F1225" s="28" t="s">
        <v>42</v>
      </c>
      <c r="G1225" s="28" t="s">
        <v>2250</v>
      </c>
      <c r="H1225" s="28">
        <v>62805</v>
      </c>
      <c r="I1225" s="29">
        <f>IFERROR(_xlfn.XLOOKUP(E1225,[1]EMPREENDIMENTO!C:C,[1]EMPREENDIMENTO!E:E),"0")</f>
        <v>0</v>
      </c>
      <c r="J1225" s="30"/>
      <c r="K1225" s="28" t="s">
        <v>33</v>
      </c>
      <c r="L1225" s="31">
        <v>46244</v>
      </c>
      <c r="M1225" s="32">
        <v>104494269</v>
      </c>
      <c r="N1225" s="32">
        <v>112027949</v>
      </c>
      <c r="O1225" s="32">
        <v>109962891</v>
      </c>
      <c r="P1225" s="28" t="s">
        <v>34</v>
      </c>
      <c r="Q1225" s="28">
        <v>864879</v>
      </c>
      <c r="R1225" s="30">
        <v>46265</v>
      </c>
      <c r="S1225" s="30">
        <v>46245</v>
      </c>
      <c r="T1225" s="33"/>
      <c r="U1225" s="34" t="str">
        <f>IFERROR(_xlfn.XLOOKUP(E1225,[1]EMPREENDIMENTO!C:C,[1]EMPREENDIMENTO!D:D),"")</f>
        <v>5F74164D-0385-F011-9E52-005056856875</v>
      </c>
    </row>
    <row r="1226" spans="1:21" hidden="1" x14ac:dyDescent="0.35">
      <c r="A1226" s="28" t="s">
        <v>1188</v>
      </c>
      <c r="B1226" s="28" t="s">
        <v>2110</v>
      </c>
      <c r="C1226" s="28" t="s">
        <v>2121</v>
      </c>
      <c r="D1226" s="28" t="s">
        <v>85</v>
      </c>
      <c r="E1226" s="28" t="s">
        <v>2251</v>
      </c>
      <c r="F1226" s="28" t="s">
        <v>42</v>
      </c>
      <c r="G1226" s="28" t="s">
        <v>2252</v>
      </c>
      <c r="H1226" s="28">
        <v>61647</v>
      </c>
      <c r="I1226" s="29">
        <f>IFERROR(_xlfn.XLOOKUP(E1226,[1]EMPREENDIMENTO!C:C,[1]EMPREENDIMENTO!E:E),"0")</f>
        <v>0</v>
      </c>
      <c r="J1226" s="30"/>
      <c r="K1226" s="28" t="s">
        <v>33</v>
      </c>
      <c r="L1226" s="31">
        <v>46183</v>
      </c>
      <c r="M1226" s="32">
        <v>47081874</v>
      </c>
      <c r="N1226" s="32">
        <v>52757932</v>
      </c>
      <c r="O1226" s="32">
        <v>48937192</v>
      </c>
      <c r="P1226" s="28" t="s">
        <v>34</v>
      </c>
      <c r="Q1226" s="28">
        <v>839610</v>
      </c>
      <c r="R1226" s="30">
        <v>46204</v>
      </c>
      <c r="S1226" s="30">
        <v>46183</v>
      </c>
      <c r="T1226" s="33"/>
      <c r="U1226" s="34" t="str">
        <f>IFERROR(_xlfn.XLOOKUP(E1226,[1]EMPREENDIMENTO!C:C,[1]EMPREENDIMENTO!D:D),"")</f>
        <v>BC34FD44-ED88-F011-A087-005056856875</v>
      </c>
    </row>
    <row r="1227" spans="1:21" hidden="1" x14ac:dyDescent="0.35">
      <c r="A1227" s="28" t="str">
        <f>IFERROR(_xlfn.XLOOKUP(C1227,[1]DIRETORIA!C:C,[1]DIRETORIA!A:A),"-")</f>
        <v>DIR. COM E CRED NE</v>
      </c>
      <c r="B1227" s="28" t="str">
        <f>IFERROR(_xlfn.XLOOKUP(C1227,[1]DIRETORIA!C:C,[1]DIRETORIA!B:B),"-")</f>
        <v>GST. COM NE4 (CE)</v>
      </c>
      <c r="C1227" s="28" t="str">
        <f>IFERROR(_xlfn.XLOOKUP(E1227,[1]EMPREENDIMENTO!C:C,[1]EMPREENDIMENTO!A:A),"-")</f>
        <v>FORTALEZA</v>
      </c>
      <c r="D1227" s="28" t="s">
        <v>85</v>
      </c>
      <c r="E1227" s="28" t="s">
        <v>2253</v>
      </c>
      <c r="F1227" s="28" t="s">
        <v>42</v>
      </c>
      <c r="G1227" s="28" t="s">
        <v>2254</v>
      </c>
      <c r="H1227" s="28">
        <v>62566</v>
      </c>
      <c r="I1227" s="29">
        <f>IFERROR(_xlfn.XLOOKUP(E1227,[1]EMPREENDIMENTO!C:C,[1]EMPREENDIMENTO!E:E),"0")</f>
        <v>0</v>
      </c>
      <c r="J1227" s="30"/>
      <c r="K1227" s="28" t="s">
        <v>33</v>
      </c>
      <c r="L1227" s="31">
        <v>46155</v>
      </c>
      <c r="M1227" s="32">
        <v>56638860</v>
      </c>
      <c r="N1227" s="32">
        <v>56638860</v>
      </c>
      <c r="O1227" s="32">
        <v>51538000</v>
      </c>
      <c r="P1227" s="28" t="s">
        <v>34</v>
      </c>
      <c r="Q1227" s="28">
        <v>829562</v>
      </c>
      <c r="R1227" s="30">
        <v>46181</v>
      </c>
      <c r="S1227" s="30">
        <v>46156</v>
      </c>
      <c r="T1227" s="33"/>
      <c r="U1227" s="34" t="str">
        <f>IFERROR(_xlfn.XLOOKUP(E1227,[1]EMPREENDIMENTO!C:C,[1]EMPREENDIMENTO!D:D),"")</f>
        <v>9A6BA7FD-50BF-EC11-B1AD-005056856875</v>
      </c>
    </row>
    <row r="1228" spans="1:21" hidden="1" x14ac:dyDescent="0.35">
      <c r="A1228" s="28" t="str">
        <f>IFERROR(_xlfn.XLOOKUP(C1228,[1]DIRETORIA!C:C,[1]DIRETORIA!A:A),"-")</f>
        <v>DIR. COM E CRED RJ</v>
      </c>
      <c r="B1228" s="28" t="str">
        <f>IFERROR(_xlfn.XLOOKUP(C1228,[1]DIRETORIA!C:C,[1]DIRETORIA!B:B),"-")</f>
        <v>GST. COM RJ1</v>
      </c>
      <c r="C1228" s="28" t="str">
        <f>IFERROR(_xlfn.XLOOKUP(E1228,[1]EMPREENDIMENTO!C:C,[1]EMPREENDIMENTO!A:A),"-")</f>
        <v>RIO DE JANEIRO</v>
      </c>
      <c r="D1228" s="28" t="s">
        <v>85</v>
      </c>
      <c r="E1228" s="28" t="s">
        <v>2255</v>
      </c>
      <c r="F1228" s="28" t="s">
        <v>42</v>
      </c>
      <c r="G1228" s="28" t="s">
        <v>2256</v>
      </c>
      <c r="H1228" s="28">
        <v>61142</v>
      </c>
      <c r="I1228" s="29">
        <f>IFERROR(_xlfn.XLOOKUP(E1228,[1]EMPREENDIMENTO!C:C,[1]EMPREENDIMENTO!E:E),"0")</f>
        <v>499</v>
      </c>
      <c r="J1228" s="30"/>
      <c r="K1228" s="28" t="s">
        <v>33</v>
      </c>
      <c r="L1228" s="31">
        <v>46184</v>
      </c>
      <c r="M1228" s="32">
        <v>152452148</v>
      </c>
      <c r="N1228" s="32">
        <v>152452148</v>
      </c>
      <c r="O1228" s="32">
        <v>145111498</v>
      </c>
      <c r="P1228" s="28" t="s">
        <v>34</v>
      </c>
      <c r="Q1228" s="28">
        <v>837249</v>
      </c>
      <c r="R1228" s="30">
        <v>46202</v>
      </c>
      <c r="S1228" s="30">
        <v>46184</v>
      </c>
      <c r="T1228" s="33"/>
      <c r="U1228" s="34" t="str">
        <f>IFERROR(_xlfn.XLOOKUP(E1228,[1]EMPREENDIMENTO!C:C,[1]EMPREENDIMENTO!D:D),"")</f>
        <v>BEDD8A90-DC41-E911-810A-80C16E075108</v>
      </c>
    </row>
    <row r="1229" spans="1:21" hidden="1" x14ac:dyDescent="0.35">
      <c r="A1229" s="28" t="str">
        <f>IFERROR(_xlfn.XLOOKUP(C1229,[1]DIRETORIA!C:C,[1]DIRETORIA!A:A),"-")</f>
        <v>DIR. COM E CRED CO E AM</v>
      </c>
      <c r="B1229" s="28" t="str">
        <f>IFERROR(_xlfn.XLOOKUP(C1229,[1]DIRETORIA!C:C,[1]DIRETORIA!B:B),"-")</f>
        <v>GST. COM MT</v>
      </c>
      <c r="C1229" s="28" t="str">
        <f>IFERROR(_xlfn.XLOOKUP(E1229,[1]EMPREENDIMENTO!C:C,[1]EMPREENDIMENTO!A:A),"-")</f>
        <v>VÁRZEA GRANDE</v>
      </c>
      <c r="D1229" s="28" t="s">
        <v>85</v>
      </c>
      <c r="E1229" s="28" t="s">
        <v>2257</v>
      </c>
      <c r="F1229" s="28" t="s">
        <v>42</v>
      </c>
      <c r="G1229" s="28" t="s">
        <v>2258</v>
      </c>
      <c r="H1229" s="28">
        <v>63092</v>
      </c>
      <c r="I1229" s="29">
        <f>IFERROR(_xlfn.XLOOKUP(E1229,[1]EMPREENDIMENTO!C:C,[1]EMPREENDIMENTO!E:E),"0")</f>
        <v>0</v>
      </c>
      <c r="J1229" s="30"/>
      <c r="K1229" s="28" t="s">
        <v>33</v>
      </c>
      <c r="L1229" s="31">
        <v>46136</v>
      </c>
      <c r="M1229" s="32">
        <v>81653697</v>
      </c>
      <c r="N1229" s="32">
        <v>81653697</v>
      </c>
      <c r="O1229" s="32">
        <v>79904052</v>
      </c>
      <c r="P1229" s="28" t="s">
        <v>34</v>
      </c>
      <c r="Q1229" s="28"/>
      <c r="R1229" s="30"/>
      <c r="S1229" s="30">
        <v>46139</v>
      </c>
      <c r="T1229" s="33"/>
      <c r="U1229" s="34" t="str">
        <f>IFERROR(_xlfn.XLOOKUP(E1229,[1]EMPREENDIMENTO!C:C,[1]EMPREENDIMENTO!D:D),"")</f>
        <v>4B6669EA-217F-EE11-8E2D-009C02B0CB58</v>
      </c>
    </row>
    <row r="1230" spans="1:21" hidden="1" x14ac:dyDescent="0.35">
      <c r="A1230" s="28" t="str">
        <f>IFERROR(_xlfn.XLOOKUP(C1230,[1]DIRETORIA!C:C,[1]DIRETORIA!A:A),"-")</f>
        <v>DIR. COM E CRED SP E VL</v>
      </c>
      <c r="B1230" s="28" t="str">
        <f>IFERROR(_xlfn.XLOOKUP(C1230,[1]DIRETORIA!C:C,[1]DIRETORIA!B:B),"-")</f>
        <v>GST. COM VL1</v>
      </c>
      <c r="C1230" s="28" t="str">
        <f>IFERROR(_xlfn.XLOOKUP(E1230,[1]EMPREENDIMENTO!C:C,[1]EMPREENDIMENTO!A:A),"-")</f>
        <v>SÃO JOSÉ DOS CAMPOS</v>
      </c>
      <c r="D1230" s="28" t="s">
        <v>85</v>
      </c>
      <c r="E1230" s="28" t="s">
        <v>2259</v>
      </c>
      <c r="F1230" s="28" t="s">
        <v>42</v>
      </c>
      <c r="G1230" s="28" t="s">
        <v>2260</v>
      </c>
      <c r="H1230" s="28">
        <v>63090</v>
      </c>
      <c r="I1230" s="29">
        <f>IFERROR(_xlfn.XLOOKUP(E1230,[1]EMPREENDIMENTO!C:C,[1]EMPREENDIMENTO!E:E),"0")</f>
        <v>0</v>
      </c>
      <c r="J1230" s="30"/>
      <c r="K1230" s="28" t="s">
        <v>33</v>
      </c>
      <c r="L1230" s="31">
        <v>46139</v>
      </c>
      <c r="M1230" s="32">
        <v>84955730</v>
      </c>
      <c r="N1230" s="32">
        <v>84955730</v>
      </c>
      <c r="O1230" s="32">
        <v>84353287</v>
      </c>
      <c r="P1230" s="28" t="s">
        <v>34</v>
      </c>
      <c r="Q1230" s="28" t="s">
        <v>2261</v>
      </c>
      <c r="R1230" s="30"/>
      <c r="S1230" s="30">
        <v>46139</v>
      </c>
      <c r="T1230" s="33"/>
      <c r="U1230" s="34" t="str">
        <f>IFERROR(_xlfn.XLOOKUP(E1230,[1]EMPREENDIMENTO!C:C,[1]EMPREENDIMENTO!D:D),"")</f>
        <v>C27826D9-6C6E-EE11-8E2D-009C02B0CB58</v>
      </c>
    </row>
    <row r="1231" spans="1:21" hidden="1" x14ac:dyDescent="0.35">
      <c r="A1231" s="28" t="str">
        <f>IFERROR(_xlfn.XLOOKUP(C1231,[1]DIRETORIA!C:C,[1]DIRETORIA!A:A),"-")</f>
        <v>DIR. COM E CRED MG E ES</v>
      </c>
      <c r="B1231" s="28" t="str">
        <f>IFERROR(_xlfn.XLOOKUP(C1231,[1]DIRETORIA!C:C,[1]DIRETORIA!B:B),"-")</f>
        <v>GST. COM ES</v>
      </c>
      <c r="C1231" s="28" t="str">
        <f>IFERROR(_xlfn.XLOOKUP(E1231,[1]EMPREENDIMENTO!C:C,[1]EMPREENDIMENTO!A:A),"-")</f>
        <v>SERRA</v>
      </c>
      <c r="D1231" s="28" t="s">
        <v>85</v>
      </c>
      <c r="E1231" s="28" t="s">
        <v>2262</v>
      </c>
      <c r="F1231" s="28" t="s">
        <v>42</v>
      </c>
      <c r="G1231" s="28" t="s">
        <v>2263</v>
      </c>
      <c r="H1231" s="28">
        <v>62691</v>
      </c>
      <c r="I1231" s="29">
        <f>IFERROR(_xlfn.XLOOKUP(E1231,[1]EMPREENDIMENTO!C:C,[1]EMPREENDIMENTO!E:E),"0")</f>
        <v>0</v>
      </c>
      <c r="J1231" s="30"/>
      <c r="K1231" s="28" t="s">
        <v>33</v>
      </c>
      <c r="L1231" s="31">
        <v>46248</v>
      </c>
      <c r="M1231" s="32">
        <v>103248388</v>
      </c>
      <c r="N1231" s="32">
        <v>107143142</v>
      </c>
      <c r="O1231" s="32">
        <v>103252612</v>
      </c>
      <c r="P1231" s="28" t="s">
        <v>34</v>
      </c>
      <c r="Q1231" s="28">
        <v>865360</v>
      </c>
      <c r="R1231" s="30">
        <v>46265</v>
      </c>
      <c r="S1231" s="30">
        <v>46248</v>
      </c>
      <c r="T1231" s="33"/>
      <c r="U1231" s="34" t="str">
        <f>IFERROR(_xlfn.XLOOKUP(E1231,[1]EMPREENDIMENTO!C:C,[1]EMPREENDIMENTO!D:D),"")</f>
        <v>3E33EDDC-EB81-EF11-B65C-009C02B0CB58</v>
      </c>
    </row>
    <row r="1232" spans="1:21" x14ac:dyDescent="0.35">
      <c r="A1232" s="28" t="str">
        <f>IFERROR(_xlfn.XLOOKUP(C1232,[1]DIRETORIA!C:C,[1]DIRETORIA!A:A),"-")</f>
        <v>DIR. COM E CRED SPI</v>
      </c>
      <c r="B1232" s="28" t="str">
        <f>IFERROR(_xlfn.XLOOKUP(C1232,[1]DIRETORIA!C:C,[1]DIRETORIA!B:B),"-")</f>
        <v>GST. COM RP 1</v>
      </c>
      <c r="C1232" s="28" t="str">
        <f>IFERROR(_xlfn.XLOOKUP(E1232,[1]EMPREENDIMENTO!C:C,[1]EMPREENDIMENTO!A:A),"-")</f>
        <v>RIBEIRÃO PRETO</v>
      </c>
      <c r="D1232" s="28" t="s">
        <v>85</v>
      </c>
      <c r="E1232" s="28" t="s">
        <v>2264</v>
      </c>
      <c r="F1232" s="28" t="s">
        <v>42</v>
      </c>
      <c r="G1232" s="28" t="s">
        <v>2265</v>
      </c>
      <c r="H1232" s="28">
        <v>62901</v>
      </c>
      <c r="I1232" s="29">
        <f>IFERROR(_xlfn.XLOOKUP(E1232,[1]EMPREENDIMENTO!C:C,[1]EMPREENDIMENTO!E:E),"0")</f>
        <v>136</v>
      </c>
      <c r="J1232" s="30"/>
      <c r="K1232" s="28" t="s">
        <v>33</v>
      </c>
      <c r="L1232" s="31">
        <v>46139</v>
      </c>
      <c r="M1232" s="32">
        <v>37672000</v>
      </c>
      <c r="N1232" s="32">
        <v>37672000</v>
      </c>
      <c r="O1232" s="32">
        <v>37672000</v>
      </c>
      <c r="P1232" s="28" t="s">
        <v>34</v>
      </c>
      <c r="Q1232" s="28"/>
      <c r="R1232" s="30"/>
      <c r="S1232" s="30">
        <v>46140</v>
      </c>
      <c r="T1232" s="33"/>
      <c r="U1232" s="34" t="str">
        <f>IFERROR(_xlfn.XLOOKUP(E1232,[1]EMPREENDIMENTO!C:C,[1]EMPREENDIMENTO!D:D),"")</f>
        <v>9BABF6B9-FF66-F011-A9C1-009C02B0CB58</v>
      </c>
    </row>
    <row r="1233" spans="1:21" hidden="1" x14ac:dyDescent="0.35">
      <c r="A1233" s="28" t="str">
        <f>IFERROR(_xlfn.XLOOKUP(C1233,[1]DIRETORIA!C:C,[1]DIRETORIA!A:A),"-")</f>
        <v>DIR. COM E CRED SUL</v>
      </c>
      <c r="B1233" s="28" t="str">
        <f>IFERROR(_xlfn.XLOOKUP(C1233,[1]DIRETORIA!C:C,[1]DIRETORIA!B:B),"-")</f>
        <v>GST. COM CURITIBA</v>
      </c>
      <c r="C1233" s="28" t="str">
        <f>IFERROR(_xlfn.XLOOKUP(E1233,[1]EMPREENDIMENTO!C:C,[1]EMPREENDIMENTO!A:A),"-")</f>
        <v>CURITIBA</v>
      </c>
      <c r="D1233" s="28" t="s">
        <v>85</v>
      </c>
      <c r="E1233" s="28" t="s">
        <v>2266</v>
      </c>
      <c r="F1233" s="28" t="s">
        <v>42</v>
      </c>
      <c r="G1233" s="28" t="s">
        <v>2267</v>
      </c>
      <c r="H1233" s="28">
        <v>62844</v>
      </c>
      <c r="I1233" s="29">
        <f>IFERROR(_xlfn.XLOOKUP(E1233,[1]EMPREENDIMENTO!C:C,[1]EMPREENDIMENTO!E:E),"0")</f>
        <v>0</v>
      </c>
      <c r="J1233" s="30"/>
      <c r="K1233" s="28" t="s">
        <v>33</v>
      </c>
      <c r="L1233" s="31">
        <v>46140</v>
      </c>
      <c r="M1233" s="32">
        <v>48644800</v>
      </c>
      <c r="N1233" s="32">
        <v>48644800</v>
      </c>
      <c r="O1233" s="32">
        <v>47395100</v>
      </c>
      <c r="P1233" s="28" t="s">
        <v>34</v>
      </c>
      <c r="Q1233" s="28"/>
      <c r="R1233" s="30"/>
      <c r="S1233" s="30">
        <v>46140</v>
      </c>
      <c r="T1233" s="33" t="s">
        <v>2268</v>
      </c>
      <c r="U1233" s="34" t="str">
        <f>IFERROR(_xlfn.XLOOKUP(E1233,[1]EMPREENDIMENTO!C:C,[1]EMPREENDIMENTO!D:D),"")</f>
        <v>73042A6C-623D-F011-AB5A-80C16E075108</v>
      </c>
    </row>
    <row r="1234" spans="1:21" hidden="1" x14ac:dyDescent="0.35">
      <c r="A1234" s="28" t="str">
        <f>IFERROR(_xlfn.XLOOKUP(C1234,[1]DIRETORIA!C:C,[1]DIRETORIA!A:A),"-")</f>
        <v>DIR. COM E CRED MG E ES</v>
      </c>
      <c r="B1234" s="28" t="str">
        <f>IFERROR(_xlfn.XLOOKUP(C1234,[1]DIRETORIA!C:C,[1]DIRETORIA!B:B),"-")</f>
        <v>GST. COM TM</v>
      </c>
      <c r="C1234" s="28" t="str">
        <f>IFERROR(_xlfn.XLOOKUP(E1234,[1]EMPREENDIMENTO!C:C,[1]EMPREENDIMENTO!A:A),"-")</f>
        <v>UBERLÂNDIA</v>
      </c>
      <c r="D1234" s="28" t="s">
        <v>85</v>
      </c>
      <c r="E1234" s="28" t="s">
        <v>2269</v>
      </c>
      <c r="F1234" s="28" t="s">
        <v>42</v>
      </c>
      <c r="G1234" s="28" t="s">
        <v>2270</v>
      </c>
      <c r="H1234" s="28">
        <v>63153</v>
      </c>
      <c r="I1234" s="29">
        <f>IFERROR(_xlfn.XLOOKUP(E1234,[1]EMPREENDIMENTO!C:C,[1]EMPREENDIMENTO!E:E),"0")</f>
        <v>0</v>
      </c>
      <c r="J1234" s="30"/>
      <c r="K1234" s="28" t="s">
        <v>33</v>
      </c>
      <c r="L1234" s="31">
        <v>46142</v>
      </c>
      <c r="M1234" s="32">
        <v>169868008</v>
      </c>
      <c r="N1234" s="32">
        <v>169868008</v>
      </c>
      <c r="O1234" s="32">
        <v>125778200</v>
      </c>
      <c r="P1234" s="28" t="s">
        <v>34</v>
      </c>
      <c r="Q1234" s="28"/>
      <c r="R1234" s="30"/>
      <c r="S1234" s="30">
        <v>46142</v>
      </c>
      <c r="T1234" s="33"/>
      <c r="U1234" s="34" t="str">
        <f>IFERROR(_xlfn.XLOOKUP(E1234,[1]EMPREENDIMENTO!C:C,[1]EMPREENDIMENTO!D:D),"")</f>
        <v>1BD74073-FE53-EE11-AE6A-009C02B0CB58</v>
      </c>
    </row>
    <row r="1235" spans="1:21" hidden="1" x14ac:dyDescent="0.35">
      <c r="A1235" s="28" t="str">
        <f>IFERROR(_xlfn.XLOOKUP(C1235,[1]DIRETORIA!C:C,[1]DIRETORIA!A:A),"-")</f>
        <v>DIR. COM E CRED CO E AM</v>
      </c>
      <c r="B1235" s="28" t="str">
        <f>IFERROR(_xlfn.XLOOKUP(C1235,[1]DIRETORIA!C:C,[1]DIRETORIA!B:B),"-")</f>
        <v>GST. COM AM</v>
      </c>
      <c r="C1235" s="28" t="str">
        <f>IFERROR(_xlfn.XLOOKUP(E1235,[1]EMPREENDIMENTO!C:C,[1]EMPREENDIMENTO!A:A),"-")</f>
        <v>MANAUS</v>
      </c>
      <c r="D1235" s="28" t="s">
        <v>85</v>
      </c>
      <c r="E1235" s="28" t="s">
        <v>2271</v>
      </c>
      <c r="F1235" s="28" t="s">
        <v>42</v>
      </c>
      <c r="G1235" s="28" t="s">
        <v>2272</v>
      </c>
      <c r="H1235" s="28">
        <v>63210</v>
      </c>
      <c r="I1235" s="29">
        <f>IFERROR(_xlfn.XLOOKUP(E1235,[1]EMPREENDIMENTO!C:C,[1]EMPREENDIMENTO!E:E),"0")</f>
        <v>0</v>
      </c>
      <c r="J1235" s="30"/>
      <c r="K1235" s="28" t="s">
        <v>33</v>
      </c>
      <c r="L1235" s="31">
        <v>46142</v>
      </c>
      <c r="M1235" s="32">
        <v>142440476</v>
      </c>
      <c r="N1235" s="32">
        <v>142440476</v>
      </c>
      <c r="O1235" s="32">
        <v>121551600</v>
      </c>
      <c r="P1235" s="28" t="s">
        <v>34</v>
      </c>
      <c r="Q1235" s="28"/>
      <c r="R1235" s="30"/>
      <c r="S1235" s="30">
        <v>46146</v>
      </c>
      <c r="T1235" s="33"/>
      <c r="U1235" s="34" t="str">
        <f>IFERROR(_xlfn.XLOOKUP(E1235,[1]EMPREENDIMENTO!C:C,[1]EMPREENDIMENTO!D:D),"")</f>
        <v>1E77A65B-E24D-F011-B65C-009C02B0CB58</v>
      </c>
    </row>
    <row r="1236" spans="1:21" hidden="1" x14ac:dyDescent="0.35">
      <c r="A1236" s="28" t="str">
        <f>IFERROR(_xlfn.XLOOKUP(C1236,[1]DIRETORIA!C:C,[1]DIRETORIA!A:A),"-")</f>
        <v>DIR. COM E CRED NE</v>
      </c>
      <c r="B1236" s="28" t="str">
        <f>IFERROR(_xlfn.XLOOKUP(C1236,[1]DIRETORIA!C:C,[1]DIRETORIA!B:B),"-")</f>
        <v>GST. COM NE 7 (PI+MA)</v>
      </c>
      <c r="C1236" s="28" t="str">
        <f>IFERROR(_xlfn.XLOOKUP(E1236,[1]EMPREENDIMENTO!C:C,[1]EMPREENDIMENTO!A:A),"-")</f>
        <v>SÃO LUÍS</v>
      </c>
      <c r="D1236" s="28" t="s">
        <v>85</v>
      </c>
      <c r="E1236" s="28" t="s">
        <v>2273</v>
      </c>
      <c r="F1236" s="28" t="s">
        <v>42</v>
      </c>
      <c r="G1236" s="28" t="s">
        <v>2274</v>
      </c>
      <c r="H1236" s="28">
        <v>28178</v>
      </c>
      <c r="I1236" s="29">
        <f>IFERROR(_xlfn.XLOOKUP(E1236,[1]EMPREENDIMENTO!C:C,[1]EMPREENDIMENTO!E:E),"0")</f>
        <v>352</v>
      </c>
      <c r="J1236" s="30"/>
      <c r="K1236" s="28" t="s">
        <v>33</v>
      </c>
      <c r="L1236" s="31">
        <v>46210</v>
      </c>
      <c r="M1236" s="32">
        <v>93226580</v>
      </c>
      <c r="N1236" s="32">
        <v>104027654</v>
      </c>
      <c r="O1236" s="32">
        <v>95821632</v>
      </c>
      <c r="P1236" s="28" t="s">
        <v>34</v>
      </c>
      <c r="Q1236" s="28"/>
      <c r="R1236" s="30"/>
      <c r="S1236" s="30">
        <v>46213</v>
      </c>
      <c r="T1236" s="33"/>
      <c r="U1236" s="34" t="str">
        <f>IFERROR(_xlfn.XLOOKUP(E1236,[1]EMPREENDIMENTO!C:C,[1]EMPREENDIMENTO!D:D),"")</f>
        <v>C4C3B2B4-188F-E611-B1E9-009C02B0CB58</v>
      </c>
    </row>
    <row r="1237" spans="1:21" hidden="1" x14ac:dyDescent="0.35">
      <c r="A1237" s="28" t="str">
        <f>IFERROR(_xlfn.XLOOKUP(C1237,[1]DIRETORIA!C:C,[1]DIRETORIA!A:A),"-")</f>
        <v>DIR. COM E CRED SP E VL</v>
      </c>
      <c r="B1237" s="28" t="str">
        <f>IFERROR(_xlfn.XLOOKUP(C1237,[1]DIRETORIA!C:C,[1]DIRETORIA!B:B),"-")</f>
        <v>GST. COM VL2</v>
      </c>
      <c r="C1237" s="28" t="str">
        <f>IFERROR(_xlfn.XLOOKUP(E1237,[1]EMPREENDIMENTO!C:C,[1]EMPREENDIMENTO!A:A),"-")</f>
        <v>GUARULHOS</v>
      </c>
      <c r="D1237" s="28" t="s">
        <v>85</v>
      </c>
      <c r="E1237" s="28" t="s">
        <v>2275</v>
      </c>
      <c r="F1237" s="28" t="s">
        <v>42</v>
      </c>
      <c r="G1237" s="28" t="s">
        <v>2276</v>
      </c>
      <c r="H1237" s="28">
        <v>54263</v>
      </c>
      <c r="I1237" s="29">
        <f>IFERROR(_xlfn.XLOOKUP(E1237,[1]EMPREENDIMENTO!C:C,[1]EMPREENDIMENTO!E:E),"0")</f>
        <v>0</v>
      </c>
      <c r="J1237" s="30"/>
      <c r="K1237" s="28" t="s">
        <v>33</v>
      </c>
      <c r="L1237" s="31">
        <v>46205</v>
      </c>
      <c r="M1237" s="32">
        <v>88511402</v>
      </c>
      <c r="N1237" s="32">
        <v>88511402</v>
      </c>
      <c r="O1237" s="32">
        <v>81186000</v>
      </c>
      <c r="P1237" s="28" t="s">
        <v>34</v>
      </c>
      <c r="Q1237" s="28" t="s">
        <v>2277</v>
      </c>
      <c r="R1237" s="30">
        <v>46223</v>
      </c>
      <c r="S1237" s="30">
        <v>46205</v>
      </c>
      <c r="T1237" s="33"/>
      <c r="U1237" s="34" t="str">
        <f>IFERROR(_xlfn.XLOOKUP(E1237,[1]EMPREENDIMENTO!C:C,[1]EMPREENDIMENTO!D:D),"")</f>
        <v>AC55FC36-6365-EF11-B65C-009C02B0CB58</v>
      </c>
    </row>
    <row r="1238" spans="1:21" hidden="1" x14ac:dyDescent="0.35">
      <c r="A1238" s="28" t="str">
        <f>IFERROR(_xlfn.XLOOKUP(C1238,[1]DIRETORIA!C:C,[1]DIRETORIA!A:A),"-")</f>
        <v>DIR. COM E CRED SP E VL</v>
      </c>
      <c r="B1238" s="28" t="str">
        <f>IFERROR(_xlfn.XLOOKUP(C1238,[1]DIRETORIA!C:C,[1]DIRETORIA!B:B),"-")</f>
        <v>GST. COM VL1</v>
      </c>
      <c r="C1238" s="28" t="str">
        <f>IFERROR(_xlfn.XLOOKUP(E1238,[1]EMPREENDIMENTO!C:C,[1]EMPREENDIMENTO!A:A),"-")</f>
        <v>SÃO JOSÉ DOS CAMPOS</v>
      </c>
      <c r="D1238" s="28" t="s">
        <v>85</v>
      </c>
      <c r="E1238" s="28" t="s">
        <v>2278</v>
      </c>
      <c r="F1238" s="28" t="s">
        <v>42</v>
      </c>
      <c r="G1238" s="28" t="s">
        <v>2279</v>
      </c>
      <c r="H1238" s="28">
        <v>63203</v>
      </c>
      <c r="I1238" s="29">
        <f>IFERROR(_xlfn.XLOOKUP(E1238,[1]EMPREENDIMENTO!C:C,[1]EMPREENDIMENTO!E:E),"0")</f>
        <v>288</v>
      </c>
      <c r="J1238" s="30"/>
      <c r="K1238" s="28" t="s">
        <v>33</v>
      </c>
      <c r="L1238" s="31">
        <v>46147</v>
      </c>
      <c r="M1238" s="32">
        <v>104605371</v>
      </c>
      <c r="N1238" s="32">
        <v>104605371</v>
      </c>
      <c r="O1238" s="32">
        <v>97290000</v>
      </c>
      <c r="P1238" s="28" t="s">
        <v>34</v>
      </c>
      <c r="Q1238" s="28"/>
      <c r="R1238" s="30"/>
      <c r="S1238" s="30">
        <v>46147</v>
      </c>
      <c r="T1238" s="33"/>
      <c r="U1238" s="34" t="str">
        <f>IFERROR(_xlfn.XLOOKUP(E1238,[1]EMPREENDIMENTO!C:C,[1]EMPREENDIMENTO!D:D),"")</f>
        <v>600B2D28-A76A-E911-90BB-80C16E075108</v>
      </c>
    </row>
    <row r="1239" spans="1:21" x14ac:dyDescent="0.35">
      <c r="A1239" s="28" t="str">
        <f>IFERROR(_xlfn.XLOOKUP(C1239,[1]DIRETORIA!C:C,[1]DIRETORIA!A:A),"-")</f>
        <v>DIR. COM E CRED SPI CP</v>
      </c>
      <c r="B1239" s="28" t="str">
        <f>IFERROR(_xlfn.XLOOKUP(C1239,[1]DIRETORIA!C:C,[1]DIRETORIA!B:B),"-")</f>
        <v>GST. COM CP2</v>
      </c>
      <c r="C1239" s="28" t="str">
        <f>IFERROR(_xlfn.XLOOKUP(E1239,[1]EMPREENDIMENTO!C:C,[1]EMPREENDIMENTO!A:A),"-")</f>
        <v>SOROCABA</v>
      </c>
      <c r="D1239" s="28" t="s">
        <v>85</v>
      </c>
      <c r="E1239" s="28" t="s">
        <v>2280</v>
      </c>
      <c r="F1239" s="28" t="s">
        <v>42</v>
      </c>
      <c r="G1239" s="28" t="s">
        <v>2281</v>
      </c>
      <c r="H1239" s="28">
        <v>63254</v>
      </c>
      <c r="I1239" s="29">
        <f>IFERROR(_xlfn.XLOOKUP(E1239,[1]EMPREENDIMENTO!C:C,[1]EMPREENDIMENTO!E:E),"0")</f>
        <v>192</v>
      </c>
      <c r="J1239" s="30"/>
      <c r="K1239" s="28" t="s">
        <v>33</v>
      </c>
      <c r="L1239" s="31">
        <v>46148</v>
      </c>
      <c r="M1239" s="32">
        <v>113287733</v>
      </c>
      <c r="N1239" s="32">
        <v>113287733</v>
      </c>
      <c r="O1239" s="32">
        <v>107891000</v>
      </c>
      <c r="P1239" s="28" t="s">
        <v>34</v>
      </c>
      <c r="Q1239" s="28"/>
      <c r="R1239" s="30"/>
      <c r="S1239" s="30"/>
      <c r="T1239" s="33"/>
      <c r="U1239" s="34" t="str">
        <f>IFERROR(_xlfn.XLOOKUP(E1239,[1]EMPREENDIMENTO!C:C,[1]EMPREENDIMENTO!D:D),"")</f>
        <v>5347BD5C-4D60-E911-90BB-80C16E075108</v>
      </c>
    </row>
    <row r="1240" spans="1:21" hidden="1" x14ac:dyDescent="0.35">
      <c r="A1240" s="28" t="str">
        <f>IFERROR(_xlfn.XLOOKUP(C1240,[1]DIRETORIA!C:C,[1]DIRETORIA!A:A),"-")</f>
        <v>DIR. COM E CRED CO E AM</v>
      </c>
      <c r="B1240" s="28" t="str">
        <f>IFERROR(_xlfn.XLOOKUP(C1240,[1]DIRETORIA!C:C,[1]DIRETORIA!B:B),"-")</f>
        <v>GST. COM AM</v>
      </c>
      <c r="C1240" s="28" t="str">
        <f>IFERROR(_xlfn.XLOOKUP(E1240,[1]EMPREENDIMENTO!C:C,[1]EMPREENDIMENTO!A:A),"-")</f>
        <v>MANAUS</v>
      </c>
      <c r="D1240" s="28" t="s">
        <v>85</v>
      </c>
      <c r="E1240" s="28" t="s">
        <v>2282</v>
      </c>
      <c r="F1240" s="28" t="s">
        <v>42</v>
      </c>
      <c r="G1240" s="28" t="s">
        <v>2283</v>
      </c>
      <c r="H1240" s="28">
        <v>38442</v>
      </c>
      <c r="I1240" s="29">
        <f>IFERROR(_xlfn.XLOOKUP(E1240,[1]EMPREENDIMENTO!C:C,[1]EMPREENDIMENTO!E:E),"0")</f>
        <v>0</v>
      </c>
      <c r="J1240" s="30"/>
      <c r="K1240" s="28" t="s">
        <v>33</v>
      </c>
      <c r="L1240" s="31">
        <v>46171</v>
      </c>
      <c r="M1240" s="32">
        <v>119390008</v>
      </c>
      <c r="N1240" s="32">
        <v>119390008</v>
      </c>
      <c r="O1240" s="32">
        <v>111987468</v>
      </c>
      <c r="P1240" s="28" t="s">
        <v>34</v>
      </c>
      <c r="Q1240" s="28">
        <v>833758</v>
      </c>
      <c r="R1240" s="30">
        <v>46192</v>
      </c>
      <c r="S1240" s="30">
        <v>46174</v>
      </c>
      <c r="T1240" s="33"/>
      <c r="U1240" s="34" t="str">
        <f>IFERROR(_xlfn.XLOOKUP(E1240,[1]EMPREENDIMENTO!C:C,[1]EMPREENDIMENTO!D:D),"")</f>
        <v>71909612-B577-ED11-9E0C-00505685534B</v>
      </c>
    </row>
    <row r="1241" spans="1:21" hidden="1" x14ac:dyDescent="0.35">
      <c r="A1241" s="28" t="str">
        <f>IFERROR(_xlfn.XLOOKUP(C1241,[1]DIRETORIA!C:C,[1]DIRETORIA!A:A),"-")</f>
        <v>DIR. COM E CRED SUL</v>
      </c>
      <c r="B1241" s="28" t="str">
        <f>IFERROR(_xlfn.XLOOKUP(C1241,[1]DIRETORIA!C:C,[1]DIRETORIA!B:B),"-")</f>
        <v>GST. COM LONDRINA</v>
      </c>
      <c r="C1241" s="28" t="str">
        <f>IFERROR(_xlfn.XLOOKUP(E1241,[1]EMPREENDIMENTO!C:C,[1]EMPREENDIMENTO!A:A),"-")</f>
        <v>LONDRINA</v>
      </c>
      <c r="D1241" s="28" t="s">
        <v>85</v>
      </c>
      <c r="E1241" s="28" t="s">
        <v>2284</v>
      </c>
      <c r="F1241" s="28" t="s">
        <v>42</v>
      </c>
      <c r="G1241" s="28" t="s">
        <v>2285</v>
      </c>
      <c r="H1241" s="28">
        <v>62291</v>
      </c>
      <c r="I1241" s="29">
        <f>IFERROR(_xlfn.XLOOKUP(E1241,[1]EMPREENDIMENTO!C:C,[1]EMPREENDIMENTO!E:E),"0")</f>
        <v>0</v>
      </c>
      <c r="J1241" s="30"/>
      <c r="K1241" s="28" t="s">
        <v>33</v>
      </c>
      <c r="L1241" s="31">
        <v>46168</v>
      </c>
      <c r="M1241" s="32">
        <v>44507668</v>
      </c>
      <c r="N1241" s="32">
        <v>44507668</v>
      </c>
      <c r="O1241" s="32">
        <v>40126400</v>
      </c>
      <c r="P1241" s="28" t="s">
        <v>34</v>
      </c>
      <c r="Q1241" s="28">
        <v>832031</v>
      </c>
      <c r="R1241" s="30">
        <v>46188</v>
      </c>
      <c r="S1241" s="30">
        <v>46169</v>
      </c>
      <c r="T1241" s="33"/>
      <c r="U1241" s="34">
        <f>IFERROR(_xlfn.XLOOKUP(E1241,[1]EMPREENDIMENTO!C:C,[1]EMPREENDIMENTO!D:D),"")</f>
        <v>0</v>
      </c>
    </row>
    <row r="1242" spans="1:21" hidden="1" x14ac:dyDescent="0.35">
      <c r="A1242" s="28" t="str">
        <f>IFERROR(_xlfn.XLOOKUP(C1242,[1]DIRETORIA!C:C,[1]DIRETORIA!A:A),"-")</f>
        <v>DIR. COM E CRED RJ</v>
      </c>
      <c r="B1242" s="28" t="str">
        <f>IFERROR(_xlfn.XLOOKUP(C1242,[1]DIRETORIA!C:C,[1]DIRETORIA!B:B),"-")</f>
        <v>GST. COM RJ2</v>
      </c>
      <c r="C1242" s="28" t="str">
        <f>IFERROR(_xlfn.XLOOKUP(E1242,[1]EMPREENDIMENTO!C:C,[1]EMPREENDIMENTO!A:A),"-")</f>
        <v>NOVA IGUAÇU</v>
      </c>
      <c r="D1242" s="28" t="s">
        <v>85</v>
      </c>
      <c r="E1242" s="28" t="s">
        <v>2286</v>
      </c>
      <c r="F1242" s="28" t="s">
        <v>42</v>
      </c>
      <c r="G1242" s="28" t="s">
        <v>2287</v>
      </c>
      <c r="H1242" s="28">
        <v>63119</v>
      </c>
      <c r="I1242" s="29">
        <f>IFERROR(_xlfn.XLOOKUP(E1242,[1]EMPREENDIMENTO!C:C,[1]EMPREENDIMENTO!E:E),"0")</f>
        <v>0</v>
      </c>
      <c r="J1242" s="30"/>
      <c r="K1242" s="28" t="s">
        <v>33</v>
      </c>
      <c r="L1242" s="31">
        <v>46156</v>
      </c>
      <c r="M1242" s="32">
        <v>143793747</v>
      </c>
      <c r="N1242" s="32">
        <v>143793747</v>
      </c>
      <c r="O1242" s="32">
        <v>138519637</v>
      </c>
      <c r="P1242" s="28" t="s">
        <v>34</v>
      </c>
      <c r="Q1242" s="28"/>
      <c r="R1242" s="30"/>
      <c r="S1242" s="30">
        <v>46156</v>
      </c>
      <c r="T1242" s="33"/>
      <c r="U1242" s="34" t="str">
        <f>IFERROR(_xlfn.XLOOKUP(E1242,[1]EMPREENDIMENTO!C:C,[1]EMPREENDIMENTO!D:D),"")</f>
        <v>8328C162-558D-EE11-8E2D-009C02B0CB58</v>
      </c>
    </row>
    <row r="1243" spans="1:21" hidden="1" x14ac:dyDescent="0.35">
      <c r="A1243" s="28" t="str">
        <f>IFERROR(_xlfn.XLOOKUP(C1243,[1]DIRETORIA!C:C,[1]DIRETORIA!A:A),"-")</f>
        <v>DIR. COM E CRED SUL</v>
      </c>
      <c r="B1243" s="28" t="str">
        <f>IFERROR(_xlfn.XLOOKUP(C1243,[1]DIRETORIA!C:C,[1]DIRETORIA!B:B),"-")</f>
        <v>GST. COM RS SUL</v>
      </c>
      <c r="C1243" s="28" t="str">
        <f>IFERROR(_xlfn.XLOOKUP(E1243,[1]EMPREENDIMENTO!C:C,[1]EMPREENDIMENTO!A:A),"-")</f>
        <v>PORTO ALEGRE</v>
      </c>
      <c r="D1243" s="28" t="s">
        <v>85</v>
      </c>
      <c r="E1243" s="28" t="s">
        <v>2288</v>
      </c>
      <c r="F1243" s="28" t="s">
        <v>42</v>
      </c>
      <c r="G1243" s="28" t="s">
        <v>2289</v>
      </c>
      <c r="H1243" s="28">
        <v>62690</v>
      </c>
      <c r="I1243" s="29">
        <f>IFERROR(_xlfn.XLOOKUP(E1243,[1]EMPREENDIMENTO!C:C,[1]EMPREENDIMENTO!E:E),"0")</f>
        <v>672</v>
      </c>
      <c r="J1243" s="30"/>
      <c r="K1243" s="28" t="s">
        <v>33</v>
      </c>
      <c r="L1243" s="31">
        <v>46156</v>
      </c>
      <c r="M1243" s="32">
        <v>127909862</v>
      </c>
      <c r="N1243" s="32">
        <v>127909862</v>
      </c>
      <c r="O1243" s="32">
        <v>126645688</v>
      </c>
      <c r="P1243" s="28" t="s">
        <v>34</v>
      </c>
      <c r="Q1243" s="28"/>
      <c r="R1243" s="30"/>
      <c r="S1243" s="30">
        <v>46156</v>
      </c>
      <c r="T1243" s="33"/>
      <c r="U1243" s="34" t="str">
        <f>IFERROR(_xlfn.XLOOKUP(E1243,[1]EMPREENDIMENTO!C:C,[1]EMPREENDIMENTO!D:D),"")</f>
        <v>17CB4290-298D-E411-B5D2-009C02B0CB58</v>
      </c>
    </row>
    <row r="1244" spans="1:21" hidden="1" x14ac:dyDescent="0.35">
      <c r="A1244" s="28" t="str">
        <f>IFERROR(_xlfn.XLOOKUP(C1244,[1]DIRETORIA!C:C,[1]DIRETORIA!A:A),"-")</f>
        <v>DIR. COM E CRED CO E AM</v>
      </c>
      <c r="B1244" s="28" t="str">
        <f>IFERROR(_xlfn.XLOOKUP(C1244,[1]DIRETORIA!C:C,[1]DIRETORIA!B:B),"-")</f>
        <v>GST. COM GO</v>
      </c>
      <c r="C1244" s="28" t="str">
        <f>IFERROR(_xlfn.XLOOKUP(E1244,[1]EMPREENDIMENTO!C:C,[1]EMPREENDIMENTO!A:A),"-")</f>
        <v>GOIÂNIA</v>
      </c>
      <c r="D1244" s="28" t="s">
        <v>29</v>
      </c>
      <c r="E1244" s="28" t="s">
        <v>2290</v>
      </c>
      <c r="F1244" s="28" t="s">
        <v>42</v>
      </c>
      <c r="G1244" s="28" t="s">
        <v>2291</v>
      </c>
      <c r="H1244" s="28">
        <v>53410</v>
      </c>
      <c r="I1244" s="29">
        <f>IFERROR(_xlfn.XLOOKUP(E1244,[1]EMPREENDIMENTO!C:C,[1]EMPREENDIMENTO!E:E),"0")</f>
        <v>328</v>
      </c>
      <c r="J1244" s="30"/>
      <c r="K1244" s="28" t="s">
        <v>33</v>
      </c>
      <c r="L1244" s="31">
        <v>46191</v>
      </c>
      <c r="M1244" s="32">
        <v>320000</v>
      </c>
      <c r="N1244" s="32">
        <v>320000</v>
      </c>
      <c r="O1244" s="32">
        <v>320000</v>
      </c>
      <c r="P1244" s="28" t="s">
        <v>34</v>
      </c>
      <c r="Q1244" s="28" t="s">
        <v>2292</v>
      </c>
      <c r="R1244" s="30">
        <v>46195</v>
      </c>
      <c r="S1244" s="30">
        <v>46192</v>
      </c>
      <c r="T1244" s="33"/>
      <c r="U1244" s="34" t="str">
        <f>IFERROR(_xlfn.XLOOKUP(E1244,[1]EMPREENDIMENTO!C:C,[1]EMPREENDIMENTO!D:D),"")</f>
        <v>db70c7e4-a41e-eb11-9d23-005056856b6c</v>
      </c>
    </row>
    <row r="1245" spans="1:21" hidden="1" x14ac:dyDescent="0.35">
      <c r="A1245" s="28" t="str">
        <f>IFERROR(_xlfn.XLOOKUP(C1245,[1]DIRETORIA!C:C,[1]DIRETORIA!A:A),"-")</f>
        <v>DIR. COM E CRED CO E AM</v>
      </c>
      <c r="B1245" s="28" t="str">
        <f>IFERROR(_xlfn.XLOOKUP(C1245,[1]DIRETORIA!C:C,[1]DIRETORIA!B:B),"-")</f>
        <v>GST. COM GO</v>
      </c>
      <c r="C1245" s="28" t="str">
        <f>IFERROR(_xlfn.XLOOKUP(E1245,[1]EMPREENDIMENTO!C:C,[1]EMPREENDIMENTO!A:A),"-")</f>
        <v>GOIÂNIA</v>
      </c>
      <c r="D1245" s="28" t="s">
        <v>29</v>
      </c>
      <c r="E1245" s="28" t="s">
        <v>2293</v>
      </c>
      <c r="F1245" s="28" t="s">
        <v>31</v>
      </c>
      <c r="G1245" s="28" t="s">
        <v>2294</v>
      </c>
      <c r="H1245" s="28">
        <v>28158</v>
      </c>
      <c r="I1245" s="29">
        <f>IFERROR(_xlfn.XLOOKUP(E1245,[1]EMPREENDIMENTO!C:C,[1]EMPREENDIMENTO!E:E),"0")</f>
        <v>224</v>
      </c>
      <c r="J1245" s="30"/>
      <c r="K1245" s="28" t="s">
        <v>33</v>
      </c>
      <c r="L1245" s="31">
        <v>46191</v>
      </c>
      <c r="M1245" s="32">
        <v>320000</v>
      </c>
      <c r="N1245" s="32">
        <v>320000</v>
      </c>
      <c r="O1245" s="32">
        <v>320000</v>
      </c>
      <c r="P1245" s="28" t="s">
        <v>34</v>
      </c>
      <c r="Q1245" s="28" t="s">
        <v>2295</v>
      </c>
      <c r="R1245" s="30">
        <v>46195</v>
      </c>
      <c r="S1245" s="30">
        <v>46192</v>
      </c>
      <c r="T1245" s="33"/>
      <c r="U1245" s="34" t="str">
        <f>IFERROR(_xlfn.XLOOKUP(E1245,[1]EMPREENDIMENTO!C:C,[1]EMPREENDIMENTO!D:D),"")</f>
        <v>4d32a022-802b-e811-a00d-009c02b0cb58</v>
      </c>
    </row>
    <row r="1246" spans="1:21" hidden="1" x14ac:dyDescent="0.35">
      <c r="A1246" s="28" t="str">
        <f>IFERROR(_xlfn.XLOOKUP(C1246,[1]DIRETORIA!C:C,[1]DIRETORIA!A:A),"-")</f>
        <v>DIR. COM E CRED CO E AM</v>
      </c>
      <c r="B1246" s="28" t="str">
        <f>IFERROR(_xlfn.XLOOKUP(C1246,[1]DIRETORIA!C:C,[1]DIRETORIA!B:B),"-")</f>
        <v>GST. COM GO</v>
      </c>
      <c r="C1246" s="28" t="str">
        <f>IFERROR(_xlfn.XLOOKUP(E1246,[1]EMPREENDIMENTO!C:C,[1]EMPREENDIMENTO!A:A),"-")</f>
        <v>GOIÂNIA</v>
      </c>
      <c r="D1246" s="28" t="s">
        <v>29</v>
      </c>
      <c r="E1246" s="28" t="s">
        <v>2293</v>
      </c>
      <c r="F1246" s="28" t="s">
        <v>36</v>
      </c>
      <c r="G1246" s="28" t="s">
        <v>2296</v>
      </c>
      <c r="H1246" s="28">
        <v>33078</v>
      </c>
      <c r="I1246" s="29">
        <f>IFERROR(_xlfn.XLOOKUP(E1246,[1]EMPREENDIMENTO!C:C,[1]EMPREENDIMENTO!E:E),"0")</f>
        <v>224</v>
      </c>
      <c r="J1246" s="30"/>
      <c r="K1246" s="28" t="s">
        <v>33</v>
      </c>
      <c r="L1246" s="31">
        <v>46191</v>
      </c>
      <c r="M1246" s="32">
        <v>320000</v>
      </c>
      <c r="N1246" s="32">
        <v>320000</v>
      </c>
      <c r="O1246" s="32">
        <v>320000</v>
      </c>
      <c r="P1246" s="28" t="s">
        <v>34</v>
      </c>
      <c r="Q1246" s="28" t="s">
        <v>2295</v>
      </c>
      <c r="R1246" s="30">
        <v>46195</v>
      </c>
      <c r="S1246" s="30">
        <v>46192</v>
      </c>
      <c r="T1246" s="33"/>
      <c r="U1246" s="34" t="str">
        <f>IFERROR(_xlfn.XLOOKUP(E1246,[1]EMPREENDIMENTO!C:C,[1]EMPREENDIMENTO!D:D),"")</f>
        <v>4d32a022-802b-e811-a00d-009c02b0cb58</v>
      </c>
    </row>
    <row r="1247" spans="1:21" hidden="1" x14ac:dyDescent="0.35">
      <c r="A1247" s="28" t="str">
        <f>IFERROR(_xlfn.XLOOKUP(C1247,[1]DIRETORIA!C:C,[1]DIRETORIA!A:A),"-")</f>
        <v>DIR. COM E CRED MG E ES</v>
      </c>
      <c r="B1247" s="28" t="str">
        <f>IFERROR(_xlfn.XLOOKUP(C1247,[1]DIRETORIA!C:C,[1]DIRETORIA!B:B),"-")</f>
        <v>GST. COM ES</v>
      </c>
      <c r="C1247" s="28" t="str">
        <f>IFERROR(_xlfn.XLOOKUP(E1247,[1]EMPREENDIMENTO!C:C,[1]EMPREENDIMENTO!A:A),"-")</f>
        <v>CARIACICA</v>
      </c>
      <c r="D1247" s="28" t="s">
        <v>85</v>
      </c>
      <c r="E1247" s="28" t="s">
        <v>2297</v>
      </c>
      <c r="F1247" s="28" t="s">
        <v>42</v>
      </c>
      <c r="G1247" s="28" t="s">
        <v>2298</v>
      </c>
      <c r="H1247" s="28">
        <v>63375</v>
      </c>
      <c r="I1247" s="29">
        <f>IFERROR(_xlfn.XLOOKUP(E1247,[1]EMPREENDIMENTO!C:C,[1]EMPREENDIMENTO!E:E),"0")</f>
        <v>0</v>
      </c>
      <c r="J1247" s="30"/>
      <c r="K1247" s="28" t="s">
        <v>33</v>
      </c>
      <c r="L1247" s="31">
        <v>46212</v>
      </c>
      <c r="M1247" s="32">
        <v>25910555</v>
      </c>
      <c r="N1247" s="32">
        <v>26134194</v>
      </c>
      <c r="O1247" s="32">
        <v>25932155</v>
      </c>
      <c r="P1247" s="28" t="s">
        <v>34</v>
      </c>
      <c r="Q1247" s="28"/>
      <c r="R1247" s="30"/>
      <c r="S1247" s="30">
        <v>46160</v>
      </c>
      <c r="T1247" s="33"/>
      <c r="U1247" s="34" t="str">
        <f>IFERROR(_xlfn.XLOOKUP(E1247,[1]EMPREENDIMENTO!C:C,[1]EMPREENDIMENTO!D:D),"")</f>
        <v>FEA5244F-CEBB-EF11-B65C-009C02B0CB58</v>
      </c>
    </row>
    <row r="1248" spans="1:21" hidden="1" x14ac:dyDescent="0.35">
      <c r="A1248" s="28" t="str">
        <f>IFERROR(_xlfn.XLOOKUP(C1248,[1]DIRETORIA!C:C,[1]DIRETORIA!A:A),"-")</f>
        <v>DIR. COM E CRED RJ</v>
      </c>
      <c r="B1248" s="28" t="str">
        <f>IFERROR(_xlfn.XLOOKUP(C1248,[1]DIRETORIA!C:C,[1]DIRETORIA!B:B),"-")</f>
        <v>GST. COM RJ1</v>
      </c>
      <c r="C1248" s="28" t="str">
        <f>IFERROR(_xlfn.XLOOKUP(E1248,[1]EMPREENDIMENTO!C:C,[1]EMPREENDIMENTO!A:A),"-")</f>
        <v>RIO DE JANEIRO</v>
      </c>
      <c r="D1248" s="28" t="s">
        <v>85</v>
      </c>
      <c r="E1248" s="28" t="s">
        <v>2299</v>
      </c>
      <c r="F1248" s="28" t="s">
        <v>42</v>
      </c>
      <c r="G1248" s="28" t="s">
        <v>2300</v>
      </c>
      <c r="H1248" s="28">
        <v>63642</v>
      </c>
      <c r="I1248" s="29">
        <f>IFERROR(_xlfn.XLOOKUP(E1248,[1]EMPREENDIMENTO!C:C,[1]EMPREENDIMENTO!E:E),"0")</f>
        <v>360</v>
      </c>
      <c r="J1248" s="30"/>
      <c r="K1248" s="28" t="s">
        <v>33</v>
      </c>
      <c r="L1248" s="31">
        <v>46192</v>
      </c>
      <c r="M1248" s="32">
        <v>117788627</v>
      </c>
      <c r="N1248" s="32">
        <v>117788627</v>
      </c>
      <c r="O1248" s="32">
        <v>117781866</v>
      </c>
      <c r="P1248" s="28" t="s">
        <v>34</v>
      </c>
      <c r="Q1248" s="28">
        <v>841857</v>
      </c>
      <c r="R1248" s="30">
        <v>46211</v>
      </c>
      <c r="S1248" s="30">
        <v>46195</v>
      </c>
      <c r="T1248" s="33"/>
      <c r="U1248" s="34" t="str">
        <f>IFERROR(_xlfn.XLOOKUP(E1248,[1]EMPREENDIMENTO!C:C,[1]EMPREENDIMENTO!D:D),"")</f>
        <v>7A0DE93A-6172-E911-B1CD-009C02B0CB58</v>
      </c>
    </row>
    <row r="1249" spans="1:21" x14ac:dyDescent="0.35">
      <c r="A1249" s="28" t="str">
        <f>IFERROR(_xlfn.XLOOKUP(C1249,[1]DIRETORIA!C:C,[1]DIRETORIA!A:A),"-")</f>
        <v>DIR. COM E CRED SPI CP</v>
      </c>
      <c r="B1249" s="28" t="str">
        <f>IFERROR(_xlfn.XLOOKUP(C1249,[1]DIRETORIA!C:C,[1]DIRETORIA!B:B),"-")</f>
        <v>GST. COM CP3</v>
      </c>
      <c r="C1249" s="28" t="str">
        <f>IFERROR(_xlfn.XLOOKUP(E1249,[1]EMPREENDIMENTO!C:C,[1]EMPREENDIMENTO!A:A),"-")</f>
        <v>LIMEIRA</v>
      </c>
      <c r="D1249" s="28" t="s">
        <v>85</v>
      </c>
      <c r="E1249" s="28" t="s">
        <v>2301</v>
      </c>
      <c r="F1249" s="28" t="s">
        <v>42</v>
      </c>
      <c r="G1249" s="28" t="s">
        <v>2302</v>
      </c>
      <c r="H1249" s="28">
        <v>63466</v>
      </c>
      <c r="I1249" s="29">
        <f>IFERROR(_xlfn.XLOOKUP(E1249,[1]EMPREENDIMENTO!C:C,[1]EMPREENDIMENTO!E:E),"0")</f>
        <v>0</v>
      </c>
      <c r="J1249" s="30"/>
      <c r="K1249" s="28" t="s">
        <v>33</v>
      </c>
      <c r="L1249" s="31">
        <v>46175</v>
      </c>
      <c r="M1249" s="32">
        <v>285756233</v>
      </c>
      <c r="N1249" s="32">
        <v>285756233</v>
      </c>
      <c r="O1249" s="32">
        <v>261776950</v>
      </c>
      <c r="P1249" s="28" t="s">
        <v>34</v>
      </c>
      <c r="Q1249" s="28"/>
      <c r="R1249" s="30"/>
      <c r="S1249" s="30">
        <v>46175</v>
      </c>
      <c r="T1249" s="33"/>
      <c r="U1249" s="34" t="str">
        <f>IFERROR(_xlfn.XLOOKUP(E1249,[1]EMPREENDIMENTO!C:C,[1]EMPREENDIMENTO!D:D),"")</f>
        <v>502F6D19-2C3A-EF11-9E4D-009C02B0CB58</v>
      </c>
    </row>
    <row r="1250" spans="1:21" hidden="1" x14ac:dyDescent="0.35">
      <c r="A1250" s="28" t="str">
        <f>IFERROR(_xlfn.XLOOKUP(C1250,[1]DIRETORIA!C:C,[1]DIRETORIA!A:A),"-")</f>
        <v>DIR. COM E CRED SP E VL</v>
      </c>
      <c r="B1250" s="28" t="str">
        <f>IFERROR(_xlfn.XLOOKUP(C1250,[1]DIRETORIA!C:C,[1]DIRETORIA!B:B),"-")</f>
        <v>GST. COM SP2</v>
      </c>
      <c r="C1250" s="28" t="str">
        <f>IFERROR(_xlfn.XLOOKUP(E1250,[1]EMPREENDIMENTO!C:C,[1]EMPREENDIMENTO!A:A),"-")</f>
        <v>SÃO PAULO</v>
      </c>
      <c r="D1250" s="28" t="s">
        <v>85</v>
      </c>
      <c r="E1250" s="28" t="s">
        <v>2303</v>
      </c>
      <c r="F1250" s="28" t="s">
        <v>42</v>
      </c>
      <c r="G1250" s="28" t="s">
        <v>2304</v>
      </c>
      <c r="H1250" s="28">
        <v>63765</v>
      </c>
      <c r="I1250" s="29">
        <f>IFERROR(_xlfn.XLOOKUP(E1250,[1]EMPREENDIMENTO!C:C,[1]EMPREENDIMENTO!E:E),"0")</f>
        <v>80</v>
      </c>
      <c r="J1250" s="30"/>
      <c r="K1250" s="28" t="s">
        <v>33</v>
      </c>
      <c r="L1250" s="31">
        <v>46175</v>
      </c>
      <c r="M1250" s="32">
        <v>80372312</v>
      </c>
      <c r="N1250" s="32">
        <v>80372312</v>
      </c>
      <c r="O1250" s="32">
        <v>76504000</v>
      </c>
      <c r="P1250" s="28" t="s">
        <v>34</v>
      </c>
      <c r="Q1250" s="28"/>
      <c r="R1250" s="30"/>
      <c r="S1250" s="30">
        <v>46176</v>
      </c>
      <c r="T1250" s="33"/>
      <c r="U1250" s="34" t="str">
        <f>IFERROR(_xlfn.XLOOKUP(E1250,[1]EMPREENDIMENTO!C:C,[1]EMPREENDIMENTO!D:D),"")</f>
        <v>76D4AF64-5B62-EB11-AA45-005056856875</v>
      </c>
    </row>
    <row r="1251" spans="1:21" hidden="1" x14ac:dyDescent="0.35">
      <c r="A1251" s="28" t="str">
        <f>IFERROR(_xlfn.XLOOKUP(C1251,[1]DIRETORIA!C:C,[1]DIRETORIA!A:A),"-")</f>
        <v>DIR. COM E CRED CO E AM</v>
      </c>
      <c r="B1251" s="28" t="str">
        <f>IFERROR(_xlfn.XLOOKUP(C1251,[1]DIRETORIA!C:C,[1]DIRETORIA!B:B),"-")</f>
        <v>GST. COM GO</v>
      </c>
      <c r="C1251" s="28" t="str">
        <f>IFERROR(_xlfn.XLOOKUP(E1251,[1]EMPREENDIMENTO!C:C,[1]EMPREENDIMENTO!A:A),"-")</f>
        <v>GOIÂNIA</v>
      </c>
      <c r="D1251" s="28" t="s">
        <v>85</v>
      </c>
      <c r="E1251" s="28" t="s">
        <v>2305</v>
      </c>
      <c r="F1251" s="28" t="s">
        <v>42</v>
      </c>
      <c r="G1251" s="28" t="s">
        <v>2306</v>
      </c>
      <c r="H1251" s="28">
        <v>63908</v>
      </c>
      <c r="I1251" s="29">
        <f>IFERROR(_xlfn.XLOOKUP(E1251,[1]EMPREENDIMENTO!C:C,[1]EMPREENDIMENTO!E:E),"0")</f>
        <v>0</v>
      </c>
      <c r="J1251" s="30"/>
      <c r="K1251" s="28" t="s">
        <v>33</v>
      </c>
      <c r="L1251" s="31">
        <v>46181</v>
      </c>
      <c r="M1251" s="32">
        <v>216058840</v>
      </c>
      <c r="N1251" s="32">
        <v>216058840</v>
      </c>
      <c r="O1251" s="32">
        <v>215989726</v>
      </c>
      <c r="P1251" s="28" t="s">
        <v>34</v>
      </c>
      <c r="Q1251" s="28"/>
      <c r="R1251" s="30"/>
      <c r="S1251" s="30">
        <v>46182</v>
      </c>
      <c r="T1251" s="33"/>
      <c r="U1251" s="34" t="str">
        <f>IFERROR(_xlfn.XLOOKUP(E1251,[1]EMPREENDIMENTO!C:C,[1]EMPREENDIMENTO!D:D),"")</f>
        <v>17E934EE-D0D8-EB11-930A-0050568AA20F</v>
      </c>
    </row>
    <row r="1252" spans="1:21" hidden="1" x14ac:dyDescent="0.35">
      <c r="A1252" s="28" t="s">
        <v>2085</v>
      </c>
      <c r="B1252" s="28" t="s">
        <v>2086</v>
      </c>
      <c r="C1252" s="28" t="s">
        <v>2087</v>
      </c>
      <c r="D1252" s="28" t="s">
        <v>85</v>
      </c>
      <c r="E1252" s="28" t="s">
        <v>2307</v>
      </c>
      <c r="F1252" s="28" t="s">
        <v>42</v>
      </c>
      <c r="G1252" s="28" t="s">
        <v>2308</v>
      </c>
      <c r="H1252" s="28">
        <v>64011</v>
      </c>
      <c r="I1252" s="29">
        <f>IFERROR(_xlfn.XLOOKUP(E1252,[1]EMPREENDIMENTO!C:C,[1]EMPREENDIMENTO!E:E),"0")</f>
        <v>0</v>
      </c>
      <c r="J1252" s="30"/>
      <c r="K1252" s="28" t="s">
        <v>33</v>
      </c>
      <c r="L1252" s="31">
        <v>46258</v>
      </c>
      <c r="M1252" s="32">
        <v>127878390</v>
      </c>
      <c r="N1252" s="32">
        <v>127878390</v>
      </c>
      <c r="O1252" s="32">
        <v>124264823</v>
      </c>
      <c r="P1252" s="28" t="s">
        <v>34</v>
      </c>
      <c r="Q1252" s="28" t="s">
        <v>977</v>
      </c>
      <c r="R1252" s="30">
        <v>46241</v>
      </c>
      <c r="S1252" s="30">
        <v>46258</v>
      </c>
      <c r="T1252" s="33"/>
      <c r="U1252" s="34">
        <f>IFERROR(_xlfn.XLOOKUP(E1252,[1]EMPREENDIMENTO!C:C,[1]EMPREENDIMENTO!D:D),"")</f>
        <v>0</v>
      </c>
    </row>
    <row r="1253" spans="1:21" hidden="1" x14ac:dyDescent="0.35">
      <c r="A1253" s="28" t="str">
        <f>IFERROR(_xlfn.XLOOKUP(C1253,[1]DIRETORIA!C:C,[1]DIRETORIA!A:A),"-")</f>
        <v>DIR. COM E CRED NE</v>
      </c>
      <c r="B1253" s="28" t="str">
        <f>IFERROR(_xlfn.XLOOKUP(C1253,[1]DIRETORIA!C:C,[1]DIRETORIA!B:B),"-")</f>
        <v>GST. COM NE1 (BA 1)</v>
      </c>
      <c r="C1253" s="28" t="str">
        <f>IFERROR(_xlfn.XLOOKUP(E1253,[1]EMPREENDIMENTO!C:C,[1]EMPREENDIMENTO!A:A),"-")</f>
        <v>SALVADOR</v>
      </c>
      <c r="D1253" s="28" t="s">
        <v>85</v>
      </c>
      <c r="E1253" s="28" t="s">
        <v>2309</v>
      </c>
      <c r="F1253" s="28" t="s">
        <v>42</v>
      </c>
      <c r="G1253" s="28" t="s">
        <v>2310</v>
      </c>
      <c r="H1253" s="28">
        <v>63902</v>
      </c>
      <c r="I1253" s="29">
        <f>IFERROR(_xlfn.XLOOKUP(E1253,[1]EMPREENDIMENTO!C:C,[1]EMPREENDIMENTO!E:E),"0")</f>
        <v>0</v>
      </c>
      <c r="J1253" s="30"/>
      <c r="K1253" s="28" t="s">
        <v>33</v>
      </c>
      <c r="L1253" s="31">
        <v>46188</v>
      </c>
      <c r="M1253" s="32">
        <v>129763346</v>
      </c>
      <c r="N1253" s="32">
        <v>129763346</v>
      </c>
      <c r="O1253" s="32">
        <v>110571000</v>
      </c>
      <c r="P1253" s="28" t="s">
        <v>34</v>
      </c>
      <c r="Q1253" s="28">
        <v>840031</v>
      </c>
      <c r="R1253" s="30">
        <v>46227</v>
      </c>
      <c r="S1253" s="30">
        <v>46189</v>
      </c>
      <c r="T1253" s="33"/>
      <c r="U1253" s="34" t="str">
        <f>IFERROR(_xlfn.XLOOKUP(E1253,[1]EMPREENDIMENTO!C:C,[1]EMPREENDIMENTO!D:D),"")</f>
        <v>41A366AB-312C-F011-AB5A-80C16E075108</v>
      </c>
    </row>
    <row r="1254" spans="1:21" hidden="1" x14ac:dyDescent="0.35">
      <c r="A1254" s="28" t="str">
        <f>IFERROR(_xlfn.XLOOKUP(C1254,[1]DIRETORIA!C:C,[1]DIRETORIA!A:A),"-")</f>
        <v>DIR. COM E CRED RJ</v>
      </c>
      <c r="B1254" s="28" t="str">
        <f>IFERROR(_xlfn.XLOOKUP(C1254,[1]DIRETORIA!C:C,[1]DIRETORIA!B:B),"-")</f>
        <v>GST. COM SF</v>
      </c>
      <c r="C1254" s="28" t="str">
        <f>IFERROR(_xlfn.XLOOKUP(E1254,[1]EMPREENDIMENTO!C:C,[1]EMPREENDIMENTO!A:A),"-")</f>
        <v>JUIZ DE FORA</v>
      </c>
      <c r="D1254" s="28" t="s">
        <v>85</v>
      </c>
      <c r="E1254" s="28" t="s">
        <v>2311</v>
      </c>
      <c r="F1254" s="28" t="s">
        <v>42</v>
      </c>
      <c r="G1254" s="28" t="s">
        <v>2312</v>
      </c>
      <c r="H1254" s="28">
        <v>63690</v>
      </c>
      <c r="I1254" s="29">
        <f>IFERROR(_xlfn.XLOOKUP(E1254,[1]EMPREENDIMENTO!C:C,[1]EMPREENDIMENTO!E:E),"0")</f>
        <v>0</v>
      </c>
      <c r="J1254" s="30"/>
      <c r="K1254" s="28" t="s">
        <v>33</v>
      </c>
      <c r="L1254" s="31">
        <v>46189</v>
      </c>
      <c r="M1254" s="32">
        <v>76861786</v>
      </c>
      <c r="N1254" s="32">
        <v>76861786</v>
      </c>
      <c r="O1254" s="32">
        <v>76861786</v>
      </c>
      <c r="P1254" s="28" t="s">
        <v>34</v>
      </c>
      <c r="Q1254" s="28"/>
      <c r="R1254" s="30"/>
      <c r="S1254" s="30">
        <v>46282</v>
      </c>
      <c r="T1254" s="33"/>
      <c r="U1254" s="34" t="str">
        <f>IFERROR(_xlfn.XLOOKUP(E1254,[1]EMPREENDIMENTO!C:C,[1]EMPREENDIMENTO!D:D),"")</f>
        <v>89002D5F-E172-EC11-A871-005056895191</v>
      </c>
    </row>
    <row r="1255" spans="1:21" hidden="1" x14ac:dyDescent="0.35">
      <c r="A1255" s="28" t="str">
        <f>IFERROR(_xlfn.XLOOKUP(C1255,[1]DIRETORIA!C:C,[1]DIRETORIA!A:A),"-")</f>
        <v>DIR. COM E CRED SP E VL</v>
      </c>
      <c r="B1255" s="28" t="str">
        <f>IFERROR(_xlfn.XLOOKUP(C1255,[1]DIRETORIA!C:C,[1]DIRETORIA!B:B),"-")</f>
        <v>GST. COM VL1</v>
      </c>
      <c r="C1255" s="28" t="str">
        <f>IFERROR(_xlfn.XLOOKUP(E1255,[1]EMPREENDIMENTO!C:C,[1]EMPREENDIMENTO!A:A),"-")</f>
        <v>TAUBATÉ</v>
      </c>
      <c r="D1255" s="28" t="s">
        <v>85</v>
      </c>
      <c r="E1255" s="28" t="s">
        <v>2313</v>
      </c>
      <c r="F1255" s="28" t="s">
        <v>42</v>
      </c>
      <c r="G1255" s="28" t="s">
        <v>2314</v>
      </c>
      <c r="H1255" s="28">
        <v>62508</v>
      </c>
      <c r="I1255" s="29">
        <f>IFERROR(_xlfn.XLOOKUP(E1255,[1]EMPREENDIMENTO!C:C,[1]EMPREENDIMENTO!E:E),"0")</f>
        <v>0</v>
      </c>
      <c r="J1255" s="30"/>
      <c r="K1255" s="28" t="s">
        <v>33</v>
      </c>
      <c r="L1255" s="31">
        <v>46192</v>
      </c>
      <c r="M1255" s="32">
        <v>163998302</v>
      </c>
      <c r="N1255" s="32">
        <v>163998302</v>
      </c>
      <c r="O1255" s="32">
        <v>163990022</v>
      </c>
      <c r="P1255" s="28" t="s">
        <v>34</v>
      </c>
      <c r="Q1255" s="28"/>
      <c r="R1255" s="30"/>
      <c r="S1255" s="30">
        <v>46192</v>
      </c>
      <c r="T1255" s="33"/>
      <c r="U1255" s="34" t="str">
        <f>IFERROR(_xlfn.XLOOKUP(E1255,[1]EMPREENDIMENTO!C:C,[1]EMPREENDIMENTO!D:D),"")</f>
        <v>1D8279CE-ABB0-EF11-AB5A-80C16E075108</v>
      </c>
    </row>
    <row r="1256" spans="1:21" hidden="1" x14ac:dyDescent="0.35">
      <c r="A1256" s="28" t="str">
        <f>IFERROR(_xlfn.XLOOKUP(C1256,[1]DIRETORIA!C:C,[1]DIRETORIA!A:A),"-")</f>
        <v>DIR. COM E CRED CO E AM</v>
      </c>
      <c r="B1256" s="28" t="str">
        <f>IFERROR(_xlfn.XLOOKUP(C1256,[1]DIRETORIA!C:C,[1]DIRETORIA!B:B),"-")</f>
        <v>GST. COM MT</v>
      </c>
      <c r="C1256" s="28" t="str">
        <f>IFERROR(_xlfn.XLOOKUP(E1256,[1]EMPREENDIMENTO!C:C,[1]EMPREENDIMENTO!A:A),"-")</f>
        <v>CUIABÁ</v>
      </c>
      <c r="D1256" s="28" t="s">
        <v>85</v>
      </c>
      <c r="E1256" s="28" t="s">
        <v>2315</v>
      </c>
      <c r="F1256" s="28" t="s">
        <v>42</v>
      </c>
      <c r="G1256" s="28" t="s">
        <v>2316</v>
      </c>
      <c r="H1256" s="28">
        <v>64129</v>
      </c>
      <c r="I1256" s="29">
        <f>IFERROR(_xlfn.XLOOKUP(E1256,[1]EMPREENDIMENTO!C:C,[1]EMPREENDIMENTO!E:E),"0")</f>
        <v>0</v>
      </c>
      <c r="J1256" s="30"/>
      <c r="K1256" s="28" t="s">
        <v>33</v>
      </c>
      <c r="L1256" s="31">
        <v>46192</v>
      </c>
      <c r="M1256" s="32">
        <v>90562701</v>
      </c>
      <c r="N1256" s="32">
        <v>90562701</v>
      </c>
      <c r="O1256" s="32">
        <v>88703848</v>
      </c>
      <c r="P1256" s="28" t="s">
        <v>34</v>
      </c>
      <c r="Q1256" s="28"/>
      <c r="R1256" s="30"/>
      <c r="S1256" s="30">
        <v>46192</v>
      </c>
      <c r="T1256" s="33"/>
      <c r="U1256" s="34" t="str">
        <f>IFERROR(_xlfn.XLOOKUP(E1256,[1]EMPREENDIMENTO!C:C,[1]EMPREENDIMENTO!D:D),"")</f>
        <v>DA8BEB59-0052-EC11-B501-005056856B6C</v>
      </c>
    </row>
    <row r="1257" spans="1:21" hidden="1" x14ac:dyDescent="0.35">
      <c r="A1257" s="28" t="str">
        <f>IFERROR(_xlfn.XLOOKUP(C1257,[1]DIRETORIA!C:C,[1]DIRETORIA!A:A),"-")</f>
        <v>DIR. COM E CRED NE</v>
      </c>
      <c r="B1257" s="28" t="str">
        <f>IFERROR(_xlfn.XLOOKUP(C1257,[1]DIRETORIA!C:C,[1]DIRETORIA!B:B),"-")</f>
        <v>GST. COM NE5 (RN+PB)</v>
      </c>
      <c r="C1257" s="28" t="str">
        <f>IFERROR(_xlfn.XLOOKUP(E1257,[1]EMPREENDIMENTO!C:C,[1]EMPREENDIMENTO!A:A),"-")</f>
        <v>PARNAMIRIM</v>
      </c>
      <c r="D1257" s="28" t="s">
        <v>85</v>
      </c>
      <c r="E1257" s="28" t="s">
        <v>2317</v>
      </c>
      <c r="F1257" s="28" t="s">
        <v>42</v>
      </c>
      <c r="G1257" s="28" t="s">
        <v>2318</v>
      </c>
      <c r="H1257" s="28">
        <v>63793</v>
      </c>
      <c r="I1257" s="29">
        <f>IFERROR(_xlfn.XLOOKUP(E1257,[1]EMPREENDIMENTO!C:C,[1]EMPREENDIMENTO!E:E),"0")</f>
        <v>0</v>
      </c>
      <c r="J1257" s="30"/>
      <c r="K1257" s="28" t="s">
        <v>33</v>
      </c>
      <c r="L1257" s="31">
        <v>46192</v>
      </c>
      <c r="M1257" s="32">
        <v>89666135</v>
      </c>
      <c r="N1257" s="32">
        <v>89666135</v>
      </c>
      <c r="O1257" s="32">
        <v>84905000</v>
      </c>
      <c r="P1257" s="28" t="s">
        <v>34</v>
      </c>
      <c r="Q1257" s="28"/>
      <c r="R1257" s="30"/>
      <c r="S1257" s="30">
        <v>46192</v>
      </c>
      <c r="T1257" s="33"/>
      <c r="U1257" s="34" t="str">
        <f>IFERROR(_xlfn.XLOOKUP(E1257,[1]EMPREENDIMENTO!C:C,[1]EMPREENDIMENTO!D:D),"")</f>
        <v>4807FD9D-0129-EB11-85D0-005056856875</v>
      </c>
    </row>
    <row r="1258" spans="1:21" hidden="1" x14ac:dyDescent="0.35">
      <c r="A1258" s="28" t="str">
        <f>IFERROR(_xlfn.XLOOKUP(C1258,[1]DIRETORIA!C:C,[1]DIRETORIA!A:A),"-")</f>
        <v>DIR. COM E CRED NE</v>
      </c>
      <c r="B1258" s="28" t="str">
        <f>IFERROR(_xlfn.XLOOKUP(C1258,[1]DIRETORIA!C:C,[1]DIRETORIA!B:B),"-")</f>
        <v>GST. COM NE1 (BA 1)</v>
      </c>
      <c r="C1258" s="28" t="str">
        <f>IFERROR(_xlfn.XLOOKUP(E1258,[1]EMPREENDIMENTO!C:C,[1]EMPREENDIMENTO!A:A),"-")</f>
        <v>SALVADOR</v>
      </c>
      <c r="D1258" s="28" t="s">
        <v>85</v>
      </c>
      <c r="E1258" s="28" t="s">
        <v>2319</v>
      </c>
      <c r="F1258" s="28" t="s">
        <v>42</v>
      </c>
      <c r="G1258" s="28" t="s">
        <v>2320</v>
      </c>
      <c r="H1258" s="28">
        <v>63786</v>
      </c>
      <c r="I1258" s="29">
        <f>IFERROR(_xlfn.XLOOKUP(E1258,[1]EMPREENDIMENTO!C:C,[1]EMPREENDIMENTO!E:E),"0")</f>
        <v>0</v>
      </c>
      <c r="J1258" s="30"/>
      <c r="K1258" s="28" t="s">
        <v>33</v>
      </c>
      <c r="L1258" s="31">
        <v>46195</v>
      </c>
      <c r="M1258" s="32">
        <v>82114230</v>
      </c>
      <c r="N1258" s="32">
        <v>82114230</v>
      </c>
      <c r="O1258" s="32">
        <v>82081634</v>
      </c>
      <c r="P1258" s="28" t="s">
        <v>34</v>
      </c>
      <c r="Q1258" s="28"/>
      <c r="R1258" s="30"/>
      <c r="S1258" s="30">
        <v>46196</v>
      </c>
      <c r="T1258" s="33"/>
      <c r="U1258" s="34" t="str">
        <f>IFERROR(_xlfn.XLOOKUP(E1258,[1]EMPREENDIMENTO!C:C,[1]EMPREENDIMENTO!D:D),"")</f>
        <v>FBA5E5D2-DAF3-EF11-B65C-009C02B0CB58</v>
      </c>
    </row>
    <row r="1259" spans="1:21" hidden="1" x14ac:dyDescent="0.35">
      <c r="A1259" s="28" t="str">
        <f>IFERROR(_xlfn.XLOOKUP(C1259,[1]DIRETORIA!C:C,[1]DIRETORIA!A:A),"-")</f>
        <v>DIR. COM E CRED SP E VL</v>
      </c>
      <c r="B1259" s="28" t="str">
        <f>IFERROR(_xlfn.XLOOKUP(C1259,[1]DIRETORIA!C:C,[1]DIRETORIA!B:B),"-")</f>
        <v>GST. COM VL2</v>
      </c>
      <c r="C1259" s="28" t="str">
        <f>IFERROR(_xlfn.XLOOKUP(E1259,[1]EMPREENDIMENTO!C:C,[1]EMPREENDIMENTO!A:A),"-")</f>
        <v>GUARULHOS</v>
      </c>
      <c r="D1259" s="28" t="s">
        <v>85</v>
      </c>
      <c r="E1259" s="28" t="s">
        <v>2321</v>
      </c>
      <c r="F1259" s="28" t="s">
        <v>42</v>
      </c>
      <c r="G1259" s="28" t="s">
        <v>2322</v>
      </c>
      <c r="H1259" s="28">
        <v>52705</v>
      </c>
      <c r="I1259" s="29">
        <f>IFERROR(_xlfn.XLOOKUP(E1259,[1]EMPREENDIMENTO!C:C,[1]EMPREENDIMENTO!E:E),"0")</f>
        <v>0</v>
      </c>
      <c r="J1259" s="30"/>
      <c r="K1259" s="28" t="s">
        <v>33</v>
      </c>
      <c r="L1259" s="31">
        <v>46195</v>
      </c>
      <c r="M1259" s="32">
        <v>46195</v>
      </c>
      <c r="N1259" s="32">
        <v>82114230</v>
      </c>
      <c r="O1259" s="32">
        <v>82114230</v>
      </c>
      <c r="P1259" s="28" t="s">
        <v>34</v>
      </c>
      <c r="Q1259" s="28"/>
      <c r="R1259" s="30"/>
      <c r="S1259" s="30">
        <v>46196</v>
      </c>
      <c r="T1259" s="33"/>
      <c r="U1259" s="34" t="str">
        <f>IFERROR(_xlfn.XLOOKUP(E1259,[1]EMPREENDIMENTO!C:C,[1]EMPREENDIMENTO!D:D),"")</f>
        <v>8C6763A7-1562-EE11-8ACD-80C16E075108</v>
      </c>
    </row>
    <row r="1260" spans="1:21" x14ac:dyDescent="0.35">
      <c r="A1260" s="28" t="str">
        <f>IFERROR(_xlfn.XLOOKUP(C1260,[1]DIRETORIA!C:C,[1]DIRETORIA!A:A),"-")</f>
        <v>DIR. COM E CRED SPI CP</v>
      </c>
      <c r="B1260" s="28" t="str">
        <f>IFERROR(_xlfn.XLOOKUP(C1260,[1]DIRETORIA!C:C,[1]DIRETORIA!B:B),"-")</f>
        <v>GST. COM CP2</v>
      </c>
      <c r="C1260" s="28" t="str">
        <f>IFERROR(_xlfn.XLOOKUP(E1260,[1]EMPREENDIMENTO!C:C,[1]EMPREENDIMENTO!A:A),"-")</f>
        <v>JUNDIAÍ</v>
      </c>
      <c r="D1260" s="28" t="s">
        <v>85</v>
      </c>
      <c r="E1260" s="28" t="s">
        <v>2323</v>
      </c>
      <c r="F1260" s="28" t="s">
        <v>42</v>
      </c>
      <c r="G1260" s="28" t="s">
        <v>2324</v>
      </c>
      <c r="H1260" s="28">
        <v>64069</v>
      </c>
      <c r="I1260" s="29">
        <f>IFERROR(_xlfn.XLOOKUP(E1260,[1]EMPREENDIMENTO!C:C,[1]EMPREENDIMENTO!E:E),"0")</f>
        <v>0</v>
      </c>
      <c r="J1260" s="30"/>
      <c r="K1260" s="28" t="s">
        <v>33</v>
      </c>
      <c r="L1260" s="31">
        <v>46189</v>
      </c>
      <c r="M1260" s="32">
        <v>62480663</v>
      </c>
      <c r="N1260" s="32">
        <v>62480663</v>
      </c>
      <c r="O1260" s="32">
        <v>57631000</v>
      </c>
      <c r="P1260" s="28" t="s">
        <v>34</v>
      </c>
      <c r="Q1260" s="28"/>
      <c r="R1260" s="30"/>
      <c r="S1260" s="30">
        <v>46197</v>
      </c>
      <c r="T1260" s="33"/>
      <c r="U1260" s="34" t="str">
        <f>IFERROR(_xlfn.XLOOKUP(E1260,[1]EMPREENDIMENTO!C:C,[1]EMPREENDIMENTO!D:D),"")</f>
        <v>A7E27D3E-AE7A-EF11-B65C-009C02B0CB58</v>
      </c>
    </row>
    <row r="1261" spans="1:21" hidden="1" x14ac:dyDescent="0.35">
      <c r="A1261" s="28" t="str">
        <f>IFERROR(_xlfn.XLOOKUP(C1261,[1]DIRETORIA!C:C,[1]DIRETORIA!A:A),"-")</f>
        <v>DIR. COM E CRED CO E AM</v>
      </c>
      <c r="B1261" s="28" t="str">
        <f>IFERROR(_xlfn.XLOOKUP(C1261,[1]DIRETORIA!C:C,[1]DIRETORIA!B:B),"-")</f>
        <v>GST. COM MT</v>
      </c>
      <c r="C1261" s="28" t="str">
        <f>IFERROR(_xlfn.XLOOKUP(E1261,[1]EMPREENDIMENTO!C:C,[1]EMPREENDIMENTO!A:A),"-")</f>
        <v>VÁRZEA GRANDE</v>
      </c>
      <c r="D1261" s="28" t="s">
        <v>85</v>
      </c>
      <c r="E1261" s="28" t="s">
        <v>2325</v>
      </c>
      <c r="F1261" s="28" t="s">
        <v>42</v>
      </c>
      <c r="G1261" s="28" t="s">
        <v>2326</v>
      </c>
      <c r="H1261" s="28">
        <v>64534</v>
      </c>
      <c r="I1261" s="29">
        <f>IFERROR(_xlfn.XLOOKUP(E1261,[1]EMPREENDIMENTO!C:C,[1]EMPREENDIMENTO!E:E),"0")</f>
        <v>0</v>
      </c>
      <c r="J1261" s="30"/>
      <c r="K1261" s="28" t="s">
        <v>33</v>
      </c>
      <c r="L1261" s="31">
        <v>46204</v>
      </c>
      <c r="M1261" s="32">
        <v>145773254</v>
      </c>
      <c r="N1261" s="32">
        <v>145773254</v>
      </c>
      <c r="O1261" s="32">
        <v>145772400</v>
      </c>
      <c r="P1261" s="28" t="s">
        <v>34</v>
      </c>
      <c r="Q1261" s="28"/>
      <c r="R1261" s="30"/>
      <c r="S1261" s="30">
        <v>46205</v>
      </c>
      <c r="T1261" s="33"/>
      <c r="U1261" s="34" t="str">
        <f>IFERROR(_xlfn.XLOOKUP(E1261,[1]EMPREENDIMENTO!C:C,[1]EMPREENDIMENTO!D:D),"")</f>
        <v>BC6FDD82-E7E0-EB11-930A-0050568AA20F</v>
      </c>
    </row>
    <row r="1262" spans="1:21" hidden="1" x14ac:dyDescent="0.35">
      <c r="A1262" s="28" t="str">
        <f>IFERROR(_xlfn.XLOOKUP(C1262,[1]DIRETORIA!C:C,[1]DIRETORIA!A:A),"-")</f>
        <v>DIR. COM E CRED SP E VL</v>
      </c>
      <c r="B1262" s="28" t="str">
        <f>IFERROR(_xlfn.XLOOKUP(C1262,[1]DIRETORIA!C:C,[1]DIRETORIA!B:B),"-")</f>
        <v>GST. COM VL2</v>
      </c>
      <c r="C1262" s="28" t="str">
        <f>IFERROR(_xlfn.XLOOKUP(E1262,[1]EMPREENDIMENTO!C:C,[1]EMPREENDIMENTO!A:A),"-")</f>
        <v>SUZANO</v>
      </c>
      <c r="D1262" s="28" t="s">
        <v>85</v>
      </c>
      <c r="E1262" s="28" t="s">
        <v>2327</v>
      </c>
      <c r="F1262" s="28" t="s">
        <v>42</v>
      </c>
      <c r="G1262" s="28"/>
      <c r="H1262" s="28"/>
      <c r="I1262" s="29">
        <f>IFERROR(_xlfn.XLOOKUP(E1262,[1]EMPREENDIMENTO!C:C,[1]EMPREENDIMENTO!E:E),"0")</f>
        <v>0</v>
      </c>
      <c r="J1262" s="30"/>
      <c r="K1262" s="28"/>
      <c r="L1262" s="31">
        <v>46206</v>
      </c>
      <c r="M1262" s="32">
        <v>116969186</v>
      </c>
      <c r="N1262" s="32">
        <v>116969186</v>
      </c>
      <c r="O1262" s="32">
        <v>115413655</v>
      </c>
      <c r="P1262" s="28" t="s">
        <v>34</v>
      </c>
      <c r="Q1262" s="28"/>
      <c r="R1262" s="30"/>
      <c r="S1262" s="30">
        <v>46206</v>
      </c>
      <c r="T1262" s="33"/>
      <c r="U1262" s="34" t="str">
        <f>IFERROR(_xlfn.XLOOKUP(E1262,[1]EMPREENDIMENTO!C:C,[1]EMPREENDIMENTO!D:D),"")</f>
        <v>F914ACB6-ECA3-ED11-879A-80C16E075108</v>
      </c>
    </row>
    <row r="1263" spans="1:21" hidden="1" x14ac:dyDescent="0.35">
      <c r="A1263" s="28" t="str">
        <f>IFERROR(_xlfn.XLOOKUP(C1263,[1]DIRETORIA!C:C,[1]DIRETORIA!A:A),"-")</f>
        <v>DIR. COM E CRED NE</v>
      </c>
      <c r="B1263" s="28" t="str">
        <f>IFERROR(_xlfn.XLOOKUP(C1263,[1]DIRETORIA!C:C,[1]DIRETORIA!B:B),"-")</f>
        <v>GST. COM NE4 (CE)</v>
      </c>
      <c r="C1263" s="28" t="str">
        <f>IFERROR(_xlfn.XLOOKUP(E1263,[1]EMPREENDIMENTO!C:C,[1]EMPREENDIMENTO!A:A),"-")</f>
        <v>FORTALEZA</v>
      </c>
      <c r="D1263" s="28" t="s">
        <v>85</v>
      </c>
      <c r="E1263" s="28" t="s">
        <v>2328</v>
      </c>
      <c r="F1263" s="28" t="s">
        <v>42</v>
      </c>
      <c r="G1263" s="28" t="s">
        <v>2329</v>
      </c>
      <c r="H1263" s="28">
        <v>63900</v>
      </c>
      <c r="I1263" s="29">
        <f>IFERROR(_xlfn.XLOOKUP(E1263,[1]EMPREENDIMENTO!C:C,[1]EMPREENDIMENTO!E:E),"0")</f>
        <v>0</v>
      </c>
      <c r="J1263" s="30"/>
      <c r="K1263" s="28"/>
      <c r="L1263" s="31">
        <v>46209</v>
      </c>
      <c r="M1263" s="32">
        <v>74425699</v>
      </c>
      <c r="N1263" s="32">
        <v>74425699</v>
      </c>
      <c r="O1263" s="32">
        <v>74425699</v>
      </c>
      <c r="P1263" s="28" t="s">
        <v>34</v>
      </c>
      <c r="Q1263" s="28"/>
      <c r="R1263" s="30"/>
      <c r="S1263" s="30">
        <v>46209</v>
      </c>
      <c r="T1263" s="33"/>
      <c r="U1263" s="34" t="str">
        <f>IFERROR(_xlfn.XLOOKUP(E1263,[1]EMPREENDIMENTO!C:C,[1]EMPREENDIMENTO!D:D),"")</f>
        <v>0243704C-4939-EF11-9143-80C16E075108</v>
      </c>
    </row>
    <row r="1264" spans="1:21" hidden="1" x14ac:dyDescent="0.35">
      <c r="A1264" s="28" t="str">
        <f>IFERROR(_xlfn.XLOOKUP(C1264,[1]DIRETORIA!C:C,[1]DIRETORIA!A:A),"-")</f>
        <v>DIR. COM E CRED SUL</v>
      </c>
      <c r="B1264" s="28" t="str">
        <f>IFERROR(_xlfn.XLOOKUP(C1264,[1]DIRETORIA!C:C,[1]DIRETORIA!B:B),"-")</f>
        <v>GST. COM SC</v>
      </c>
      <c r="C1264" s="28" t="str">
        <f>IFERROR(_xlfn.XLOOKUP(E1264,[1]EMPREENDIMENTO!C:C,[1]EMPREENDIMENTO!A:A),"-")</f>
        <v>JOINVILLE</v>
      </c>
      <c r="D1264" s="28" t="s">
        <v>85</v>
      </c>
      <c r="E1264" s="28" t="s">
        <v>2330</v>
      </c>
      <c r="F1264" s="28" t="s">
        <v>31</v>
      </c>
      <c r="G1264" s="28" t="s">
        <v>2331</v>
      </c>
      <c r="H1264" s="28">
        <v>67159</v>
      </c>
      <c r="I1264" s="29">
        <f>IFERROR(_xlfn.XLOOKUP(E1264,[1]EMPREENDIMENTO!C:C,[1]EMPREENDIMENTO!E:E),"0")</f>
        <v>400</v>
      </c>
      <c r="J1264" s="30"/>
      <c r="K1264" s="28"/>
      <c r="L1264" s="31">
        <v>46212</v>
      </c>
      <c r="M1264" s="32">
        <v>111349694</v>
      </c>
      <c r="N1264" s="32">
        <v>111349694</v>
      </c>
      <c r="O1264" s="32">
        <v>103517000</v>
      </c>
      <c r="P1264" s="28" t="s">
        <v>34</v>
      </c>
      <c r="Q1264" s="28"/>
      <c r="R1264" s="30"/>
      <c r="S1264" s="30">
        <v>46213</v>
      </c>
      <c r="T1264" s="33"/>
      <c r="U1264" s="34" t="str">
        <f>IFERROR(_xlfn.XLOOKUP(E1264,[1]EMPREENDIMENTO!C:C,[1]EMPREENDIMENTO!D:D),"")</f>
        <v>B7F0B70C-F76E-F011-8E0C-80C16E075108</v>
      </c>
    </row>
    <row r="1265" spans="1:21" hidden="1" x14ac:dyDescent="0.35">
      <c r="A1265" s="28" t="str">
        <f>IFERROR(_xlfn.XLOOKUP(C1265,[1]DIRETORIA!C:C,[1]DIRETORIA!A:A),"-")</f>
        <v>DIR. COM E CRED SUL</v>
      </c>
      <c r="B1265" s="28" t="str">
        <f>IFERROR(_xlfn.XLOOKUP(C1265,[1]DIRETORIA!C:C,[1]DIRETORIA!B:B),"-")</f>
        <v>GST. COM SC</v>
      </c>
      <c r="C1265" s="28" t="str">
        <f>IFERROR(_xlfn.XLOOKUP(E1265,[1]EMPREENDIMENTO!C:C,[1]EMPREENDIMENTO!A:A),"-")</f>
        <v>JOINVILLE</v>
      </c>
      <c r="D1265" s="28" t="s">
        <v>85</v>
      </c>
      <c r="E1265" s="28" t="s">
        <v>2330</v>
      </c>
      <c r="F1265" s="28" t="s">
        <v>36</v>
      </c>
      <c r="G1265" s="28" t="s">
        <v>268</v>
      </c>
      <c r="H1265" s="28" t="s">
        <v>268</v>
      </c>
      <c r="I1265" s="29">
        <f>IFERROR(_xlfn.XLOOKUP(E1265,[1]EMPREENDIMENTO!C:C,[1]EMPREENDIMENTO!E:E),"0")</f>
        <v>400</v>
      </c>
      <c r="J1265" s="30"/>
      <c r="K1265" s="28"/>
      <c r="L1265" s="31">
        <v>46212</v>
      </c>
      <c r="M1265" s="32">
        <v>111349694</v>
      </c>
      <c r="N1265" s="32">
        <v>111349694</v>
      </c>
      <c r="O1265" s="32">
        <v>103517000</v>
      </c>
      <c r="P1265" s="28" t="s">
        <v>34</v>
      </c>
      <c r="Q1265" s="28"/>
      <c r="R1265" s="30"/>
      <c r="S1265" s="30">
        <v>46213</v>
      </c>
      <c r="T1265" s="33"/>
      <c r="U1265" s="34" t="str">
        <f>IFERROR(_xlfn.XLOOKUP(E1265,[1]EMPREENDIMENTO!C:C,[1]EMPREENDIMENTO!D:D),"")</f>
        <v>B7F0B70C-F76E-F011-8E0C-80C16E075108</v>
      </c>
    </row>
    <row r="1266" spans="1:21" hidden="1" x14ac:dyDescent="0.35">
      <c r="A1266" s="28" t="str">
        <f>IFERROR(_xlfn.XLOOKUP(C1266,[1]DIRETORIA!C:C,[1]DIRETORIA!A:A),"-")</f>
        <v>DIR. COM E CRED CO E AM</v>
      </c>
      <c r="B1266" s="28" t="str">
        <f>IFERROR(_xlfn.XLOOKUP(C1266,[1]DIRETORIA!C:C,[1]DIRETORIA!B:B),"-")</f>
        <v>GST. COM DF</v>
      </c>
      <c r="C1266" s="28" t="str">
        <f>IFERROR(_xlfn.XLOOKUP(E1266,[1]EMPREENDIMENTO!C:C,[1]EMPREENDIMENTO!A:A),"-")</f>
        <v>BRASÍLIA</v>
      </c>
      <c r="D1266" s="28" t="s">
        <v>85</v>
      </c>
      <c r="E1266" s="28" t="s">
        <v>2332</v>
      </c>
      <c r="F1266" s="28" t="s">
        <v>42</v>
      </c>
      <c r="G1266" s="28" t="s">
        <v>2333</v>
      </c>
      <c r="H1266" s="28">
        <v>67154</v>
      </c>
      <c r="I1266" s="29">
        <f>IFERROR(_xlfn.XLOOKUP(E1266,[1]EMPREENDIMENTO!C:C,[1]EMPREENDIMENTO!E:E),"0")</f>
        <v>352</v>
      </c>
      <c r="J1266" s="30"/>
      <c r="K1266" s="28"/>
      <c r="L1266" s="31">
        <v>46213</v>
      </c>
      <c r="M1266" s="32">
        <v>123660167</v>
      </c>
      <c r="N1266" s="32">
        <v>123660167</v>
      </c>
      <c r="O1266" s="32">
        <v>114825160</v>
      </c>
      <c r="P1266" s="28" t="s">
        <v>34</v>
      </c>
      <c r="Q1266" s="28"/>
      <c r="R1266" s="30"/>
      <c r="S1266" s="30">
        <v>46213</v>
      </c>
      <c r="T1266" s="33"/>
      <c r="U1266" s="34" t="str">
        <f>IFERROR(_xlfn.XLOOKUP(E1266,[1]EMPREENDIMENTO!C:C,[1]EMPREENDIMENTO!D:D),"")</f>
        <v>5AF9BCF2-6E1E-ED11-BA45-005056890018</v>
      </c>
    </row>
    <row r="1267" spans="1:21" hidden="1" x14ac:dyDescent="0.35">
      <c r="A1267" s="28" t="str">
        <f>IFERROR(_xlfn.XLOOKUP(C1267,[1]DIRETORIA!C:C,[1]DIRETORIA!A:A),"-")</f>
        <v>DIR. COM E CRED SUL</v>
      </c>
      <c r="B1267" s="28" t="str">
        <f>IFERROR(_xlfn.XLOOKUP(C1267,[1]DIRETORIA!C:C,[1]DIRETORIA!B:B),"-")</f>
        <v>GST. COM CURITIBA</v>
      </c>
      <c r="C1267" s="28" t="str">
        <f>IFERROR(_xlfn.XLOOKUP(E1267,[1]EMPREENDIMENTO!C:C,[1]EMPREENDIMENTO!A:A),"-")</f>
        <v>CURITIBA</v>
      </c>
      <c r="D1267" s="28" t="s">
        <v>85</v>
      </c>
      <c r="E1267" s="28" t="s">
        <v>2334</v>
      </c>
      <c r="F1267" s="28" t="s">
        <v>42</v>
      </c>
      <c r="G1267" s="28" t="s">
        <v>2335</v>
      </c>
      <c r="H1267" s="28">
        <v>67160</v>
      </c>
      <c r="I1267" s="29">
        <f>IFERROR(_xlfn.XLOOKUP(E1267,[1]EMPREENDIMENTO!C:C,[1]EMPREENDIMENTO!E:E),"0")</f>
        <v>456</v>
      </c>
      <c r="J1267" s="30"/>
      <c r="K1267" s="28"/>
      <c r="L1267" s="31">
        <v>46260</v>
      </c>
      <c r="M1267" s="32">
        <v>125872420</v>
      </c>
      <c r="N1267" s="32">
        <v>83563892</v>
      </c>
      <c r="O1267" s="32">
        <v>83563892</v>
      </c>
      <c r="P1267" s="28" t="s">
        <v>34</v>
      </c>
      <c r="Q1267" s="28"/>
      <c r="R1267" s="30"/>
      <c r="S1267" s="30">
        <v>46260</v>
      </c>
      <c r="T1267" s="33"/>
      <c r="U1267" s="34" t="str">
        <f>IFERROR(_xlfn.XLOOKUP(E1267,[1]EMPREENDIMENTO!C:C,[1]EMPREENDIMENTO!D:D),"")</f>
        <v>8C8F587F-DD71-EF11-A9C6-80C16E075108</v>
      </c>
    </row>
    <row r="1268" spans="1:21" x14ac:dyDescent="0.35">
      <c r="A1268" s="28" t="str">
        <f>IFERROR(_xlfn.XLOOKUP(C1268,[1]DIRETORIA!C:C,[1]DIRETORIA!A:A),"-")</f>
        <v>DIR. COM E CRED SPI</v>
      </c>
      <c r="B1268" s="28" t="str">
        <f>IFERROR(_xlfn.XLOOKUP(C1268,[1]DIRETORIA!C:C,[1]DIRETORIA!B:B),"-")</f>
        <v>GST. COM RP 2</v>
      </c>
      <c r="C1268" s="28" t="str">
        <f>IFERROR(_xlfn.XLOOKUP(E1268,[1]EMPREENDIMENTO!C:C,[1]EMPREENDIMENTO!A:A),"-")</f>
        <v>SÃO CARLOS</v>
      </c>
      <c r="D1268" s="28" t="s">
        <v>85</v>
      </c>
      <c r="E1268" s="28" t="s">
        <v>2336</v>
      </c>
      <c r="F1268" s="28" t="s">
        <v>42</v>
      </c>
      <c r="G1268" s="28" t="s">
        <v>2337</v>
      </c>
      <c r="H1268" s="28">
        <v>67105</v>
      </c>
      <c r="I1268" s="29">
        <f>IFERROR(_xlfn.XLOOKUP(E1268,[1]EMPREENDIMENTO!C:C,[1]EMPREENDIMENTO!E:E),"0")</f>
        <v>0</v>
      </c>
      <c r="J1268" s="30"/>
      <c r="K1268" s="28"/>
      <c r="L1268" s="31">
        <v>46239</v>
      </c>
      <c r="M1268" s="32">
        <v>120120000</v>
      </c>
      <c r="N1268" s="32">
        <v>113750000</v>
      </c>
      <c r="O1268" s="32">
        <v>113750000</v>
      </c>
      <c r="P1268" s="28" t="s">
        <v>34</v>
      </c>
      <c r="Q1268" s="28"/>
      <c r="R1268" s="30"/>
      <c r="S1268" s="30">
        <v>46240</v>
      </c>
      <c r="T1268" s="33"/>
      <c r="U1268" s="34" t="str">
        <f>IFERROR(_xlfn.XLOOKUP(E1268,[1]EMPREENDIMENTO!C:C,[1]EMPREENDIMENTO!D:D),"")</f>
        <v>3BF7483D-729B-EF11-AB5A-80C16E075108</v>
      </c>
    </row>
    <row r="1269" spans="1:21" hidden="1" x14ac:dyDescent="0.35">
      <c r="A1269" s="28" t="str">
        <f>IFERROR(_xlfn.XLOOKUP(C1269,[1]DIRETORIA!C:C,[1]DIRETORIA!A:A),"-")</f>
        <v>DIR. COM E CRED NE</v>
      </c>
      <c r="B1269" s="28" t="str">
        <f>IFERROR(_xlfn.XLOOKUP(C1269,[1]DIRETORIA!C:C,[1]DIRETORIA!B:B),"-")</f>
        <v>GST. COM NE 7 (PI+MA)</v>
      </c>
      <c r="C1269" s="28" t="str">
        <f>IFERROR(_xlfn.XLOOKUP(E1269,[1]EMPREENDIMENTO!C:C,[1]EMPREENDIMENTO!A:A),"-")</f>
        <v>SÃO LUÍS</v>
      </c>
      <c r="D1269" s="28" t="s">
        <v>85</v>
      </c>
      <c r="E1269" s="28" t="s">
        <v>2338</v>
      </c>
      <c r="F1269" s="28" t="s">
        <v>42</v>
      </c>
      <c r="G1269" s="28" t="s">
        <v>2339</v>
      </c>
      <c r="H1269" s="28">
        <v>63769</v>
      </c>
      <c r="I1269" s="29">
        <f>IFERROR(_xlfn.XLOOKUP(E1269,[1]EMPREENDIMENTO!C:C,[1]EMPREENDIMENTO!E:E),"0")</f>
        <v>336</v>
      </c>
      <c r="J1269" s="30"/>
      <c r="K1269" s="28"/>
      <c r="L1269" s="31">
        <v>46262</v>
      </c>
      <c r="M1269" s="32">
        <v>93256146</v>
      </c>
      <c r="N1269" s="32">
        <v>93256146</v>
      </c>
      <c r="O1269" s="32">
        <v>74408000</v>
      </c>
      <c r="P1269" s="28" t="s">
        <v>6</v>
      </c>
      <c r="Q1269" s="28">
        <v>861180</v>
      </c>
      <c r="R1269" s="30">
        <v>46267</v>
      </c>
      <c r="S1269" s="30">
        <v>46262</v>
      </c>
      <c r="T1269" s="33"/>
      <c r="U1269" s="34" t="str">
        <f>IFERROR(_xlfn.XLOOKUP(E1269,[1]EMPREENDIMENTO!C:C,[1]EMPREENDIMENTO!D:D),"")</f>
        <v>3AD46741-BF9F-F011-9D63-80C16E075108</v>
      </c>
    </row>
    <row r="1270" spans="1:21" hidden="1" x14ac:dyDescent="0.35">
      <c r="A1270" s="28" t="str">
        <f>IFERROR(_xlfn.XLOOKUP(C1270,[1]DIRETORIA!C:C,[1]DIRETORIA!A:A),"-")</f>
        <v>DIR. COM E CRED NE</v>
      </c>
      <c r="B1270" s="28" t="str">
        <f>IFERROR(_xlfn.XLOOKUP(C1270,[1]DIRETORIA!C:C,[1]DIRETORIA!B:B),"-")</f>
        <v>GST. COM NE1 (BA 1)</v>
      </c>
      <c r="C1270" s="28" t="str">
        <f>IFERROR(_xlfn.XLOOKUP(E1270,[1]EMPREENDIMENTO!C:C,[1]EMPREENDIMENTO!A:A),"-")</f>
        <v>FEIRA DE SANTANA</v>
      </c>
      <c r="D1270" s="28" t="s">
        <v>29</v>
      </c>
      <c r="E1270" s="28" t="s">
        <v>2340</v>
      </c>
      <c r="F1270" s="28" t="s">
        <v>31</v>
      </c>
      <c r="G1270" s="28" t="s">
        <v>2341</v>
      </c>
      <c r="H1270" s="28">
        <v>28003</v>
      </c>
      <c r="I1270" s="29">
        <f>IFERROR(_xlfn.XLOOKUP(E1270,[1]EMPREENDIMENTO!C:C,[1]EMPREENDIMENTO!E:E),"0")</f>
        <v>500</v>
      </c>
      <c r="J1270" s="30"/>
      <c r="K1270" s="28"/>
      <c r="L1270" s="31">
        <v>46251</v>
      </c>
      <c r="M1270" s="32">
        <v>98182974</v>
      </c>
      <c r="N1270" s="32">
        <v>106972858</v>
      </c>
      <c r="O1270" s="32">
        <v>104977902</v>
      </c>
      <c r="P1270" s="28" t="s">
        <v>34</v>
      </c>
      <c r="Q1270" s="28" t="s">
        <v>2342</v>
      </c>
      <c r="R1270" s="30">
        <v>46251</v>
      </c>
      <c r="S1270" s="30">
        <v>46251</v>
      </c>
      <c r="T1270" s="33"/>
      <c r="U1270" s="34" t="str">
        <f>IFERROR(_xlfn.XLOOKUP(E1270,[1]EMPREENDIMENTO!C:C,[1]EMPREENDIMENTO!D:D),"")</f>
        <v>1b3d5014-455b-e711-bb04-db6828735db2</v>
      </c>
    </row>
    <row r="1271" spans="1:21" hidden="1" x14ac:dyDescent="0.35">
      <c r="A1271" s="28" t="str">
        <f>IFERROR(_xlfn.XLOOKUP(C1271,[1]DIRETORIA!C:C,[1]DIRETORIA!A:A),"-")</f>
        <v>DIR. COM E CRED NE</v>
      </c>
      <c r="B1271" s="28" t="str">
        <f>IFERROR(_xlfn.XLOOKUP(C1271,[1]DIRETORIA!C:C,[1]DIRETORIA!B:B),"-")</f>
        <v>GST. COM NE1 (BA 1)</v>
      </c>
      <c r="C1271" s="28" t="str">
        <f>IFERROR(_xlfn.XLOOKUP(E1271,[1]EMPREENDIMENTO!C:C,[1]EMPREENDIMENTO!A:A),"-")</f>
        <v>FEIRA DE SANTANA</v>
      </c>
      <c r="D1271" s="28" t="s">
        <v>29</v>
      </c>
      <c r="E1271" s="28" t="s">
        <v>2340</v>
      </c>
      <c r="F1271" s="28" t="s">
        <v>36</v>
      </c>
      <c r="G1271" s="28" t="s">
        <v>2343</v>
      </c>
      <c r="H1271" s="28">
        <v>31567</v>
      </c>
      <c r="I1271" s="29">
        <f>IFERROR(_xlfn.XLOOKUP(E1271,[1]EMPREENDIMENTO!C:C,[1]EMPREENDIMENTO!E:E),"0")</f>
        <v>500</v>
      </c>
      <c r="J1271" s="30"/>
      <c r="K1271" s="28"/>
      <c r="L1271" s="31">
        <v>46251</v>
      </c>
      <c r="M1271" s="32">
        <v>98182974</v>
      </c>
      <c r="N1271" s="32">
        <v>106972858</v>
      </c>
      <c r="O1271" s="32">
        <v>104977902</v>
      </c>
      <c r="P1271" s="28" t="s">
        <v>34</v>
      </c>
      <c r="Q1271" s="28" t="s">
        <v>2342</v>
      </c>
      <c r="R1271" s="30">
        <v>46251</v>
      </c>
      <c r="S1271" s="30">
        <v>46251</v>
      </c>
      <c r="T1271" s="33"/>
      <c r="U1271" s="34" t="str">
        <f>IFERROR(_xlfn.XLOOKUP(E1271,[1]EMPREENDIMENTO!C:C,[1]EMPREENDIMENTO!D:D),"")</f>
        <v>1b3d5014-455b-e711-bb04-db6828735db2</v>
      </c>
    </row>
    <row r="1272" spans="1:21" hidden="1" x14ac:dyDescent="0.35">
      <c r="A1272" s="28" t="str">
        <f>IFERROR(_xlfn.XLOOKUP(C1272,[1]DIRETORIA!C:C,[1]DIRETORIA!A:A),"-")</f>
        <v>DIR. COM E CRED NE</v>
      </c>
      <c r="B1272" s="28" t="str">
        <f>IFERROR(_xlfn.XLOOKUP(C1272,[1]DIRETORIA!C:C,[1]DIRETORIA!B:B),"-")</f>
        <v>GST. COM NE1 (BA 1)</v>
      </c>
      <c r="C1272" s="28" t="str">
        <f>IFERROR(_xlfn.XLOOKUP(E1272,[1]EMPREENDIMENTO!C:C,[1]EMPREENDIMENTO!A:A),"-")</f>
        <v>FEIRA DE SANTANA</v>
      </c>
      <c r="D1272" s="28" t="s">
        <v>29</v>
      </c>
      <c r="E1272" s="28" t="s">
        <v>2340</v>
      </c>
      <c r="F1272" s="28" t="s">
        <v>39</v>
      </c>
      <c r="G1272" s="28" t="s">
        <v>2344</v>
      </c>
      <c r="H1272" s="28">
        <v>31568</v>
      </c>
      <c r="I1272" s="29">
        <f>IFERROR(_xlfn.XLOOKUP(E1272,[1]EMPREENDIMENTO!C:C,[1]EMPREENDIMENTO!E:E),"0")</f>
        <v>500</v>
      </c>
      <c r="J1272" s="30"/>
      <c r="K1272" s="28"/>
      <c r="L1272" s="31">
        <v>46251</v>
      </c>
      <c r="M1272" s="32">
        <v>98182974</v>
      </c>
      <c r="N1272" s="32">
        <v>106972858</v>
      </c>
      <c r="O1272" s="32">
        <v>104977902</v>
      </c>
      <c r="P1272" s="28" t="s">
        <v>34</v>
      </c>
      <c r="Q1272" s="28" t="s">
        <v>2342</v>
      </c>
      <c r="R1272" s="30">
        <v>46251</v>
      </c>
      <c r="S1272" s="30">
        <v>46251</v>
      </c>
      <c r="T1272" s="33"/>
      <c r="U1272" s="34" t="str">
        <f>IFERROR(_xlfn.XLOOKUP(E1272,[1]EMPREENDIMENTO!C:C,[1]EMPREENDIMENTO!D:D),"")</f>
        <v>1b3d5014-455b-e711-bb04-db6828735db2</v>
      </c>
    </row>
    <row r="1273" spans="1:21" hidden="1" x14ac:dyDescent="0.35">
      <c r="A1273" s="28" t="str">
        <f>IFERROR(_xlfn.XLOOKUP(C1273,[1]DIRETORIA!C:C,[1]DIRETORIA!A:A),"-")</f>
        <v>DIR. COM E CRED MG E ES</v>
      </c>
      <c r="B1273" s="28" t="str">
        <f>IFERROR(_xlfn.XLOOKUP(C1273,[1]DIRETORIA!C:C,[1]DIRETORIA!B:B),"-")</f>
        <v>GST. COM BH E INT</v>
      </c>
      <c r="C1273" s="28" t="str">
        <f>IFERROR(_xlfn.XLOOKUP(E1273,[1]EMPREENDIMENTO!C:C,[1]EMPREENDIMENTO!A:A),"-")</f>
        <v>BETIM</v>
      </c>
      <c r="D1273" s="28" t="s">
        <v>85</v>
      </c>
      <c r="E1273" s="28" t="s">
        <v>2345</v>
      </c>
      <c r="F1273" s="28" t="s">
        <v>42</v>
      </c>
      <c r="G1273" s="28" t="s">
        <v>2346</v>
      </c>
      <c r="H1273" s="28">
        <v>64450</v>
      </c>
      <c r="I1273" s="29">
        <f>IFERROR(_xlfn.XLOOKUP(E1273,[1]EMPREENDIMENTO!C:C,[1]EMPREENDIMENTO!E:E),"0")</f>
        <v>320</v>
      </c>
      <c r="J1273" s="30"/>
      <c r="K1273" s="28"/>
      <c r="L1273" s="31">
        <v>46224</v>
      </c>
      <c r="M1273" s="32">
        <v>103198471</v>
      </c>
      <c r="N1273" s="32">
        <v>103198471</v>
      </c>
      <c r="O1273" s="32">
        <v>92481000</v>
      </c>
      <c r="P1273" s="28" t="s">
        <v>34</v>
      </c>
      <c r="Q1273" s="28"/>
      <c r="R1273" s="30"/>
      <c r="S1273" s="30">
        <v>46224</v>
      </c>
      <c r="T1273" s="33"/>
      <c r="U1273" s="34" t="str">
        <f>IFERROR(_xlfn.XLOOKUP(E1273,[1]EMPREENDIMENTO!C:C,[1]EMPREENDIMENTO!D:D),"")</f>
        <v>779529C1-ADDB-EE11-8ACD-80C16E075108</v>
      </c>
    </row>
    <row r="1274" spans="1:21" x14ac:dyDescent="0.35">
      <c r="A1274" s="28" t="str">
        <f>IFERROR(_xlfn.XLOOKUP(C1274,[1]DIRETORIA!C:C,[1]DIRETORIA!A:A),"-")</f>
        <v>DIR. COM E CRED SPI</v>
      </c>
      <c r="B1274" s="28" t="str">
        <f>IFERROR(_xlfn.XLOOKUP(C1274,[1]DIRETORIA!C:C,[1]DIRETORIA!B:B),"-")</f>
        <v>GST. COM RP 1</v>
      </c>
      <c r="C1274" s="28" t="str">
        <f>IFERROR(_xlfn.XLOOKUP(E1274,[1]EMPREENDIMENTO!C:C,[1]EMPREENDIMENTO!A:A),"-")</f>
        <v>RIBEIRÃO PRETO</v>
      </c>
      <c r="D1274" s="28" t="s">
        <v>85</v>
      </c>
      <c r="E1274" s="28" t="s">
        <v>2347</v>
      </c>
      <c r="F1274" s="28" t="s">
        <v>42</v>
      </c>
      <c r="G1274" s="28" t="s">
        <v>2348</v>
      </c>
      <c r="H1274" s="28">
        <v>67435</v>
      </c>
      <c r="I1274" s="29">
        <f>IFERROR(_xlfn.XLOOKUP(E1274,[1]EMPREENDIMENTO!C:C,[1]EMPREENDIMENTO!E:E),"0")</f>
        <v>245</v>
      </c>
      <c r="J1274" s="30"/>
      <c r="K1274" s="28"/>
      <c r="L1274" s="31">
        <v>46230</v>
      </c>
      <c r="M1274" s="32">
        <v>67865000</v>
      </c>
      <c r="N1274" s="32">
        <v>67865000</v>
      </c>
      <c r="O1274" s="32">
        <v>67865000</v>
      </c>
      <c r="P1274" s="28" t="s">
        <v>34</v>
      </c>
      <c r="Q1274" s="28"/>
      <c r="R1274" s="30"/>
      <c r="S1274" s="30">
        <v>46292</v>
      </c>
      <c r="T1274" s="33"/>
      <c r="U1274" s="34">
        <f>IFERROR(_xlfn.XLOOKUP(E1274,[1]EMPREENDIMENTO!C:C,[1]EMPREENDIMENTO!D:D),"")</f>
        <v>0</v>
      </c>
    </row>
    <row r="1275" spans="1:21" hidden="1" x14ac:dyDescent="0.35">
      <c r="A1275" s="28" t="str">
        <f>IFERROR(_xlfn.XLOOKUP(C1275,[1]DIRETORIA!C:C,[1]DIRETORIA!A:A),"-")</f>
        <v>DIR. COM E CRED CO E AM</v>
      </c>
      <c r="B1275" s="28" t="str">
        <f>IFERROR(_xlfn.XLOOKUP(C1275,[1]DIRETORIA!C:C,[1]DIRETORIA!B:B),"-")</f>
        <v>GST. COM MT</v>
      </c>
      <c r="C1275" s="28" t="str">
        <f>IFERROR(_xlfn.XLOOKUP(E1275,[1]EMPREENDIMENTO!C:C,[1]EMPREENDIMENTO!A:A),"-")</f>
        <v>CUIABÁ</v>
      </c>
      <c r="D1275" s="28" t="s">
        <v>85</v>
      </c>
      <c r="E1275" s="28" t="s">
        <v>2349</v>
      </c>
      <c r="F1275" s="28" t="s">
        <v>42</v>
      </c>
      <c r="G1275" s="28" t="s">
        <v>2350</v>
      </c>
      <c r="H1275" s="28">
        <v>67510</v>
      </c>
      <c r="I1275" s="29">
        <f>IFERROR(_xlfn.XLOOKUP(E1275,[1]EMPREENDIMENTO!C:C,[1]EMPREENDIMENTO!E:E),"0")</f>
        <v>0</v>
      </c>
      <c r="J1275" s="30"/>
      <c r="K1275" s="28"/>
      <c r="L1275" s="31">
        <v>46230</v>
      </c>
      <c r="M1275" s="32">
        <v>101998223</v>
      </c>
      <c r="N1275" s="32">
        <v>101998223</v>
      </c>
      <c r="O1275" s="32">
        <v>100341090</v>
      </c>
      <c r="P1275" s="28" t="s">
        <v>34</v>
      </c>
      <c r="Q1275" s="28"/>
      <c r="R1275" s="30">
        <v>46232</v>
      </c>
      <c r="S1275" s="30">
        <v>46232</v>
      </c>
      <c r="T1275" s="33"/>
      <c r="U1275" s="34" t="str">
        <f>IFERROR(_xlfn.XLOOKUP(E1275,[1]EMPREENDIMENTO!C:C,[1]EMPREENDIMENTO!D:D),"")</f>
        <v>F9937EA1-8A5F-ED11-879A-80C16E075108</v>
      </c>
    </row>
    <row r="1276" spans="1:21" hidden="1" x14ac:dyDescent="0.35">
      <c r="A1276" s="28" t="str">
        <f>IFERROR(_xlfn.XLOOKUP(C1276,[1]DIRETORIA!C:C,[1]DIRETORIA!A:A),"-")</f>
        <v>DIR. COM E CRED CO E AM</v>
      </c>
      <c r="B1276" s="28" t="str">
        <f>IFERROR(_xlfn.XLOOKUP(C1276,[1]DIRETORIA!C:C,[1]DIRETORIA!B:B),"-")</f>
        <v>GST. COM MT</v>
      </c>
      <c r="C1276" s="28" t="str">
        <f>IFERROR(_xlfn.XLOOKUP(E1276,[1]EMPREENDIMENTO!C:C,[1]EMPREENDIMENTO!A:A),"-")</f>
        <v>CUIABÁ</v>
      </c>
      <c r="D1276" s="28" t="s">
        <v>85</v>
      </c>
      <c r="E1276" s="28" t="s">
        <v>2351</v>
      </c>
      <c r="F1276" s="28" t="s">
        <v>42</v>
      </c>
      <c r="G1276" s="28" t="s">
        <v>2352</v>
      </c>
      <c r="H1276" s="28">
        <v>67535</v>
      </c>
      <c r="I1276" s="29">
        <f>IFERROR(_xlfn.XLOOKUP(E1276,[1]EMPREENDIMENTO!C:C,[1]EMPREENDIMENTO!E:E),"0")</f>
        <v>0</v>
      </c>
      <c r="J1276" s="30"/>
      <c r="K1276" s="28"/>
      <c r="L1276" s="31">
        <v>46230</v>
      </c>
      <c r="M1276" s="32">
        <v>82388344</v>
      </c>
      <c r="N1276" s="32">
        <v>82388344</v>
      </c>
      <c r="O1276" s="32">
        <v>78182560</v>
      </c>
      <c r="P1276" s="28" t="s">
        <v>34</v>
      </c>
      <c r="Q1276" s="28"/>
      <c r="R1276" s="30">
        <v>46232</v>
      </c>
      <c r="S1276" s="30">
        <v>46232</v>
      </c>
      <c r="T1276" s="33"/>
      <c r="U1276" s="34" t="str">
        <f>IFERROR(_xlfn.XLOOKUP(E1276,[1]EMPREENDIMENTO!C:C,[1]EMPREENDIMENTO!D:D),"")</f>
        <v>2F8A79B7-F00C-F011-B65C-009C02B0CB58</v>
      </c>
    </row>
    <row r="1277" spans="1:21" hidden="1" x14ac:dyDescent="0.35">
      <c r="A1277" s="28" t="str">
        <f>IFERROR(_xlfn.XLOOKUP(C1277,[1]DIRETORIA!C:C,[1]DIRETORIA!A:A),"-")</f>
        <v>DIR. COM E CRED CO E AM</v>
      </c>
      <c r="B1277" s="28" t="str">
        <f>IFERROR(_xlfn.XLOOKUP(C1277,[1]DIRETORIA!C:C,[1]DIRETORIA!B:B),"-")</f>
        <v>GST. COM MT</v>
      </c>
      <c r="C1277" s="28" t="str">
        <f>IFERROR(_xlfn.XLOOKUP(E1277,[1]EMPREENDIMENTO!C:C,[1]EMPREENDIMENTO!A:A),"-")</f>
        <v>CUIABÁ</v>
      </c>
      <c r="D1277" s="28" t="s">
        <v>85</v>
      </c>
      <c r="E1277" s="28" t="s">
        <v>2353</v>
      </c>
      <c r="F1277" s="28" t="s">
        <v>42</v>
      </c>
      <c r="G1277" s="28" t="s">
        <v>2354</v>
      </c>
      <c r="H1277" s="28">
        <v>67585</v>
      </c>
      <c r="I1277" s="29">
        <f>IFERROR(_xlfn.XLOOKUP(E1277,[1]EMPREENDIMENTO!C:C,[1]EMPREENDIMENTO!E:E),"0")</f>
        <v>0</v>
      </c>
      <c r="J1277" s="30"/>
      <c r="K1277" s="28"/>
      <c r="L1277" s="31">
        <v>46231</v>
      </c>
      <c r="M1277" s="32">
        <v>123880024</v>
      </c>
      <c r="N1277" s="32">
        <v>123880024</v>
      </c>
      <c r="O1277" s="32">
        <v>123867200</v>
      </c>
      <c r="P1277" s="28" t="s">
        <v>2</v>
      </c>
      <c r="Q1277" s="28">
        <v>878836</v>
      </c>
      <c r="R1277" s="30">
        <v>46293</v>
      </c>
      <c r="S1277" s="30">
        <v>46232</v>
      </c>
      <c r="T1277" s="33" t="s">
        <v>2355</v>
      </c>
      <c r="U1277" s="34" t="str">
        <f>IFERROR(_xlfn.XLOOKUP(E1277,[1]EMPREENDIMENTO!C:C,[1]EMPREENDIMENTO!D:D),"")</f>
        <v>23D157CE-40C0-EE11-8ACD-80C16E075108</v>
      </c>
    </row>
    <row r="1278" spans="1:21" hidden="1" x14ac:dyDescent="0.35">
      <c r="A1278" s="28" t="str">
        <f>IFERROR(_xlfn.XLOOKUP(C1278,[1]DIRETORIA!C:C,[1]DIRETORIA!A:A),"-")</f>
        <v>DIR. COM E CRED SUL</v>
      </c>
      <c r="B1278" s="28" t="str">
        <f>IFERROR(_xlfn.XLOOKUP(C1278,[1]DIRETORIA!C:C,[1]DIRETORIA!B:B),"-")</f>
        <v>GST. COM LONDRINA</v>
      </c>
      <c r="C1278" s="28" t="str">
        <f>IFERROR(_xlfn.XLOOKUP(E1278,[1]EMPREENDIMENTO!C:C,[1]EMPREENDIMENTO!A:A),"-")</f>
        <v>LONDRINA</v>
      </c>
      <c r="D1278" s="28" t="s">
        <v>85</v>
      </c>
      <c r="E1278" s="28" t="s">
        <v>2356</v>
      </c>
      <c r="F1278" s="28" t="s">
        <v>42</v>
      </c>
      <c r="G1278" s="28" t="s">
        <v>2357</v>
      </c>
      <c r="H1278" s="28">
        <v>67434</v>
      </c>
      <c r="I1278" s="29">
        <f>IFERROR(_xlfn.XLOOKUP(E1278,[1]EMPREENDIMENTO!C:C,[1]EMPREENDIMENTO!E:E),"0")</f>
        <v>0</v>
      </c>
      <c r="J1278" s="30"/>
      <c r="K1278" s="28"/>
      <c r="L1278" s="31">
        <v>46237</v>
      </c>
      <c r="M1278" s="32">
        <v>96871202</v>
      </c>
      <c r="N1278" s="32">
        <v>96871202</v>
      </c>
      <c r="O1278" s="32">
        <v>88879550</v>
      </c>
      <c r="P1278" s="28" t="s">
        <v>34</v>
      </c>
      <c r="Q1278" s="28"/>
      <c r="R1278" s="30"/>
      <c r="S1278" s="30">
        <v>46237</v>
      </c>
      <c r="T1278" s="33"/>
      <c r="U1278" s="34" t="str">
        <f>IFERROR(_xlfn.XLOOKUP(E1278,[1]EMPREENDIMENTO!C:C,[1]EMPREENDIMENTO!D:D),"")</f>
        <v>A85AB9AB-6BC7-EE11-A95E-005056856875</v>
      </c>
    </row>
    <row r="1279" spans="1:21" hidden="1" x14ac:dyDescent="0.35">
      <c r="A1279" s="28" t="str">
        <f>IFERROR(_xlfn.XLOOKUP(C1279,[1]DIRETORIA!C:C,[1]DIRETORIA!A:A),"-")</f>
        <v>DIR. COM E CRED SP E VL</v>
      </c>
      <c r="B1279" s="28" t="str">
        <f>IFERROR(_xlfn.XLOOKUP(C1279,[1]DIRETORIA!C:C,[1]DIRETORIA!B:B),"-")</f>
        <v>GST. COM SP2</v>
      </c>
      <c r="C1279" s="28" t="str">
        <f>IFERROR(_xlfn.XLOOKUP(E1279,[1]EMPREENDIMENTO!C:C,[1]EMPREENDIMENTO!A:A),"-")</f>
        <v>SÃO PAULO</v>
      </c>
      <c r="D1279" s="28" t="s">
        <v>85</v>
      </c>
      <c r="E1279" s="28" t="s">
        <v>2358</v>
      </c>
      <c r="F1279" s="28" t="s">
        <v>42</v>
      </c>
      <c r="G1279" s="28" t="s">
        <v>2359</v>
      </c>
      <c r="H1279" s="28">
        <v>67554</v>
      </c>
      <c r="I1279" s="29">
        <f>IFERROR(_xlfn.XLOOKUP(E1279,[1]EMPREENDIMENTO!C:C,[1]EMPREENDIMENTO!E:E),"0")</f>
        <v>400</v>
      </c>
      <c r="J1279" s="30"/>
      <c r="K1279" s="28"/>
      <c r="L1279" s="31">
        <v>46240</v>
      </c>
      <c r="M1279" s="32">
        <v>154580336</v>
      </c>
      <c r="N1279" s="32">
        <v>154580336</v>
      </c>
      <c r="O1279" s="32">
        <v>145936000</v>
      </c>
      <c r="P1279" s="28" t="s">
        <v>6</v>
      </c>
      <c r="Q1279" s="28"/>
      <c r="R1279" s="30"/>
      <c r="S1279" s="30">
        <v>46241</v>
      </c>
      <c r="T1279" s="33"/>
      <c r="U1279" s="34" t="str">
        <f>IFERROR(_xlfn.XLOOKUP(E1279,[1]EMPREENDIMENTO!C:C,[1]EMPREENDIMENTO!D:D),"")</f>
        <v>E48640A3-FAC0-E811-944D-009C02B0CB58</v>
      </c>
    </row>
    <row r="1280" spans="1:21" hidden="1" x14ac:dyDescent="0.35">
      <c r="A1280" s="28" t="str">
        <f>IFERROR(_xlfn.XLOOKUP(C1280,[1]DIRETORIA!C:C,[1]DIRETORIA!A:A),"-")</f>
        <v>DIR. COM E CRED RJ</v>
      </c>
      <c r="B1280" s="28" t="str">
        <f>IFERROR(_xlfn.XLOOKUP(C1280,[1]DIRETORIA!C:C,[1]DIRETORIA!B:B),"-")</f>
        <v>GST. COM RJ2</v>
      </c>
      <c r="C1280" s="28" t="str">
        <f>IFERROR(_xlfn.XLOOKUP(E1280,[1]EMPREENDIMENTO!C:C,[1]EMPREENDIMENTO!A:A),"-")</f>
        <v>SÃO GONÇALO</v>
      </c>
      <c r="D1280" s="28" t="s">
        <v>85</v>
      </c>
      <c r="E1280" s="28" t="s">
        <v>2360</v>
      </c>
      <c r="F1280" s="28" t="s">
        <v>42</v>
      </c>
      <c r="G1280" s="28" t="s">
        <v>2361</v>
      </c>
      <c r="H1280" s="28">
        <v>67208</v>
      </c>
      <c r="I1280" s="29">
        <f>IFERROR(_xlfn.XLOOKUP(E1280,[1]EMPREENDIMENTO!C:C,[1]EMPREENDIMENTO!E:E),"0")</f>
        <v>396</v>
      </c>
      <c r="J1280" s="30"/>
      <c r="K1280" s="28"/>
      <c r="L1280" s="31">
        <v>46246</v>
      </c>
      <c r="M1280" s="32">
        <v>125794643</v>
      </c>
      <c r="N1280" s="32">
        <v>125794643</v>
      </c>
      <c r="O1280" s="32">
        <v>86338000</v>
      </c>
      <c r="P1280" s="28" t="s">
        <v>34</v>
      </c>
      <c r="Q1280" s="28"/>
      <c r="R1280" s="30"/>
      <c r="S1280" s="30">
        <v>46246</v>
      </c>
      <c r="T1280" s="33"/>
      <c r="U1280" s="34" t="str">
        <f>IFERROR(_xlfn.XLOOKUP(E1280,[1]EMPREENDIMENTO!C:C,[1]EMPREENDIMENTO!D:D),"")</f>
        <v>EBABB5A0-8A52-F011-8E0C-80C16E075108</v>
      </c>
    </row>
    <row r="1281" spans="1:21" hidden="1" x14ac:dyDescent="0.35">
      <c r="A1281" s="28" t="str">
        <f>IFERROR(_xlfn.XLOOKUP(C1281,[1]DIRETORIA!C:C,[1]DIRETORIA!A:A),"-")</f>
        <v>DIR. COM E CRED NE</v>
      </c>
      <c r="B1281" s="28" t="str">
        <f>IFERROR(_xlfn.XLOOKUP(C1281,[1]DIRETORIA!C:C,[1]DIRETORIA!B:B),"-")</f>
        <v>GST. COM NE4 (CE)</v>
      </c>
      <c r="C1281" s="28" t="str">
        <f>IFERROR(_xlfn.XLOOKUP(E1281,[1]EMPREENDIMENTO!C:C,[1]EMPREENDIMENTO!A:A),"-")</f>
        <v>FORTALEZA</v>
      </c>
      <c r="D1281" s="28" t="s">
        <v>85</v>
      </c>
      <c r="E1281" s="28" t="s">
        <v>2362</v>
      </c>
      <c r="F1281" s="28" t="s">
        <v>42</v>
      </c>
      <c r="G1281" s="28" t="s">
        <v>2363</v>
      </c>
      <c r="H1281" s="28">
        <v>64132</v>
      </c>
      <c r="I1281" s="29">
        <f>IFERROR(_xlfn.XLOOKUP(E1281,[1]EMPREENDIMENTO!C:C,[1]EMPREENDIMENTO!E:E),"0")</f>
        <v>220</v>
      </c>
      <c r="J1281" s="30"/>
      <c r="K1281" s="28"/>
      <c r="L1281" s="31">
        <v>46246</v>
      </c>
      <c r="M1281" s="32">
        <v>55930506</v>
      </c>
      <c r="N1281" s="32">
        <v>55930506</v>
      </c>
      <c r="O1281" s="32">
        <v>50989100</v>
      </c>
      <c r="P1281" s="28" t="s">
        <v>3</v>
      </c>
      <c r="Q1281" s="28">
        <v>873307</v>
      </c>
      <c r="R1281" s="30">
        <v>46282</v>
      </c>
      <c r="S1281" s="30"/>
      <c r="T1281" s="33"/>
      <c r="U1281" s="34" t="str">
        <f>IFERROR(_xlfn.XLOOKUP(E1281,[1]EMPREENDIMENTO!C:C,[1]EMPREENDIMENTO!D:D),"")</f>
        <v>FA8918EE-3458-F011-9D65-005056856875</v>
      </c>
    </row>
    <row r="1282" spans="1:21" x14ac:dyDescent="0.35">
      <c r="A1282" s="28" t="str">
        <f>IFERROR(_xlfn.XLOOKUP(C1282,[1]DIRETORIA!C:C,[1]DIRETORIA!A:A),"-")</f>
        <v>DIR. COM E CRED SPI CP</v>
      </c>
      <c r="B1282" s="28" t="str">
        <f>IFERROR(_xlfn.XLOOKUP(C1282,[1]DIRETORIA!C:C,[1]DIRETORIA!B:B),"-")</f>
        <v>GST. COM CP1</v>
      </c>
      <c r="C1282" s="28" t="str">
        <f>IFERROR(_xlfn.XLOOKUP(E1282,[1]EMPREENDIMENTO!C:C,[1]EMPREENDIMENTO!A:A),"-")</f>
        <v>CAMPINAS</v>
      </c>
      <c r="D1282" s="28" t="s">
        <v>85</v>
      </c>
      <c r="E1282" s="28" t="s">
        <v>2364</v>
      </c>
      <c r="F1282" s="28" t="s">
        <v>42</v>
      </c>
      <c r="G1282" s="28" t="s">
        <v>2365</v>
      </c>
      <c r="H1282" s="28">
        <v>67700</v>
      </c>
      <c r="I1282" s="29">
        <f>IFERROR(_xlfn.XLOOKUP(E1282,[1]EMPREENDIMENTO!C:C,[1]EMPREENDIMENTO!E:E),"0")</f>
        <v>0</v>
      </c>
      <c r="J1282" s="30"/>
      <c r="K1282" s="28"/>
      <c r="L1282" s="31">
        <v>46246</v>
      </c>
      <c r="M1282" s="32">
        <v>77990316</v>
      </c>
      <c r="N1282" s="32">
        <v>77990316</v>
      </c>
      <c r="O1282" s="32">
        <v>72654063</v>
      </c>
      <c r="P1282" s="28" t="s">
        <v>34</v>
      </c>
      <c r="Q1282" s="28"/>
      <c r="R1282" s="30"/>
      <c r="S1282" s="30">
        <v>46246</v>
      </c>
      <c r="T1282" s="33"/>
      <c r="U1282" s="34" t="str">
        <f>IFERROR(_xlfn.XLOOKUP(E1282,[1]EMPREENDIMENTO!C:C,[1]EMPREENDIMENTO!D:D),"")</f>
        <v>B1A5F363-B5CE-F011-B77E-005056856875</v>
      </c>
    </row>
    <row r="1283" spans="1:21" hidden="1" x14ac:dyDescent="0.35">
      <c r="A1283" s="28" t="str">
        <f>IFERROR(_xlfn.XLOOKUP(C1283,[1]DIRETORIA!C:C,[1]DIRETORIA!A:A),"-")</f>
        <v>DIR. COM E CRED SP E VL</v>
      </c>
      <c r="B1283" s="28" t="str">
        <f>IFERROR(_xlfn.XLOOKUP(C1283,[1]DIRETORIA!C:C,[1]DIRETORIA!B:B),"-")</f>
        <v>GST. COM VL1</v>
      </c>
      <c r="C1283" s="28" t="str">
        <f>IFERROR(_xlfn.XLOOKUP(E1283,[1]EMPREENDIMENTO!C:C,[1]EMPREENDIMENTO!A:A),"-")</f>
        <v>SÃO JOSÉ DOS CAMPOS</v>
      </c>
      <c r="D1283" s="28" t="s">
        <v>85</v>
      </c>
      <c r="E1283" s="28" t="s">
        <v>2366</v>
      </c>
      <c r="F1283" s="28" t="s">
        <v>42</v>
      </c>
      <c r="G1283" s="28" t="s">
        <v>2367</v>
      </c>
      <c r="H1283" s="28">
        <v>67812</v>
      </c>
      <c r="I1283" s="29">
        <f>IFERROR(_xlfn.XLOOKUP(E1283,[1]EMPREENDIMENTO!C:C,[1]EMPREENDIMENTO!E:E),"0")</f>
        <v>0</v>
      </c>
      <c r="J1283" s="30"/>
      <c r="K1283" s="28"/>
      <c r="L1283" s="31">
        <v>46252</v>
      </c>
      <c r="M1283" s="32">
        <v>104890032</v>
      </c>
      <c r="N1283" s="32">
        <v>104890032</v>
      </c>
      <c r="O1283" s="32">
        <v>83131000</v>
      </c>
      <c r="P1283" s="28" t="s">
        <v>6</v>
      </c>
      <c r="Q1283" s="28"/>
      <c r="R1283" s="30"/>
      <c r="S1283" s="30">
        <v>46253</v>
      </c>
      <c r="T1283" s="33"/>
      <c r="U1283" s="34" t="str">
        <f>IFERROR(_xlfn.XLOOKUP(E1283,[1]EMPREENDIMENTO!C:C,[1]EMPREENDIMENTO!D:D),"")</f>
        <v>B8E8304B-6D6E-EE11-8E2D-009C02B0CB58</v>
      </c>
    </row>
    <row r="1284" spans="1:21" x14ac:dyDescent="0.35">
      <c r="A1284" s="28" t="str">
        <f>IFERROR(_xlfn.XLOOKUP(C1284,[1]DIRETORIA!C:C,[1]DIRETORIA!A:A),"-")</f>
        <v>DIR. COM E CRED SPI CP</v>
      </c>
      <c r="B1284" s="28" t="str">
        <f>IFERROR(_xlfn.XLOOKUP(C1284,[1]DIRETORIA!C:C,[1]DIRETORIA!B:B),"-")</f>
        <v>GST. COM CP1</v>
      </c>
      <c r="C1284" s="28" t="str">
        <f>IFERROR(_xlfn.XLOOKUP(E1284,[1]EMPREENDIMENTO!C:C,[1]EMPREENDIMENTO!A:A),"-")</f>
        <v>CAMPINAS</v>
      </c>
      <c r="D1284" s="28" t="s">
        <v>85</v>
      </c>
      <c r="E1284" s="28" t="s">
        <v>2368</v>
      </c>
      <c r="F1284" s="28" t="s">
        <v>42</v>
      </c>
      <c r="G1284" s="28" t="s">
        <v>2369</v>
      </c>
      <c r="H1284" s="28">
        <v>67748</v>
      </c>
      <c r="I1284" s="29">
        <f>IFERROR(_xlfn.XLOOKUP(E1284,[1]EMPREENDIMENTO!C:C,[1]EMPREENDIMENTO!E:E),"0")</f>
        <v>0</v>
      </c>
      <c r="J1284" s="30"/>
      <c r="K1284" s="28"/>
      <c r="L1284" s="31">
        <v>46253</v>
      </c>
      <c r="M1284" s="32">
        <v>75621579</v>
      </c>
      <c r="N1284" s="32">
        <v>75621579</v>
      </c>
      <c r="O1284" s="32">
        <v>71890000</v>
      </c>
      <c r="P1284" s="28" t="s">
        <v>6</v>
      </c>
      <c r="Q1284" s="28"/>
      <c r="R1284" s="30"/>
      <c r="S1284" s="30">
        <v>46254</v>
      </c>
      <c r="T1284" s="33"/>
      <c r="U1284" s="34" t="str">
        <f>IFERROR(_xlfn.XLOOKUP(E1284,[1]EMPREENDIMENTO!C:C,[1]EMPREENDIMENTO!D:D),"")</f>
        <v>6A1C21EA-38CA-ED11-879A-80C16E075108</v>
      </c>
    </row>
    <row r="1285" spans="1:21" hidden="1" x14ac:dyDescent="0.35">
      <c r="A1285" s="28" t="str">
        <f>IFERROR(_xlfn.XLOOKUP(C1285,[1]DIRETORIA!C:C,[1]DIRETORIA!A:A),"-")</f>
        <v>DIR. COM E CRED NE</v>
      </c>
      <c r="B1285" s="28" t="str">
        <f>IFERROR(_xlfn.XLOOKUP(C1285,[1]DIRETORIA!C:C,[1]DIRETORIA!B:B),"-")</f>
        <v>GST. COM NE 3 (SE+AL)</v>
      </c>
      <c r="C1285" s="28" t="str">
        <f>IFERROR(_xlfn.XLOOKUP(E1285,[1]EMPREENDIMENTO!C:C,[1]EMPREENDIMENTO!A:A),"-")</f>
        <v>MACEIÓ</v>
      </c>
      <c r="D1285" s="28" t="s">
        <v>85</v>
      </c>
      <c r="E1285" s="28" t="s">
        <v>2370</v>
      </c>
      <c r="F1285" s="28" t="s">
        <v>42</v>
      </c>
      <c r="G1285" s="28" t="s">
        <v>2371</v>
      </c>
      <c r="H1285" s="28">
        <v>67559</v>
      </c>
      <c r="I1285" s="29">
        <f>IFERROR(_xlfn.XLOOKUP(E1285,[1]EMPREENDIMENTO!C:C,[1]EMPREENDIMENTO!E:E),"0")</f>
        <v>0</v>
      </c>
      <c r="J1285" s="30"/>
      <c r="K1285" s="28"/>
      <c r="L1285" s="31">
        <v>46255</v>
      </c>
      <c r="M1285" s="32">
        <v>124924249</v>
      </c>
      <c r="N1285" s="32">
        <v>124924249</v>
      </c>
      <c r="O1285" s="32">
        <v>119506350</v>
      </c>
      <c r="P1285" s="28" t="s">
        <v>34</v>
      </c>
      <c r="Q1285" s="28"/>
      <c r="R1285" s="30"/>
      <c r="S1285" s="30">
        <v>46259</v>
      </c>
      <c r="T1285" s="33"/>
      <c r="U1285" s="34" t="str">
        <f>IFERROR(_xlfn.XLOOKUP(E1285,[1]EMPREENDIMENTO!C:C,[1]EMPREENDIMENTO!D:D),"")</f>
        <v>6E9DE5CD-C03F-EF11-9143-80C16E075108</v>
      </c>
    </row>
    <row r="1286" spans="1:21" hidden="1" x14ac:dyDescent="0.35">
      <c r="A1286" s="28" t="str">
        <f>IFERROR(_xlfn.XLOOKUP(C1286,[1]DIRETORIA!C:C,[1]DIRETORIA!A:A),"-")</f>
        <v>DIR. COM E CRED NE</v>
      </c>
      <c r="B1286" s="28" t="str">
        <f>IFERROR(_xlfn.XLOOKUP(C1286,[1]DIRETORIA!C:C,[1]DIRETORIA!B:B),"-")</f>
        <v>GST. COM NE1 (BA 1)</v>
      </c>
      <c r="C1286" s="28" t="str">
        <f>IFERROR(_xlfn.XLOOKUP(E1286,[1]EMPREENDIMENTO!C:C,[1]EMPREENDIMENTO!A:A),"-")</f>
        <v>SALVADOR</v>
      </c>
      <c r="D1286" s="28" t="s">
        <v>85</v>
      </c>
      <c r="E1286" s="28" t="s">
        <v>2372</v>
      </c>
      <c r="F1286" s="28" t="s">
        <v>42</v>
      </c>
      <c r="G1286" s="28" t="s">
        <v>2373</v>
      </c>
      <c r="H1286" s="28">
        <v>67966</v>
      </c>
      <c r="I1286" s="29">
        <f>IFERROR(_xlfn.XLOOKUP(E1286,[1]EMPREENDIMENTO!C:C,[1]EMPREENDIMENTO!E:E),"0")</f>
        <v>0</v>
      </c>
      <c r="J1286" s="30"/>
      <c r="K1286" s="28"/>
      <c r="L1286" s="31">
        <v>46259</v>
      </c>
      <c r="M1286" s="32">
        <v>88444474</v>
      </c>
      <c r="N1286" s="32">
        <v>88444474</v>
      </c>
      <c r="O1286" s="32">
        <v>87167318</v>
      </c>
      <c r="P1286" s="28" t="s">
        <v>34</v>
      </c>
      <c r="Q1286" s="28"/>
      <c r="R1286" s="30"/>
      <c r="S1286" s="30">
        <v>46260</v>
      </c>
      <c r="T1286" s="33"/>
      <c r="U1286" s="34" t="str">
        <f>IFERROR(_xlfn.XLOOKUP(E1286,[1]EMPREENDIMENTO!C:C,[1]EMPREENDIMENTO!D:D),"")</f>
        <v>947DCB2F-EBFA-F011-A833-80C16E075108</v>
      </c>
    </row>
    <row r="1287" spans="1:21" hidden="1" x14ac:dyDescent="0.35">
      <c r="A1287" s="28" t="str">
        <f>IFERROR(_xlfn.XLOOKUP(C1287,[1]DIRETORIA!C:C,[1]DIRETORIA!A:A),"-")</f>
        <v>DIR. COM E CRED NE</v>
      </c>
      <c r="B1287" s="28" t="str">
        <f>IFERROR(_xlfn.XLOOKUP(C1287,[1]DIRETORIA!C:C,[1]DIRETORIA!B:B),"-")</f>
        <v>GST. COM NE4 (CE)</v>
      </c>
      <c r="C1287" s="28" t="str">
        <f>IFERROR(_xlfn.XLOOKUP(E1287,[1]EMPREENDIMENTO!C:C,[1]EMPREENDIMENTO!A:A),"-")</f>
        <v>FORTALEZA</v>
      </c>
      <c r="D1287" s="28" t="s">
        <v>85</v>
      </c>
      <c r="E1287" s="28" t="s">
        <v>2374</v>
      </c>
      <c r="F1287" s="28" t="s">
        <v>42</v>
      </c>
      <c r="G1287" s="28" t="s">
        <v>2375</v>
      </c>
      <c r="H1287" s="28">
        <v>67557</v>
      </c>
      <c r="I1287" s="29">
        <f>IFERROR(_xlfn.XLOOKUP(E1287,[1]EMPREENDIMENTO!C:C,[1]EMPREENDIMENTO!E:E),"0")</f>
        <v>576</v>
      </c>
      <c r="J1287" s="30"/>
      <c r="K1287" s="28"/>
      <c r="L1287" s="31">
        <v>46262</v>
      </c>
      <c r="M1287" s="32">
        <v>237375584</v>
      </c>
      <c r="N1287" s="32">
        <v>237375584</v>
      </c>
      <c r="O1287" s="32">
        <v>211648000</v>
      </c>
      <c r="P1287" s="28" t="s">
        <v>6</v>
      </c>
      <c r="Q1287" s="28"/>
      <c r="R1287" s="30"/>
      <c r="S1287" s="30">
        <v>46262</v>
      </c>
      <c r="T1287" s="33"/>
      <c r="U1287" s="34" t="str">
        <f>IFERROR(_xlfn.XLOOKUP(E1287,[1]EMPREENDIMENTO!C:C,[1]EMPREENDIMENTO!D:D),"")</f>
        <v>C92251D8-3134-ED11-B1AD-005056856875</v>
      </c>
    </row>
    <row r="1288" spans="1:21" hidden="1" x14ac:dyDescent="0.35">
      <c r="A1288" s="28" t="str">
        <f>IFERROR(_xlfn.XLOOKUP(C1288,[1]DIRETORIA!C:C,[1]DIRETORIA!A:A),"-")</f>
        <v>DIR. COM E CRED CO E AM</v>
      </c>
      <c r="B1288" s="28" t="str">
        <f>IFERROR(_xlfn.XLOOKUP(C1288,[1]DIRETORIA!C:C,[1]DIRETORIA!B:B),"-")</f>
        <v>GST. COM GO</v>
      </c>
      <c r="C1288" s="28" t="str">
        <f>IFERROR(_xlfn.XLOOKUP(E1288,[1]EMPREENDIMENTO!C:C,[1]EMPREENDIMENTO!A:A),"-")</f>
        <v>GOIÂNIA</v>
      </c>
      <c r="D1288" s="28" t="s">
        <v>85</v>
      </c>
      <c r="E1288" s="28" t="s">
        <v>2376</v>
      </c>
      <c r="F1288" s="35" t="s">
        <v>42</v>
      </c>
      <c r="G1288" s="28" t="s">
        <v>2377</v>
      </c>
      <c r="H1288" s="28">
        <v>68311</v>
      </c>
      <c r="I1288" s="29">
        <f>IFERROR(_xlfn.XLOOKUP(E1288,[1]EMPREENDIMENTO!C:C,[1]EMPREENDIMENTO!E:E),"0")</f>
        <v>0</v>
      </c>
      <c r="J1288" s="30"/>
      <c r="K1288" s="28"/>
      <c r="L1288" s="31">
        <v>46262</v>
      </c>
      <c r="M1288" s="32">
        <v>164410043</v>
      </c>
      <c r="N1288" s="32">
        <v>164410043</v>
      </c>
      <c r="O1288" s="32">
        <v>150065000</v>
      </c>
      <c r="P1288" s="28" t="s">
        <v>6</v>
      </c>
      <c r="Q1288" s="28"/>
      <c r="R1288" s="30"/>
      <c r="S1288" s="30">
        <v>46265</v>
      </c>
      <c r="T1288" s="33"/>
      <c r="U1288" s="34" t="str">
        <f>IFERROR(_xlfn.XLOOKUP(E1288,[1]EMPREENDIMENTO!C:C,[1]EMPREENDIMENTO!D:D),"")</f>
        <v>3A821B2D-40EB-EC11-BA45-005056890018</v>
      </c>
    </row>
    <row r="1289" spans="1:21" hidden="1" x14ac:dyDescent="0.35">
      <c r="A1289" s="28" t="str">
        <f>IFERROR(_xlfn.XLOOKUP(C1289,[1]DIRETORIA!C:C,[1]DIRETORIA!A:A),"-")</f>
        <v>-</v>
      </c>
      <c r="B1289" s="28" t="str">
        <f>IFERROR(_xlfn.XLOOKUP(C1289,[1]DIRETORIA!C:C,[1]DIRETORIA!B:B),"-")</f>
        <v>-</v>
      </c>
      <c r="C1289" s="28">
        <f>IFERROR(_xlfn.XLOOKUP(E1289,[1]EMPREENDIMENTO!C:C,[1]EMPREENDIMENTO!A:A),"-")</f>
        <v>0</v>
      </c>
      <c r="D1289" s="28"/>
      <c r="E1289" s="28"/>
      <c r="F1289" s="28"/>
      <c r="G1289" s="28"/>
      <c r="H1289" s="28"/>
      <c r="I1289" s="29">
        <f>IFERROR(_xlfn.XLOOKUP(E1289,[1]EMPREENDIMENTO!C:C,[1]EMPREENDIMENTO!E:E),"0")</f>
        <v>0</v>
      </c>
      <c r="J1289" s="30"/>
      <c r="K1289" s="28"/>
      <c r="M1289" s="32"/>
      <c r="N1289" s="32"/>
      <c r="O1289" s="32"/>
      <c r="P1289" s="28"/>
      <c r="Q1289" s="28"/>
      <c r="R1289" s="30"/>
      <c r="S1289" s="30"/>
      <c r="T1289" s="33"/>
      <c r="U1289" s="34">
        <f>IFERROR(_xlfn.XLOOKUP(E1289,[1]EMPREENDIMENTO!C:C,[1]EMPREENDIMENTO!D:D),"")</f>
        <v>0</v>
      </c>
    </row>
    <row r="1290" spans="1:21" hidden="1" x14ac:dyDescent="0.35">
      <c r="A1290" s="28" t="str">
        <f>IFERROR(_xlfn.XLOOKUP(C1290,[1]DIRETORIA!C:C,[1]DIRETORIA!A:A),"-")</f>
        <v>-</v>
      </c>
      <c r="B1290" s="28" t="str">
        <f>IFERROR(_xlfn.XLOOKUP(C1290,[1]DIRETORIA!C:C,[1]DIRETORIA!B:B),"-")</f>
        <v>-</v>
      </c>
      <c r="C1290" s="28">
        <f>IFERROR(_xlfn.XLOOKUP(E1290,[1]EMPREENDIMENTO!C:C,[1]EMPREENDIMENTO!A:A),"-")</f>
        <v>0</v>
      </c>
      <c r="D1290" s="28"/>
      <c r="E1290" s="28"/>
      <c r="F1290" s="28"/>
      <c r="G1290" s="28"/>
      <c r="H1290" s="28"/>
      <c r="I1290" s="29">
        <f>IFERROR(_xlfn.XLOOKUP(E1290,[1]EMPREENDIMENTO!C:C,[1]EMPREENDIMENTO!E:E),"0")</f>
        <v>0</v>
      </c>
      <c r="J1290" s="30"/>
      <c r="K1290" s="28"/>
      <c r="M1290" s="32"/>
      <c r="N1290" s="32"/>
      <c r="O1290" s="32"/>
      <c r="P1290" s="28"/>
      <c r="Q1290" s="28"/>
      <c r="R1290" s="30"/>
      <c r="S1290" s="30"/>
      <c r="T1290" s="33"/>
      <c r="U1290" s="34">
        <f>IFERROR(_xlfn.XLOOKUP(E1290,[1]EMPREENDIMENTO!C:C,[1]EMPREENDIMENTO!D:D),"")</f>
        <v>0</v>
      </c>
    </row>
    <row r="1291" spans="1:21" hidden="1" x14ac:dyDescent="0.35">
      <c r="A1291" s="28" t="str">
        <f>IFERROR(_xlfn.XLOOKUP(C1291,[1]DIRETORIA!C:C,[1]DIRETORIA!A:A),"-")</f>
        <v>-</v>
      </c>
      <c r="B1291" s="28" t="str">
        <f>IFERROR(_xlfn.XLOOKUP(C1291,[1]DIRETORIA!C:C,[1]DIRETORIA!B:B),"-")</f>
        <v>-</v>
      </c>
      <c r="C1291" s="28">
        <f>IFERROR(_xlfn.XLOOKUP(E1291,[1]EMPREENDIMENTO!C:C,[1]EMPREENDIMENTO!A:A),"-")</f>
        <v>0</v>
      </c>
      <c r="D1291" s="28"/>
      <c r="E1291" s="28"/>
      <c r="F1291" s="28"/>
      <c r="G1291" s="28"/>
      <c r="H1291" s="28"/>
      <c r="I1291" s="29">
        <f>IFERROR(_xlfn.XLOOKUP(E1291,[1]EMPREENDIMENTO!C:C,[1]EMPREENDIMENTO!E:E),"0")</f>
        <v>0</v>
      </c>
      <c r="J1291" s="30"/>
      <c r="K1291" s="28"/>
      <c r="M1291" s="32"/>
      <c r="N1291" s="32"/>
      <c r="O1291" s="32"/>
      <c r="P1291" s="28"/>
      <c r="Q1291" s="28"/>
      <c r="R1291" s="30"/>
      <c r="S1291" s="30"/>
      <c r="T1291" s="33"/>
      <c r="U1291" s="34">
        <f>IFERROR(_xlfn.XLOOKUP(E1291,[1]EMPREENDIMENTO!C:C,[1]EMPREENDIMENTO!D:D),"")</f>
        <v>0</v>
      </c>
    </row>
    <row r="1292" spans="1:21" hidden="1" x14ac:dyDescent="0.35">
      <c r="A1292" s="28" t="str">
        <f>IFERROR(_xlfn.XLOOKUP(C1292,[1]DIRETORIA!C:C,[1]DIRETORIA!A:A),"-")</f>
        <v>-</v>
      </c>
      <c r="B1292" s="28" t="str">
        <f>IFERROR(_xlfn.XLOOKUP(C1292,[1]DIRETORIA!C:C,[1]DIRETORIA!B:B),"-")</f>
        <v>-</v>
      </c>
      <c r="C1292" s="28">
        <f>IFERROR(_xlfn.XLOOKUP(E1292,[1]EMPREENDIMENTO!C:C,[1]EMPREENDIMENTO!A:A),"-")</f>
        <v>0</v>
      </c>
      <c r="D1292" s="28"/>
      <c r="E1292" s="28"/>
      <c r="F1292" s="28"/>
      <c r="G1292" s="28"/>
      <c r="H1292" s="28"/>
      <c r="I1292" s="29">
        <f>IFERROR(_xlfn.XLOOKUP(E1292,[1]EMPREENDIMENTO!C:C,[1]EMPREENDIMENTO!E:E),"0")</f>
        <v>0</v>
      </c>
      <c r="J1292" s="30"/>
      <c r="K1292" s="28"/>
      <c r="M1292" s="32"/>
      <c r="N1292" s="32"/>
      <c r="O1292" s="32"/>
      <c r="P1292" s="28"/>
      <c r="Q1292" s="28"/>
      <c r="R1292" s="30"/>
      <c r="S1292" s="30"/>
      <c r="T1292" s="33"/>
      <c r="U1292" s="34">
        <f>IFERROR(_xlfn.XLOOKUP(E1292,[1]EMPREENDIMENTO!C:C,[1]EMPREENDIMENTO!D:D),"")</f>
        <v>0</v>
      </c>
    </row>
    <row r="1293" spans="1:21" hidden="1" x14ac:dyDescent="0.35">
      <c r="A1293" s="28" t="str">
        <f>IFERROR(_xlfn.XLOOKUP(C1293,[1]DIRETORIA!C:C,[1]DIRETORIA!A:A),"-")</f>
        <v>-</v>
      </c>
      <c r="B1293" s="28" t="str">
        <f>IFERROR(_xlfn.XLOOKUP(C1293,[1]DIRETORIA!C:C,[1]DIRETORIA!B:B),"-")</f>
        <v>-</v>
      </c>
      <c r="C1293" s="28">
        <f>IFERROR(_xlfn.XLOOKUP(E1293,[1]EMPREENDIMENTO!C:C,[1]EMPREENDIMENTO!A:A),"-")</f>
        <v>0</v>
      </c>
      <c r="D1293" s="28"/>
      <c r="E1293" s="28"/>
      <c r="F1293" s="28"/>
      <c r="G1293" s="28"/>
      <c r="H1293" s="28"/>
      <c r="I1293" s="29">
        <f>IFERROR(_xlfn.XLOOKUP(E1293,[1]EMPREENDIMENTO!C:C,[1]EMPREENDIMENTO!E:E),"0")</f>
        <v>0</v>
      </c>
      <c r="J1293" s="30"/>
      <c r="K1293" s="28"/>
      <c r="M1293" s="32"/>
      <c r="N1293" s="32"/>
      <c r="O1293" s="32"/>
      <c r="P1293" s="28"/>
      <c r="Q1293" s="28"/>
      <c r="R1293" s="30"/>
      <c r="S1293" s="30"/>
      <c r="T1293" s="33"/>
      <c r="U1293" s="34">
        <f>IFERROR(_xlfn.XLOOKUP(E1293,[1]EMPREENDIMENTO!C:C,[1]EMPREENDIMENTO!D:D),"")</f>
        <v>0</v>
      </c>
    </row>
    <row r="1294" spans="1:21" hidden="1" x14ac:dyDescent="0.35">
      <c r="A1294" s="28" t="str">
        <f>IFERROR(_xlfn.XLOOKUP(C1294,[1]DIRETORIA!C:C,[1]DIRETORIA!A:A),"-")</f>
        <v>-</v>
      </c>
      <c r="B1294" s="28" t="str">
        <f>IFERROR(_xlfn.XLOOKUP(C1294,[1]DIRETORIA!C:C,[1]DIRETORIA!B:B),"-")</f>
        <v>-</v>
      </c>
      <c r="C1294" s="28">
        <f>IFERROR(_xlfn.XLOOKUP(E1294,[1]EMPREENDIMENTO!C:C,[1]EMPREENDIMENTO!A:A),"-")</f>
        <v>0</v>
      </c>
      <c r="D1294" s="28"/>
      <c r="E1294" s="28"/>
      <c r="F1294" s="28"/>
      <c r="G1294" s="28"/>
      <c r="H1294" s="28"/>
      <c r="I1294" s="29">
        <f>IFERROR(_xlfn.XLOOKUP(E1294,[1]EMPREENDIMENTO!C:C,[1]EMPREENDIMENTO!E:E),"0")</f>
        <v>0</v>
      </c>
      <c r="J1294" s="30"/>
      <c r="K1294" s="28"/>
      <c r="M1294" s="32"/>
      <c r="N1294" s="32"/>
      <c r="O1294" s="32"/>
      <c r="P1294" s="28"/>
      <c r="Q1294" s="28"/>
      <c r="R1294" s="30"/>
      <c r="S1294" s="30"/>
      <c r="T1294" s="33"/>
      <c r="U1294" s="34">
        <f>IFERROR(_xlfn.XLOOKUP(E1294,[1]EMPREENDIMENTO!C:C,[1]EMPREENDIMENTO!D:D),"")</f>
        <v>0</v>
      </c>
    </row>
    <row r="1295" spans="1:21" hidden="1" x14ac:dyDescent="0.35">
      <c r="A1295" s="28" t="str">
        <f>IFERROR(_xlfn.XLOOKUP(C1295,[1]DIRETORIA!C:C,[1]DIRETORIA!A:A),"-")</f>
        <v>-</v>
      </c>
      <c r="B1295" s="28" t="str">
        <f>IFERROR(_xlfn.XLOOKUP(C1295,[1]DIRETORIA!C:C,[1]DIRETORIA!B:B),"-")</f>
        <v>-</v>
      </c>
      <c r="C1295" s="28">
        <f>IFERROR(_xlfn.XLOOKUP(E1295,[1]EMPREENDIMENTO!C:C,[1]EMPREENDIMENTO!A:A),"-")</f>
        <v>0</v>
      </c>
      <c r="D1295" s="28"/>
      <c r="E1295" s="28"/>
      <c r="F1295" s="28"/>
      <c r="G1295" s="28"/>
      <c r="H1295" s="28"/>
      <c r="I1295" s="29">
        <f>IFERROR(_xlfn.XLOOKUP(E1295,[1]EMPREENDIMENTO!C:C,[1]EMPREENDIMENTO!E:E),"0")</f>
        <v>0</v>
      </c>
      <c r="J1295" s="30"/>
      <c r="K1295" s="28"/>
      <c r="M1295" s="32"/>
      <c r="N1295" s="32"/>
      <c r="O1295" s="32"/>
      <c r="P1295" s="28"/>
      <c r="Q1295" s="28"/>
      <c r="R1295" s="30"/>
      <c r="S1295" s="30"/>
      <c r="T1295" s="33"/>
      <c r="U1295" s="34">
        <f>IFERROR(_xlfn.XLOOKUP(E1295,[1]EMPREENDIMENTO!C:C,[1]EMPREENDIMENTO!D:D),"")</f>
        <v>0</v>
      </c>
    </row>
    <row r="1296" spans="1:21" hidden="1" x14ac:dyDescent="0.35">
      <c r="A1296" s="28" t="str">
        <f>IFERROR(_xlfn.XLOOKUP(C1296,[1]DIRETORIA!C:C,[1]DIRETORIA!A:A),"-")</f>
        <v>-</v>
      </c>
      <c r="B1296" s="28" t="str">
        <f>IFERROR(_xlfn.XLOOKUP(C1296,[1]DIRETORIA!C:C,[1]DIRETORIA!B:B),"-")</f>
        <v>-</v>
      </c>
      <c r="C1296" s="28">
        <f>IFERROR(_xlfn.XLOOKUP(E1296,[1]EMPREENDIMENTO!C:C,[1]EMPREENDIMENTO!A:A),"-")</f>
        <v>0</v>
      </c>
      <c r="D1296" s="28"/>
      <c r="E1296" s="28"/>
      <c r="F1296" s="28"/>
      <c r="G1296" s="28"/>
      <c r="H1296" s="28"/>
      <c r="I1296" s="29">
        <f>IFERROR(_xlfn.XLOOKUP(E1296,[1]EMPREENDIMENTO!C:C,[1]EMPREENDIMENTO!E:E),"0")</f>
        <v>0</v>
      </c>
      <c r="J1296" s="30"/>
      <c r="K1296" s="28"/>
      <c r="M1296" s="32"/>
      <c r="N1296" s="32"/>
      <c r="O1296" s="32"/>
      <c r="P1296" s="28"/>
      <c r="Q1296" s="28"/>
      <c r="R1296" s="30"/>
      <c r="S1296" s="30"/>
      <c r="T1296" s="33"/>
      <c r="U1296" s="34">
        <f>IFERROR(_xlfn.XLOOKUP(E1296,[1]EMPREENDIMENTO!C:C,[1]EMPREENDIMENTO!D:D),"")</f>
        <v>0</v>
      </c>
    </row>
    <row r="1297" spans="1:21" hidden="1" x14ac:dyDescent="0.35">
      <c r="A1297" s="28" t="str">
        <f>IFERROR(_xlfn.XLOOKUP(C1297,[1]DIRETORIA!C:C,[1]DIRETORIA!A:A),"-")</f>
        <v>-</v>
      </c>
      <c r="B1297" s="28" t="str">
        <f>IFERROR(_xlfn.XLOOKUP(C1297,[1]DIRETORIA!C:C,[1]DIRETORIA!B:B),"-")</f>
        <v>-</v>
      </c>
      <c r="C1297" s="28">
        <f>IFERROR(_xlfn.XLOOKUP(E1297,[1]EMPREENDIMENTO!C:C,[1]EMPREENDIMENTO!A:A),"-")</f>
        <v>0</v>
      </c>
      <c r="D1297" s="28"/>
      <c r="E1297" s="28"/>
      <c r="F1297" s="28"/>
      <c r="G1297" s="28"/>
      <c r="H1297" s="28"/>
      <c r="I1297" s="29">
        <f>IFERROR(_xlfn.XLOOKUP(E1297,[1]EMPREENDIMENTO!C:C,[1]EMPREENDIMENTO!E:E),"0")</f>
        <v>0</v>
      </c>
      <c r="J1297" s="30"/>
      <c r="K1297" s="28"/>
      <c r="M1297" s="32"/>
      <c r="N1297" s="32"/>
      <c r="O1297" s="32"/>
      <c r="P1297" s="28"/>
      <c r="Q1297" s="28"/>
      <c r="R1297" s="30"/>
      <c r="S1297" s="30"/>
      <c r="T1297" s="33"/>
      <c r="U1297" s="34">
        <f>IFERROR(_xlfn.XLOOKUP(E1297,[1]EMPREENDIMENTO!C:C,[1]EMPREENDIMENTO!D:D),"")</f>
        <v>0</v>
      </c>
    </row>
    <row r="1298" spans="1:21" hidden="1" x14ac:dyDescent="0.35">
      <c r="A1298" s="28" t="str">
        <f>IFERROR(_xlfn.XLOOKUP(C1298,[1]DIRETORIA!C:C,[1]DIRETORIA!A:A),"-")</f>
        <v>-</v>
      </c>
      <c r="B1298" s="28" t="str">
        <f>IFERROR(_xlfn.XLOOKUP(C1298,[1]DIRETORIA!C:C,[1]DIRETORIA!B:B),"-")</f>
        <v>-</v>
      </c>
      <c r="C1298" s="28">
        <f>IFERROR(_xlfn.XLOOKUP(E1298,[1]EMPREENDIMENTO!C:C,[1]EMPREENDIMENTO!A:A),"-")</f>
        <v>0</v>
      </c>
      <c r="D1298" s="28"/>
      <c r="E1298" s="28"/>
      <c r="F1298" s="28"/>
      <c r="G1298" s="28"/>
      <c r="H1298" s="28"/>
      <c r="I1298" s="29">
        <f>IFERROR(_xlfn.XLOOKUP(E1298,[1]EMPREENDIMENTO!C:C,[1]EMPREENDIMENTO!E:E),"0")</f>
        <v>0</v>
      </c>
      <c r="J1298" s="30"/>
      <c r="K1298" s="28"/>
      <c r="M1298" s="32"/>
      <c r="N1298" s="32"/>
      <c r="O1298" s="32"/>
      <c r="P1298" s="28"/>
      <c r="Q1298" s="28"/>
      <c r="R1298" s="30"/>
      <c r="S1298" s="30"/>
      <c r="T1298" s="33"/>
      <c r="U1298" s="34">
        <f>IFERROR(_xlfn.XLOOKUP(E1298,[1]EMPREENDIMENTO!C:C,[1]EMPREENDIMENTO!D:D),"")</f>
        <v>0</v>
      </c>
    </row>
    <row r="1299" spans="1:21" hidden="1" x14ac:dyDescent="0.35">
      <c r="A1299" s="28" t="str">
        <f>IFERROR(_xlfn.XLOOKUP(C1299,[1]DIRETORIA!C:C,[1]DIRETORIA!A:A),"-")</f>
        <v>-</v>
      </c>
      <c r="B1299" s="28" t="str">
        <f>IFERROR(_xlfn.XLOOKUP(C1299,[1]DIRETORIA!C:C,[1]DIRETORIA!B:B),"-")</f>
        <v>-</v>
      </c>
      <c r="C1299" s="28">
        <f>IFERROR(_xlfn.XLOOKUP(E1299,[1]EMPREENDIMENTO!C:C,[1]EMPREENDIMENTO!A:A),"-")</f>
        <v>0</v>
      </c>
      <c r="D1299" s="28"/>
      <c r="E1299" s="28"/>
      <c r="F1299" s="28"/>
      <c r="G1299" s="28"/>
      <c r="H1299" s="28"/>
      <c r="I1299" s="29">
        <f>IFERROR(_xlfn.XLOOKUP(E1299,[1]EMPREENDIMENTO!C:C,[1]EMPREENDIMENTO!E:E),"0")</f>
        <v>0</v>
      </c>
      <c r="J1299" s="30"/>
      <c r="K1299" s="28"/>
      <c r="M1299" s="32"/>
      <c r="N1299" s="32"/>
      <c r="O1299" s="32"/>
      <c r="P1299" s="28"/>
      <c r="Q1299" s="28"/>
      <c r="R1299" s="30"/>
      <c r="S1299" s="30"/>
      <c r="T1299" s="33"/>
      <c r="U1299" s="34">
        <f>IFERROR(_xlfn.XLOOKUP(E1299,[1]EMPREENDIMENTO!C:C,[1]EMPREENDIMENTO!D:D),"")</f>
        <v>0</v>
      </c>
    </row>
    <row r="1300" spans="1:21" hidden="1" x14ac:dyDescent="0.35">
      <c r="A1300" s="28" t="str">
        <f>IFERROR(_xlfn.XLOOKUP(C1300,[1]DIRETORIA!C:C,[1]DIRETORIA!A:A),"-")</f>
        <v>-</v>
      </c>
      <c r="B1300" s="28" t="str">
        <f>IFERROR(_xlfn.XLOOKUP(C1300,[1]DIRETORIA!C:C,[1]DIRETORIA!B:B),"-")</f>
        <v>-</v>
      </c>
      <c r="C1300" s="28">
        <f>IFERROR(_xlfn.XLOOKUP(E1300,[1]EMPREENDIMENTO!C:C,[1]EMPREENDIMENTO!A:A),"-")</f>
        <v>0</v>
      </c>
      <c r="D1300" s="28"/>
      <c r="E1300" s="28"/>
      <c r="F1300" s="28"/>
      <c r="G1300" s="28"/>
      <c r="H1300" s="28"/>
      <c r="I1300" s="29">
        <f>IFERROR(_xlfn.XLOOKUP(E1300,[1]EMPREENDIMENTO!C:C,[1]EMPREENDIMENTO!E:E),"0")</f>
        <v>0</v>
      </c>
      <c r="J1300" s="30"/>
      <c r="K1300" s="28"/>
      <c r="M1300" s="32"/>
      <c r="N1300" s="32"/>
      <c r="O1300" s="32"/>
      <c r="P1300" s="28"/>
      <c r="Q1300" s="28"/>
      <c r="R1300" s="30"/>
      <c r="S1300" s="30"/>
      <c r="T1300" s="33"/>
      <c r="U1300" s="34">
        <f>IFERROR(_xlfn.XLOOKUP(E1300,[1]EMPREENDIMENTO!C:C,[1]EMPREENDIMENTO!D:D),"")</f>
        <v>0</v>
      </c>
    </row>
    <row r="1301" spans="1:21" hidden="1" x14ac:dyDescent="0.35">
      <c r="A1301" s="28" t="str">
        <f>IFERROR(_xlfn.XLOOKUP(C1301,[1]DIRETORIA!C:C,[1]DIRETORIA!A:A),"-")</f>
        <v>-</v>
      </c>
      <c r="B1301" s="28" t="str">
        <f>IFERROR(_xlfn.XLOOKUP(C1301,[1]DIRETORIA!C:C,[1]DIRETORIA!B:B),"-")</f>
        <v>-</v>
      </c>
      <c r="C1301" s="28">
        <f>IFERROR(_xlfn.XLOOKUP(E1301,[1]EMPREENDIMENTO!C:C,[1]EMPREENDIMENTO!A:A),"-")</f>
        <v>0</v>
      </c>
      <c r="D1301" s="28"/>
      <c r="E1301" s="28"/>
      <c r="F1301" s="28"/>
      <c r="G1301" s="28"/>
      <c r="H1301" s="28"/>
      <c r="I1301" s="29">
        <f>IFERROR(_xlfn.XLOOKUP(E1301,[1]EMPREENDIMENTO!C:C,[1]EMPREENDIMENTO!E:E),"0")</f>
        <v>0</v>
      </c>
      <c r="J1301" s="30"/>
      <c r="K1301" s="28"/>
      <c r="M1301" s="32"/>
      <c r="N1301" s="32"/>
      <c r="O1301" s="32"/>
      <c r="P1301" s="28"/>
      <c r="Q1301" s="28"/>
      <c r="R1301" s="30"/>
      <c r="S1301" s="30"/>
      <c r="T1301" s="33"/>
      <c r="U1301" s="34">
        <f>IFERROR(_xlfn.XLOOKUP(E1301,[1]EMPREENDIMENTO!C:C,[1]EMPREENDIMENTO!D:D),"")</f>
        <v>0</v>
      </c>
    </row>
    <row r="1302" spans="1:21" hidden="1" x14ac:dyDescent="0.35">
      <c r="A1302" s="28" t="str">
        <f>IFERROR(_xlfn.XLOOKUP(C1302,[1]DIRETORIA!C:C,[1]DIRETORIA!A:A),"-")</f>
        <v>-</v>
      </c>
      <c r="B1302" s="28" t="str">
        <f>IFERROR(_xlfn.XLOOKUP(C1302,[1]DIRETORIA!C:C,[1]DIRETORIA!B:B),"-")</f>
        <v>-</v>
      </c>
      <c r="C1302" s="28">
        <f>IFERROR(_xlfn.XLOOKUP(E1302,[1]EMPREENDIMENTO!C:C,[1]EMPREENDIMENTO!A:A),"-")</f>
        <v>0</v>
      </c>
      <c r="D1302" s="28"/>
      <c r="E1302" s="28"/>
      <c r="F1302" s="28"/>
      <c r="G1302" s="28"/>
      <c r="H1302" s="28"/>
      <c r="I1302" s="29">
        <f>IFERROR(_xlfn.XLOOKUP(E1302,[1]EMPREENDIMENTO!C:C,[1]EMPREENDIMENTO!E:E),"0")</f>
        <v>0</v>
      </c>
      <c r="J1302" s="30"/>
      <c r="K1302" s="28"/>
      <c r="M1302" s="32"/>
      <c r="N1302" s="32"/>
      <c r="O1302" s="32"/>
      <c r="P1302" s="28"/>
      <c r="Q1302" s="28"/>
      <c r="R1302" s="30"/>
      <c r="S1302" s="30"/>
      <c r="T1302" s="33"/>
      <c r="U1302" s="34">
        <f>IFERROR(_xlfn.XLOOKUP(E1302,[1]EMPREENDIMENTO!C:C,[1]EMPREENDIMENTO!D:D),"")</f>
        <v>0</v>
      </c>
    </row>
    <row r="1303" spans="1:21" hidden="1" x14ac:dyDescent="0.35">
      <c r="A1303" s="28" t="str">
        <f>IFERROR(_xlfn.XLOOKUP(C1303,[1]DIRETORIA!C:C,[1]DIRETORIA!A:A),"-")</f>
        <v>-</v>
      </c>
      <c r="B1303" s="28" t="str">
        <f>IFERROR(_xlfn.XLOOKUP(C1303,[1]DIRETORIA!C:C,[1]DIRETORIA!B:B),"-")</f>
        <v>-</v>
      </c>
      <c r="C1303" s="28">
        <f>IFERROR(_xlfn.XLOOKUP(E1303,[1]EMPREENDIMENTO!C:C,[1]EMPREENDIMENTO!A:A),"-")</f>
        <v>0</v>
      </c>
      <c r="D1303" s="28"/>
      <c r="E1303" s="28"/>
      <c r="F1303" s="28"/>
      <c r="G1303" s="28"/>
      <c r="H1303" s="28"/>
      <c r="I1303" s="29">
        <f>IFERROR(_xlfn.XLOOKUP(E1303,[1]EMPREENDIMENTO!C:C,[1]EMPREENDIMENTO!E:E),"0")</f>
        <v>0</v>
      </c>
      <c r="J1303" s="30"/>
      <c r="K1303" s="28"/>
      <c r="M1303" s="32"/>
      <c r="N1303" s="32"/>
      <c r="O1303" s="32"/>
      <c r="P1303" s="28"/>
      <c r="Q1303" s="28"/>
      <c r="R1303" s="30"/>
      <c r="S1303" s="30"/>
      <c r="T1303" s="33"/>
      <c r="U1303" s="34">
        <f>IFERROR(_xlfn.XLOOKUP(E1303,[1]EMPREENDIMENTO!C:C,[1]EMPREENDIMENTO!D:D),"")</f>
        <v>0</v>
      </c>
    </row>
    <row r="1304" spans="1:21" hidden="1" x14ac:dyDescent="0.35">
      <c r="A1304" s="28" t="str">
        <f>IFERROR(_xlfn.XLOOKUP(C1304,[1]DIRETORIA!C:C,[1]DIRETORIA!A:A),"-")</f>
        <v>-</v>
      </c>
      <c r="B1304" s="28" t="str">
        <f>IFERROR(_xlfn.XLOOKUP(C1304,[1]DIRETORIA!C:C,[1]DIRETORIA!B:B),"-")</f>
        <v>-</v>
      </c>
      <c r="C1304" s="28">
        <f>IFERROR(_xlfn.XLOOKUP(E1304,[1]EMPREENDIMENTO!C:C,[1]EMPREENDIMENTO!A:A),"-")</f>
        <v>0</v>
      </c>
      <c r="D1304" s="28"/>
      <c r="E1304" s="28"/>
      <c r="F1304" s="28"/>
      <c r="G1304" s="28"/>
      <c r="H1304" s="28"/>
      <c r="I1304" s="29">
        <f>IFERROR(_xlfn.XLOOKUP(E1304,[1]EMPREENDIMENTO!C:C,[1]EMPREENDIMENTO!E:E),"0")</f>
        <v>0</v>
      </c>
      <c r="J1304" s="30"/>
      <c r="K1304" s="28"/>
      <c r="M1304" s="32"/>
      <c r="N1304" s="32"/>
      <c r="O1304" s="32"/>
      <c r="P1304" s="28"/>
      <c r="Q1304" s="28"/>
      <c r="R1304" s="30"/>
      <c r="S1304" s="30"/>
      <c r="T1304" s="33"/>
      <c r="U1304" s="34">
        <f>IFERROR(_xlfn.XLOOKUP(E1304,[1]EMPREENDIMENTO!C:C,[1]EMPREENDIMENTO!D:D),"")</f>
        <v>0</v>
      </c>
    </row>
    <row r="1305" spans="1:21" hidden="1" x14ac:dyDescent="0.35">
      <c r="A1305" s="28" t="str">
        <f>IFERROR(_xlfn.XLOOKUP(C1305,[1]DIRETORIA!C:C,[1]DIRETORIA!A:A),"-")</f>
        <v>-</v>
      </c>
      <c r="B1305" s="28" t="str">
        <f>IFERROR(_xlfn.XLOOKUP(C1305,[1]DIRETORIA!C:C,[1]DIRETORIA!B:B),"-")</f>
        <v>-</v>
      </c>
      <c r="C1305" s="28">
        <f>IFERROR(_xlfn.XLOOKUP(E1305,[1]EMPREENDIMENTO!C:C,[1]EMPREENDIMENTO!A:A),"-")</f>
        <v>0</v>
      </c>
      <c r="D1305" s="28"/>
      <c r="E1305" s="28"/>
      <c r="F1305" s="28"/>
      <c r="G1305" s="28"/>
      <c r="H1305" s="28"/>
      <c r="I1305" s="29">
        <f>IFERROR(_xlfn.XLOOKUP(E1305,[1]EMPREENDIMENTO!C:C,[1]EMPREENDIMENTO!E:E),"0")</f>
        <v>0</v>
      </c>
      <c r="J1305" s="30"/>
      <c r="K1305" s="28"/>
      <c r="M1305" s="32"/>
      <c r="N1305" s="32"/>
      <c r="O1305" s="32"/>
      <c r="P1305" s="28"/>
      <c r="Q1305" s="28"/>
      <c r="R1305" s="30"/>
      <c r="S1305" s="30"/>
      <c r="T1305" s="33"/>
      <c r="U1305" s="34">
        <f>IFERROR(_xlfn.XLOOKUP(E1305,[1]EMPREENDIMENTO!C:C,[1]EMPREENDIMENTO!D:D),"")</f>
        <v>0</v>
      </c>
    </row>
    <row r="1306" spans="1:21" hidden="1" x14ac:dyDescent="0.35">
      <c r="A1306" s="28" t="str">
        <f>IFERROR(_xlfn.XLOOKUP(C1306,[1]DIRETORIA!C:C,[1]DIRETORIA!A:A),"-")</f>
        <v>-</v>
      </c>
      <c r="B1306" s="28" t="str">
        <f>IFERROR(_xlfn.XLOOKUP(C1306,[1]DIRETORIA!C:C,[1]DIRETORIA!B:B),"-")</f>
        <v>-</v>
      </c>
      <c r="C1306" s="28">
        <f>IFERROR(_xlfn.XLOOKUP(E1306,[1]EMPREENDIMENTO!C:C,[1]EMPREENDIMENTO!A:A),"-")</f>
        <v>0</v>
      </c>
      <c r="D1306" s="28"/>
      <c r="E1306" s="28"/>
      <c r="F1306" s="28"/>
      <c r="G1306" s="28"/>
      <c r="H1306" s="28"/>
      <c r="I1306" s="29">
        <f>IFERROR(_xlfn.XLOOKUP(E1306,[1]EMPREENDIMENTO!C:C,[1]EMPREENDIMENTO!E:E),"0")</f>
        <v>0</v>
      </c>
      <c r="J1306" s="30"/>
      <c r="K1306" s="28"/>
      <c r="M1306" s="32"/>
      <c r="N1306" s="32"/>
      <c r="O1306" s="32"/>
      <c r="P1306" s="28"/>
      <c r="Q1306" s="28"/>
      <c r="R1306" s="30"/>
      <c r="S1306" s="30"/>
      <c r="T1306" s="33"/>
      <c r="U1306" s="34">
        <f>IFERROR(_xlfn.XLOOKUP(E1306,[1]EMPREENDIMENTO!C:C,[1]EMPREENDIMENTO!D:D),"")</f>
        <v>0</v>
      </c>
    </row>
    <row r="1307" spans="1:21" hidden="1" x14ac:dyDescent="0.35">
      <c r="A1307" s="28" t="str">
        <f>IFERROR(_xlfn.XLOOKUP(C1307,[1]DIRETORIA!C:C,[1]DIRETORIA!A:A),"-")</f>
        <v>-</v>
      </c>
      <c r="B1307" s="28" t="str">
        <f>IFERROR(_xlfn.XLOOKUP(C1307,[1]DIRETORIA!C:C,[1]DIRETORIA!B:B),"-")</f>
        <v>-</v>
      </c>
      <c r="C1307" s="28">
        <f>IFERROR(_xlfn.XLOOKUP(E1307,[1]EMPREENDIMENTO!C:C,[1]EMPREENDIMENTO!A:A),"-")</f>
        <v>0</v>
      </c>
      <c r="D1307" s="28"/>
      <c r="E1307" s="28"/>
      <c r="F1307" s="28"/>
      <c r="G1307" s="28"/>
      <c r="H1307" s="28"/>
      <c r="I1307" s="29">
        <f>IFERROR(_xlfn.XLOOKUP(E1307,[1]EMPREENDIMENTO!C:C,[1]EMPREENDIMENTO!E:E),"0")</f>
        <v>0</v>
      </c>
      <c r="J1307" s="30"/>
      <c r="K1307" s="28"/>
      <c r="M1307" s="32"/>
      <c r="N1307" s="32"/>
      <c r="O1307" s="32"/>
      <c r="P1307" s="28"/>
      <c r="Q1307" s="28"/>
      <c r="R1307" s="30"/>
      <c r="S1307" s="30"/>
      <c r="T1307" s="33"/>
      <c r="U1307" s="34">
        <f>IFERROR(_xlfn.XLOOKUP(E1307,[1]EMPREENDIMENTO!C:C,[1]EMPREENDIMENTO!D:D),"")</f>
        <v>0</v>
      </c>
    </row>
    <row r="1308" spans="1:21" hidden="1" x14ac:dyDescent="0.35">
      <c r="A1308" s="28" t="str">
        <f>IFERROR(_xlfn.XLOOKUP(C1308,[1]DIRETORIA!C:C,[1]DIRETORIA!A:A),"-")</f>
        <v>-</v>
      </c>
      <c r="B1308" s="28" t="str">
        <f>IFERROR(_xlfn.XLOOKUP(C1308,[1]DIRETORIA!C:C,[1]DIRETORIA!B:B),"-")</f>
        <v>-</v>
      </c>
      <c r="C1308" s="28">
        <f>IFERROR(_xlfn.XLOOKUP(E1308,[1]EMPREENDIMENTO!C:C,[1]EMPREENDIMENTO!A:A),"-")</f>
        <v>0</v>
      </c>
      <c r="D1308" s="28"/>
      <c r="E1308" s="28"/>
      <c r="F1308" s="28"/>
      <c r="G1308" s="28"/>
      <c r="H1308" s="28"/>
      <c r="I1308" s="29">
        <f>IFERROR(_xlfn.XLOOKUP(E1308,[1]EMPREENDIMENTO!C:C,[1]EMPREENDIMENTO!E:E),"0")</f>
        <v>0</v>
      </c>
      <c r="J1308" s="30"/>
      <c r="K1308" s="28"/>
      <c r="M1308" s="32"/>
      <c r="N1308" s="32"/>
      <c r="O1308" s="32"/>
      <c r="P1308" s="28"/>
      <c r="Q1308" s="28"/>
      <c r="R1308" s="30"/>
      <c r="S1308" s="30"/>
      <c r="T1308" s="33"/>
      <c r="U1308" s="34">
        <f>IFERROR(_xlfn.XLOOKUP(E1308,[1]EMPREENDIMENTO!C:C,[1]EMPREENDIMENTO!D:D),"")</f>
        <v>0</v>
      </c>
    </row>
    <row r="1309" spans="1:21" hidden="1" x14ac:dyDescent="0.35">
      <c r="A1309" s="28" t="str">
        <f>IFERROR(_xlfn.XLOOKUP(C1309,[1]DIRETORIA!C:C,[1]DIRETORIA!A:A),"-")</f>
        <v>-</v>
      </c>
      <c r="B1309" s="28" t="str">
        <f>IFERROR(_xlfn.XLOOKUP(C1309,[1]DIRETORIA!C:C,[1]DIRETORIA!B:B),"-")</f>
        <v>-</v>
      </c>
      <c r="C1309" s="28">
        <f>IFERROR(_xlfn.XLOOKUP(E1309,[1]EMPREENDIMENTO!C:C,[1]EMPREENDIMENTO!A:A),"-")</f>
        <v>0</v>
      </c>
      <c r="D1309" s="28"/>
      <c r="E1309" s="28"/>
      <c r="F1309" s="28"/>
      <c r="G1309" s="28"/>
      <c r="H1309" s="28"/>
      <c r="I1309" s="29">
        <f>IFERROR(_xlfn.XLOOKUP(E1309,[1]EMPREENDIMENTO!C:C,[1]EMPREENDIMENTO!E:E),"0")</f>
        <v>0</v>
      </c>
      <c r="J1309" s="30"/>
      <c r="K1309" s="28"/>
      <c r="M1309" s="32"/>
      <c r="N1309" s="32"/>
      <c r="O1309" s="32"/>
      <c r="P1309" s="28"/>
      <c r="Q1309" s="28"/>
      <c r="R1309" s="30"/>
      <c r="S1309" s="30"/>
      <c r="T1309" s="33"/>
      <c r="U1309" s="34">
        <f>IFERROR(_xlfn.XLOOKUP(E1309,[1]EMPREENDIMENTO!C:C,[1]EMPREENDIMENTO!D:D),"")</f>
        <v>0</v>
      </c>
    </row>
    <row r="1310" spans="1:21" hidden="1" x14ac:dyDescent="0.35">
      <c r="A1310" s="28" t="str">
        <f>IFERROR(_xlfn.XLOOKUP(C1310,[1]DIRETORIA!C:C,[1]DIRETORIA!A:A),"-")</f>
        <v>-</v>
      </c>
      <c r="B1310" s="28" t="str">
        <f>IFERROR(_xlfn.XLOOKUP(C1310,[1]DIRETORIA!C:C,[1]DIRETORIA!B:B),"-")</f>
        <v>-</v>
      </c>
      <c r="C1310" s="28">
        <f>IFERROR(_xlfn.XLOOKUP(E1310,[1]EMPREENDIMENTO!C:C,[1]EMPREENDIMENTO!A:A),"-")</f>
        <v>0</v>
      </c>
      <c r="D1310" s="28"/>
      <c r="E1310" s="28"/>
      <c r="F1310" s="28"/>
      <c r="G1310" s="28"/>
      <c r="H1310" s="28"/>
      <c r="I1310" s="29">
        <f>IFERROR(_xlfn.XLOOKUP(E1310,[1]EMPREENDIMENTO!C:C,[1]EMPREENDIMENTO!E:E),"0")</f>
        <v>0</v>
      </c>
      <c r="J1310" s="30"/>
      <c r="K1310" s="28"/>
      <c r="M1310" s="32"/>
      <c r="N1310" s="32"/>
      <c r="O1310" s="32"/>
      <c r="P1310" s="28"/>
      <c r="Q1310" s="28"/>
      <c r="R1310" s="30"/>
      <c r="S1310" s="30"/>
      <c r="T1310" s="33"/>
      <c r="U1310" s="34">
        <f>IFERROR(_xlfn.XLOOKUP(E1310,[1]EMPREENDIMENTO!C:C,[1]EMPREENDIMENTO!D:D),"")</f>
        <v>0</v>
      </c>
    </row>
    <row r="1311" spans="1:21" hidden="1" x14ac:dyDescent="0.35">
      <c r="A1311" s="28" t="str">
        <f>IFERROR(_xlfn.XLOOKUP(C1311,[1]DIRETORIA!C:C,[1]DIRETORIA!A:A),"-")</f>
        <v>-</v>
      </c>
      <c r="B1311" s="28" t="str">
        <f>IFERROR(_xlfn.XLOOKUP(C1311,[1]DIRETORIA!C:C,[1]DIRETORIA!B:B),"-")</f>
        <v>-</v>
      </c>
      <c r="C1311" s="28">
        <f>IFERROR(_xlfn.XLOOKUP(E1311,[1]EMPREENDIMENTO!C:C,[1]EMPREENDIMENTO!A:A),"-")</f>
        <v>0</v>
      </c>
      <c r="D1311" s="28"/>
      <c r="E1311" s="28"/>
      <c r="F1311" s="28"/>
      <c r="G1311" s="28"/>
      <c r="H1311" s="28"/>
      <c r="I1311" s="29">
        <f>IFERROR(_xlfn.XLOOKUP(E1311,[1]EMPREENDIMENTO!C:C,[1]EMPREENDIMENTO!E:E),"0")</f>
        <v>0</v>
      </c>
      <c r="J1311" s="30"/>
      <c r="K1311" s="28"/>
      <c r="M1311" s="32"/>
      <c r="N1311" s="32"/>
      <c r="O1311" s="32"/>
      <c r="P1311" s="28"/>
      <c r="Q1311" s="28"/>
      <c r="R1311" s="30"/>
      <c r="S1311" s="30"/>
      <c r="T1311" s="33"/>
      <c r="U1311" s="34">
        <f>IFERROR(_xlfn.XLOOKUP(E1311,[1]EMPREENDIMENTO!C:C,[1]EMPREENDIMENTO!D:D),"")</f>
        <v>0</v>
      </c>
    </row>
    <row r="1312" spans="1:21" hidden="1" x14ac:dyDescent="0.35">
      <c r="A1312" s="28" t="str">
        <f>IFERROR(_xlfn.XLOOKUP(C1312,[1]DIRETORIA!C:C,[1]DIRETORIA!A:A),"-")</f>
        <v>-</v>
      </c>
      <c r="B1312" s="28" t="str">
        <f>IFERROR(_xlfn.XLOOKUP(C1312,[1]DIRETORIA!C:C,[1]DIRETORIA!B:B),"-")</f>
        <v>-</v>
      </c>
      <c r="C1312" s="28">
        <f>IFERROR(_xlfn.XLOOKUP(E1312,[1]EMPREENDIMENTO!C:C,[1]EMPREENDIMENTO!A:A),"-")</f>
        <v>0</v>
      </c>
      <c r="D1312" s="28"/>
      <c r="E1312" s="28"/>
      <c r="F1312" s="28"/>
      <c r="G1312" s="28"/>
      <c r="H1312" s="28"/>
      <c r="I1312" s="29">
        <f>IFERROR(_xlfn.XLOOKUP(E1312,[1]EMPREENDIMENTO!C:C,[1]EMPREENDIMENTO!E:E),"0")</f>
        <v>0</v>
      </c>
      <c r="J1312" s="30"/>
      <c r="K1312" s="28"/>
      <c r="M1312" s="32"/>
      <c r="N1312" s="32"/>
      <c r="O1312" s="32"/>
      <c r="P1312" s="28"/>
      <c r="Q1312" s="28"/>
      <c r="R1312" s="30"/>
      <c r="S1312" s="30"/>
      <c r="T1312" s="33"/>
      <c r="U1312" s="34">
        <f>IFERROR(_xlfn.XLOOKUP(E1312,[1]EMPREENDIMENTO!C:C,[1]EMPREENDIMENTO!D:D),"")</f>
        <v>0</v>
      </c>
    </row>
    <row r="1313" spans="1:21" hidden="1" x14ac:dyDescent="0.35">
      <c r="A1313" s="28" t="str">
        <f>IFERROR(_xlfn.XLOOKUP(C1313,[1]DIRETORIA!C:C,[1]DIRETORIA!A:A),"-")</f>
        <v>-</v>
      </c>
      <c r="B1313" s="28" t="str">
        <f>IFERROR(_xlfn.XLOOKUP(C1313,[1]DIRETORIA!C:C,[1]DIRETORIA!B:B),"-")</f>
        <v>-</v>
      </c>
      <c r="C1313" s="28">
        <f>IFERROR(_xlfn.XLOOKUP(E1313,[1]EMPREENDIMENTO!C:C,[1]EMPREENDIMENTO!A:A),"-")</f>
        <v>0</v>
      </c>
      <c r="D1313" s="28"/>
      <c r="E1313" s="28"/>
      <c r="F1313" s="28"/>
      <c r="G1313" s="28"/>
      <c r="H1313" s="28"/>
      <c r="I1313" s="29">
        <f>IFERROR(_xlfn.XLOOKUP(E1313,[1]EMPREENDIMENTO!C:C,[1]EMPREENDIMENTO!E:E),"0")</f>
        <v>0</v>
      </c>
      <c r="J1313" s="30"/>
      <c r="K1313" s="28"/>
      <c r="M1313" s="32"/>
      <c r="N1313" s="32"/>
      <c r="O1313" s="32"/>
      <c r="P1313" s="28"/>
      <c r="Q1313" s="28"/>
      <c r="R1313" s="30"/>
      <c r="S1313" s="30"/>
      <c r="T1313" s="33"/>
      <c r="U1313" s="34">
        <f>IFERROR(_xlfn.XLOOKUP(E1313,[1]EMPREENDIMENTO!C:C,[1]EMPREENDIMENTO!D:D),"")</f>
        <v>0</v>
      </c>
    </row>
    <row r="1314" spans="1:21" hidden="1" x14ac:dyDescent="0.35">
      <c r="A1314" s="28" t="str">
        <f>IFERROR(_xlfn.XLOOKUP(C1314,[1]DIRETORIA!C:C,[1]DIRETORIA!A:A),"-")</f>
        <v>-</v>
      </c>
      <c r="B1314" s="28" t="str">
        <f>IFERROR(_xlfn.XLOOKUP(C1314,[1]DIRETORIA!C:C,[1]DIRETORIA!B:B),"-")</f>
        <v>-</v>
      </c>
      <c r="C1314" s="28">
        <f>IFERROR(_xlfn.XLOOKUP(E1314,[1]EMPREENDIMENTO!C:C,[1]EMPREENDIMENTO!A:A),"-")</f>
        <v>0</v>
      </c>
      <c r="D1314" s="28"/>
      <c r="E1314" s="28"/>
      <c r="F1314" s="28"/>
      <c r="G1314" s="28"/>
      <c r="H1314" s="28"/>
      <c r="I1314" s="29">
        <f>IFERROR(_xlfn.XLOOKUP(E1314,[1]EMPREENDIMENTO!C:C,[1]EMPREENDIMENTO!E:E),"0")</f>
        <v>0</v>
      </c>
      <c r="J1314" s="30"/>
      <c r="K1314" s="28"/>
      <c r="M1314" s="32"/>
      <c r="N1314" s="32"/>
      <c r="O1314" s="32"/>
      <c r="P1314" s="28"/>
      <c r="Q1314" s="28"/>
      <c r="R1314" s="30"/>
      <c r="S1314" s="30"/>
      <c r="T1314" s="33"/>
      <c r="U1314" s="34">
        <f>IFERROR(_xlfn.XLOOKUP(E1314,[1]EMPREENDIMENTO!C:C,[1]EMPREENDIMENTO!D:D),"")</f>
        <v>0</v>
      </c>
    </row>
    <row r="1315" spans="1:21" hidden="1" x14ac:dyDescent="0.35">
      <c r="A1315" s="28" t="str">
        <f>IFERROR(_xlfn.XLOOKUP(C1315,[1]DIRETORIA!C:C,[1]DIRETORIA!A:A),"-")</f>
        <v>-</v>
      </c>
      <c r="B1315" s="28" t="str">
        <f>IFERROR(_xlfn.XLOOKUP(C1315,[1]DIRETORIA!C:C,[1]DIRETORIA!B:B),"-")</f>
        <v>-</v>
      </c>
      <c r="C1315" s="28">
        <f>IFERROR(_xlfn.XLOOKUP(E1315,[1]EMPREENDIMENTO!C:C,[1]EMPREENDIMENTO!A:A),"-")</f>
        <v>0</v>
      </c>
      <c r="D1315" s="28"/>
      <c r="E1315" s="28"/>
      <c r="F1315" s="28"/>
      <c r="G1315" s="28"/>
      <c r="H1315" s="28"/>
      <c r="I1315" s="29">
        <f>IFERROR(_xlfn.XLOOKUP(E1315,[1]EMPREENDIMENTO!C:C,[1]EMPREENDIMENTO!E:E),"0")</f>
        <v>0</v>
      </c>
      <c r="J1315" s="30"/>
      <c r="K1315" s="28"/>
      <c r="M1315" s="32"/>
      <c r="N1315" s="32"/>
      <c r="O1315" s="32"/>
      <c r="P1315" s="28"/>
      <c r="Q1315" s="28"/>
      <c r="R1315" s="30"/>
      <c r="S1315" s="30"/>
      <c r="T1315" s="33"/>
      <c r="U1315" s="34">
        <f>IFERROR(_xlfn.XLOOKUP(E1315,[1]EMPREENDIMENTO!C:C,[1]EMPREENDIMENTO!D:D),"")</f>
        <v>0</v>
      </c>
    </row>
    <row r="1316" spans="1:21" hidden="1" x14ac:dyDescent="0.35">
      <c r="A1316" s="28" t="str">
        <f>IFERROR(_xlfn.XLOOKUP(C1316,[1]DIRETORIA!C:C,[1]DIRETORIA!A:A),"-")</f>
        <v>-</v>
      </c>
      <c r="B1316" s="28" t="str">
        <f>IFERROR(_xlfn.XLOOKUP(C1316,[1]DIRETORIA!C:C,[1]DIRETORIA!B:B),"-")</f>
        <v>-</v>
      </c>
      <c r="C1316" s="28">
        <f>IFERROR(_xlfn.XLOOKUP(E1316,[1]EMPREENDIMENTO!C:C,[1]EMPREENDIMENTO!A:A),"-")</f>
        <v>0</v>
      </c>
      <c r="D1316" s="28"/>
      <c r="E1316" s="28"/>
      <c r="F1316" s="28"/>
      <c r="G1316" s="28"/>
      <c r="H1316" s="28"/>
      <c r="I1316" s="29">
        <f>IFERROR(_xlfn.XLOOKUP(E1316,[1]EMPREENDIMENTO!C:C,[1]EMPREENDIMENTO!E:E),"0")</f>
        <v>0</v>
      </c>
      <c r="J1316" s="30"/>
      <c r="K1316" s="28"/>
      <c r="M1316" s="32"/>
      <c r="N1316" s="32"/>
      <c r="O1316" s="32"/>
      <c r="P1316" s="28"/>
      <c r="Q1316" s="28"/>
      <c r="R1316" s="30"/>
      <c r="S1316" s="30"/>
      <c r="T1316" s="33"/>
      <c r="U1316" s="34">
        <f>IFERROR(_xlfn.XLOOKUP(E1316,[1]EMPREENDIMENTO!C:C,[1]EMPREENDIMENTO!D:D),"")</f>
        <v>0</v>
      </c>
    </row>
    <row r="1317" spans="1:21" hidden="1" x14ac:dyDescent="0.35">
      <c r="A1317" s="28" t="str">
        <f>IFERROR(_xlfn.XLOOKUP(C1317,[1]DIRETORIA!C:C,[1]DIRETORIA!A:A),"-")</f>
        <v>-</v>
      </c>
      <c r="B1317" s="28" t="str">
        <f>IFERROR(_xlfn.XLOOKUP(C1317,[1]DIRETORIA!C:C,[1]DIRETORIA!B:B),"-")</f>
        <v>-</v>
      </c>
      <c r="C1317" s="28">
        <f>IFERROR(_xlfn.XLOOKUP(E1317,[1]EMPREENDIMENTO!C:C,[1]EMPREENDIMENTO!A:A),"-")</f>
        <v>0</v>
      </c>
      <c r="D1317" s="28"/>
      <c r="E1317" s="28"/>
      <c r="F1317" s="28"/>
      <c r="G1317" s="28"/>
      <c r="H1317" s="28"/>
      <c r="I1317" s="29">
        <f>IFERROR(_xlfn.XLOOKUP(E1317,[1]EMPREENDIMENTO!C:C,[1]EMPREENDIMENTO!E:E),"0")</f>
        <v>0</v>
      </c>
      <c r="J1317" s="30"/>
      <c r="K1317" s="28"/>
      <c r="M1317" s="32"/>
      <c r="N1317" s="32"/>
      <c r="O1317" s="32"/>
      <c r="P1317" s="28"/>
      <c r="Q1317" s="28"/>
      <c r="R1317" s="30"/>
      <c r="S1317" s="30"/>
      <c r="T1317" s="33"/>
      <c r="U1317" s="34">
        <f>IFERROR(_xlfn.XLOOKUP(E1317,[1]EMPREENDIMENTO!C:C,[1]EMPREENDIMENTO!D:D),"")</f>
        <v>0</v>
      </c>
    </row>
    <row r="1318" spans="1:21" hidden="1" x14ac:dyDescent="0.35">
      <c r="A1318" s="28" t="str">
        <f>IFERROR(_xlfn.XLOOKUP(C1318,[1]DIRETORIA!C:C,[1]DIRETORIA!A:A),"-")</f>
        <v>-</v>
      </c>
      <c r="B1318" s="28" t="str">
        <f>IFERROR(_xlfn.XLOOKUP(C1318,[1]DIRETORIA!C:C,[1]DIRETORIA!B:B),"-")</f>
        <v>-</v>
      </c>
      <c r="C1318" s="28">
        <f>IFERROR(_xlfn.XLOOKUP(E1318,[1]EMPREENDIMENTO!C:C,[1]EMPREENDIMENTO!A:A),"-")</f>
        <v>0</v>
      </c>
      <c r="D1318" s="28"/>
      <c r="E1318" s="28"/>
      <c r="F1318" s="28"/>
      <c r="G1318" s="28"/>
      <c r="H1318" s="28"/>
      <c r="I1318" s="29">
        <f>IFERROR(_xlfn.XLOOKUP(E1318,[1]EMPREENDIMENTO!C:C,[1]EMPREENDIMENTO!E:E),"0")</f>
        <v>0</v>
      </c>
      <c r="J1318" s="30"/>
      <c r="K1318" s="28"/>
      <c r="M1318" s="32"/>
      <c r="N1318" s="32"/>
      <c r="O1318" s="32"/>
      <c r="P1318" s="28"/>
      <c r="Q1318" s="28"/>
      <c r="R1318" s="30"/>
      <c r="S1318" s="30"/>
      <c r="T1318" s="33"/>
      <c r="U1318" s="34">
        <f>IFERROR(_xlfn.XLOOKUP(E1318,[1]EMPREENDIMENTO!C:C,[1]EMPREENDIMENTO!D:D),"")</f>
        <v>0</v>
      </c>
    </row>
    <row r="1319" spans="1:21" hidden="1" x14ac:dyDescent="0.35">
      <c r="A1319" s="28" t="str">
        <f>IFERROR(_xlfn.XLOOKUP(C1319,[1]DIRETORIA!C:C,[1]DIRETORIA!A:A),"-")</f>
        <v>-</v>
      </c>
      <c r="B1319" s="28" t="str">
        <f>IFERROR(_xlfn.XLOOKUP(C1319,[1]DIRETORIA!C:C,[1]DIRETORIA!B:B),"-")</f>
        <v>-</v>
      </c>
      <c r="C1319" s="28">
        <f>IFERROR(_xlfn.XLOOKUP(E1319,[1]EMPREENDIMENTO!C:C,[1]EMPREENDIMENTO!A:A),"-")</f>
        <v>0</v>
      </c>
      <c r="D1319" s="28"/>
      <c r="E1319" s="28"/>
      <c r="F1319" s="28"/>
      <c r="G1319" s="28"/>
      <c r="H1319" s="28"/>
      <c r="I1319" s="29">
        <f>IFERROR(_xlfn.XLOOKUP(E1319,[1]EMPREENDIMENTO!C:C,[1]EMPREENDIMENTO!E:E),"0")</f>
        <v>0</v>
      </c>
      <c r="J1319" s="30"/>
      <c r="K1319" s="28"/>
      <c r="M1319" s="32"/>
      <c r="N1319" s="32"/>
      <c r="O1319" s="32"/>
      <c r="P1319" s="28"/>
      <c r="Q1319" s="28"/>
      <c r="R1319" s="30"/>
      <c r="S1319" s="30"/>
      <c r="T1319" s="33"/>
      <c r="U1319" s="34">
        <f>IFERROR(_xlfn.XLOOKUP(E1319,[1]EMPREENDIMENTO!C:C,[1]EMPREENDIMENTO!D:D),"")</f>
        <v>0</v>
      </c>
    </row>
    <row r="1320" spans="1:21" hidden="1" x14ac:dyDescent="0.35">
      <c r="A1320" s="28" t="str">
        <f>IFERROR(_xlfn.XLOOKUP(C1320,[1]DIRETORIA!C:C,[1]DIRETORIA!A:A),"-")</f>
        <v>-</v>
      </c>
      <c r="B1320" s="28" t="str">
        <f>IFERROR(_xlfn.XLOOKUP(C1320,[1]DIRETORIA!C:C,[1]DIRETORIA!B:B),"-")</f>
        <v>-</v>
      </c>
      <c r="C1320" s="28">
        <f>IFERROR(_xlfn.XLOOKUP(E1320,[1]EMPREENDIMENTO!C:C,[1]EMPREENDIMENTO!A:A),"-")</f>
        <v>0</v>
      </c>
      <c r="D1320" s="28"/>
      <c r="E1320" s="28"/>
      <c r="F1320" s="28"/>
      <c r="G1320" s="28"/>
      <c r="H1320" s="28"/>
      <c r="I1320" s="29">
        <f>IFERROR(_xlfn.XLOOKUP(E1320,[1]EMPREENDIMENTO!C:C,[1]EMPREENDIMENTO!E:E),"0")</f>
        <v>0</v>
      </c>
      <c r="J1320" s="30"/>
      <c r="K1320" s="28"/>
      <c r="M1320" s="32"/>
      <c r="N1320" s="32"/>
      <c r="O1320" s="32"/>
      <c r="P1320" s="28"/>
      <c r="Q1320" s="28"/>
      <c r="R1320" s="30"/>
      <c r="S1320" s="30"/>
      <c r="T1320" s="33"/>
      <c r="U1320" s="34">
        <f>IFERROR(_xlfn.XLOOKUP(E1320,[1]EMPREENDIMENTO!C:C,[1]EMPREENDIMENTO!D:D),"")</f>
        <v>0</v>
      </c>
    </row>
    <row r="1321" spans="1:21" hidden="1" x14ac:dyDescent="0.35">
      <c r="A1321" s="28" t="str">
        <f>IFERROR(_xlfn.XLOOKUP(C1321,[1]DIRETORIA!C:C,[1]DIRETORIA!A:A),"-")</f>
        <v>-</v>
      </c>
      <c r="B1321" s="28" t="str">
        <f>IFERROR(_xlfn.XLOOKUP(C1321,[1]DIRETORIA!C:C,[1]DIRETORIA!B:B),"-")</f>
        <v>-</v>
      </c>
      <c r="C1321" s="28">
        <f>IFERROR(_xlfn.XLOOKUP(E1321,[1]EMPREENDIMENTO!C:C,[1]EMPREENDIMENTO!A:A),"-")</f>
        <v>0</v>
      </c>
      <c r="D1321" s="28"/>
      <c r="E1321" s="28"/>
      <c r="F1321" s="28"/>
      <c r="G1321" s="28"/>
      <c r="H1321" s="28"/>
      <c r="I1321" s="29">
        <f>IFERROR(_xlfn.XLOOKUP(E1321,[1]EMPREENDIMENTO!C:C,[1]EMPREENDIMENTO!E:E),"0")</f>
        <v>0</v>
      </c>
      <c r="J1321" s="30"/>
      <c r="K1321" s="28"/>
      <c r="M1321" s="32"/>
      <c r="N1321" s="32"/>
      <c r="O1321" s="32"/>
      <c r="P1321" s="28"/>
      <c r="Q1321" s="28"/>
      <c r="R1321" s="30"/>
      <c r="S1321" s="30"/>
      <c r="T1321" s="33"/>
      <c r="U1321" s="34">
        <f>IFERROR(_xlfn.XLOOKUP(E1321,[1]EMPREENDIMENTO!C:C,[1]EMPREENDIMENTO!D:D),"")</f>
        <v>0</v>
      </c>
    </row>
    <row r="1322" spans="1:21" hidden="1" x14ac:dyDescent="0.35">
      <c r="A1322" s="28" t="str">
        <f>IFERROR(_xlfn.XLOOKUP(C1322,[1]DIRETORIA!C:C,[1]DIRETORIA!A:A),"-")</f>
        <v>-</v>
      </c>
      <c r="B1322" s="28" t="str">
        <f>IFERROR(_xlfn.XLOOKUP(C1322,[1]DIRETORIA!C:C,[1]DIRETORIA!B:B),"-")</f>
        <v>-</v>
      </c>
      <c r="C1322" s="28">
        <f>IFERROR(_xlfn.XLOOKUP(E1322,[1]EMPREENDIMENTO!C:C,[1]EMPREENDIMENTO!A:A),"-")</f>
        <v>0</v>
      </c>
      <c r="D1322" s="28"/>
      <c r="E1322" s="28"/>
      <c r="F1322" s="28"/>
      <c r="G1322" s="28"/>
      <c r="H1322" s="28"/>
      <c r="I1322" s="29">
        <f>IFERROR(_xlfn.XLOOKUP(E1322,[1]EMPREENDIMENTO!C:C,[1]EMPREENDIMENTO!E:E),"0")</f>
        <v>0</v>
      </c>
      <c r="J1322" s="30"/>
      <c r="K1322" s="28"/>
      <c r="M1322" s="32"/>
      <c r="N1322" s="32"/>
      <c r="O1322" s="32"/>
      <c r="P1322" s="28"/>
      <c r="Q1322" s="28"/>
      <c r="R1322" s="30"/>
      <c r="S1322" s="30"/>
      <c r="T1322" s="33"/>
      <c r="U1322" s="34">
        <f>IFERROR(_xlfn.XLOOKUP(E1322,[1]EMPREENDIMENTO!C:C,[1]EMPREENDIMENTO!D:D),"")</f>
        <v>0</v>
      </c>
    </row>
    <row r="1323" spans="1:21" hidden="1" x14ac:dyDescent="0.35">
      <c r="A1323" s="28" t="str">
        <f>IFERROR(_xlfn.XLOOKUP(C1323,[1]DIRETORIA!C:C,[1]DIRETORIA!A:A),"-")</f>
        <v>-</v>
      </c>
      <c r="B1323" s="28" t="str">
        <f>IFERROR(_xlfn.XLOOKUP(C1323,[1]DIRETORIA!C:C,[1]DIRETORIA!B:B),"-")</f>
        <v>-</v>
      </c>
      <c r="C1323" s="28">
        <f>IFERROR(_xlfn.XLOOKUP(E1323,[1]EMPREENDIMENTO!C:C,[1]EMPREENDIMENTO!A:A),"-")</f>
        <v>0</v>
      </c>
      <c r="D1323" s="28"/>
      <c r="E1323" s="28"/>
      <c r="F1323" s="28"/>
      <c r="G1323" s="28"/>
      <c r="H1323" s="28"/>
      <c r="I1323" s="29">
        <f>IFERROR(_xlfn.XLOOKUP(E1323,[1]EMPREENDIMENTO!C:C,[1]EMPREENDIMENTO!E:E),"0")</f>
        <v>0</v>
      </c>
      <c r="J1323" s="30"/>
      <c r="K1323" s="28"/>
      <c r="M1323" s="32"/>
      <c r="N1323" s="32"/>
      <c r="O1323" s="32"/>
      <c r="P1323" s="28"/>
      <c r="Q1323" s="28"/>
      <c r="R1323" s="30"/>
      <c r="S1323" s="30"/>
      <c r="T1323" s="33"/>
      <c r="U1323" s="34">
        <f>IFERROR(_xlfn.XLOOKUP(E1323,[1]EMPREENDIMENTO!C:C,[1]EMPREENDIMENTO!D:D),"")</f>
        <v>0</v>
      </c>
    </row>
    <row r="1324" spans="1:21" hidden="1" x14ac:dyDescent="0.35">
      <c r="A1324" s="28" t="str">
        <f>IFERROR(_xlfn.XLOOKUP(C1324,[1]DIRETORIA!C:C,[1]DIRETORIA!A:A),"-")</f>
        <v>-</v>
      </c>
      <c r="B1324" s="28" t="str">
        <f>IFERROR(_xlfn.XLOOKUP(C1324,[1]DIRETORIA!C:C,[1]DIRETORIA!B:B),"-")</f>
        <v>-</v>
      </c>
      <c r="C1324" s="28">
        <f>IFERROR(_xlfn.XLOOKUP(E1324,[1]EMPREENDIMENTO!C:C,[1]EMPREENDIMENTO!A:A),"-")</f>
        <v>0</v>
      </c>
      <c r="D1324" s="28"/>
      <c r="E1324" s="28"/>
      <c r="F1324" s="28"/>
      <c r="G1324" s="28"/>
      <c r="H1324" s="28"/>
      <c r="I1324" s="29">
        <f>IFERROR(_xlfn.XLOOKUP(E1324,[1]EMPREENDIMENTO!C:C,[1]EMPREENDIMENTO!E:E),"0")</f>
        <v>0</v>
      </c>
      <c r="J1324" s="30"/>
      <c r="K1324" s="28"/>
      <c r="M1324" s="32"/>
      <c r="N1324" s="32"/>
      <c r="O1324" s="32"/>
      <c r="P1324" s="28"/>
      <c r="Q1324" s="28"/>
      <c r="R1324" s="30"/>
      <c r="S1324" s="30"/>
      <c r="T1324" s="33"/>
      <c r="U1324" s="34">
        <f>IFERROR(_xlfn.XLOOKUP(E1324,[1]EMPREENDIMENTO!C:C,[1]EMPREENDIMENTO!D:D),"")</f>
        <v>0</v>
      </c>
    </row>
    <row r="1325" spans="1:21" hidden="1" x14ac:dyDescent="0.35">
      <c r="A1325" s="28" t="str">
        <f>IFERROR(_xlfn.XLOOKUP(C1325,[1]DIRETORIA!C:C,[1]DIRETORIA!A:A),"-")</f>
        <v>-</v>
      </c>
      <c r="B1325" s="28" t="str">
        <f>IFERROR(_xlfn.XLOOKUP(C1325,[1]DIRETORIA!C:C,[1]DIRETORIA!B:B),"-")</f>
        <v>-</v>
      </c>
      <c r="C1325" s="28">
        <f>IFERROR(_xlfn.XLOOKUP(E1325,[1]EMPREENDIMENTO!C:C,[1]EMPREENDIMENTO!A:A),"-")</f>
        <v>0</v>
      </c>
      <c r="D1325" s="28"/>
      <c r="E1325" s="28"/>
      <c r="F1325" s="28"/>
      <c r="G1325" s="28"/>
      <c r="H1325" s="28"/>
      <c r="I1325" s="29">
        <f>IFERROR(_xlfn.XLOOKUP(E1325,[1]EMPREENDIMENTO!C:C,[1]EMPREENDIMENTO!E:E),"0")</f>
        <v>0</v>
      </c>
      <c r="J1325" s="30"/>
      <c r="K1325" s="28"/>
      <c r="M1325" s="32"/>
      <c r="N1325" s="32"/>
      <c r="O1325" s="32"/>
      <c r="P1325" s="28"/>
      <c r="Q1325" s="28"/>
      <c r="R1325" s="30"/>
      <c r="S1325" s="30"/>
      <c r="T1325" s="33"/>
      <c r="U1325" s="34">
        <f>IFERROR(_xlfn.XLOOKUP(E1325,[1]EMPREENDIMENTO!C:C,[1]EMPREENDIMENTO!D:D),"")</f>
        <v>0</v>
      </c>
    </row>
    <row r="1326" spans="1:21" hidden="1" x14ac:dyDescent="0.35">
      <c r="A1326" s="28" t="str">
        <f>IFERROR(_xlfn.XLOOKUP(C1326,[1]DIRETORIA!C:C,[1]DIRETORIA!A:A),"-")</f>
        <v>-</v>
      </c>
      <c r="B1326" s="28" t="str">
        <f>IFERROR(_xlfn.XLOOKUP(C1326,[1]DIRETORIA!C:C,[1]DIRETORIA!B:B),"-")</f>
        <v>-</v>
      </c>
      <c r="C1326" s="28">
        <f>IFERROR(_xlfn.XLOOKUP(E1326,[1]EMPREENDIMENTO!C:C,[1]EMPREENDIMENTO!A:A),"-")</f>
        <v>0</v>
      </c>
      <c r="D1326" s="28"/>
      <c r="E1326" s="28"/>
      <c r="F1326" s="28"/>
      <c r="G1326" s="28"/>
      <c r="H1326" s="28"/>
      <c r="I1326" s="29">
        <f>IFERROR(_xlfn.XLOOKUP(E1326,[1]EMPREENDIMENTO!C:C,[1]EMPREENDIMENTO!E:E),"0")</f>
        <v>0</v>
      </c>
      <c r="J1326" s="30"/>
      <c r="K1326" s="28"/>
      <c r="M1326" s="32"/>
      <c r="N1326" s="32"/>
      <c r="O1326" s="32"/>
      <c r="P1326" s="28"/>
      <c r="Q1326" s="28"/>
      <c r="R1326" s="30"/>
      <c r="S1326" s="30"/>
      <c r="T1326" s="33"/>
      <c r="U1326" s="34">
        <f>IFERROR(_xlfn.XLOOKUP(E1326,[1]EMPREENDIMENTO!C:C,[1]EMPREENDIMENTO!D:D),"")</f>
        <v>0</v>
      </c>
    </row>
    <row r="1327" spans="1:21" hidden="1" x14ac:dyDescent="0.35">
      <c r="A1327" s="28" t="str">
        <f>IFERROR(_xlfn.XLOOKUP(C1327,[1]DIRETORIA!C:C,[1]DIRETORIA!A:A),"-")</f>
        <v>-</v>
      </c>
      <c r="B1327" s="28" t="str">
        <f>IFERROR(_xlfn.XLOOKUP(C1327,[1]DIRETORIA!C:C,[1]DIRETORIA!B:B),"-")</f>
        <v>-</v>
      </c>
      <c r="C1327" s="28">
        <f>IFERROR(_xlfn.XLOOKUP(E1327,[1]EMPREENDIMENTO!C:C,[1]EMPREENDIMENTO!A:A),"-")</f>
        <v>0</v>
      </c>
      <c r="D1327" s="28"/>
      <c r="E1327" s="28"/>
      <c r="F1327" s="28"/>
      <c r="G1327" s="28"/>
      <c r="H1327" s="28"/>
      <c r="I1327" s="29">
        <f>IFERROR(_xlfn.XLOOKUP(E1327,[1]EMPREENDIMENTO!C:C,[1]EMPREENDIMENTO!E:E),"0")</f>
        <v>0</v>
      </c>
      <c r="J1327" s="30"/>
      <c r="K1327" s="28"/>
      <c r="M1327" s="32"/>
      <c r="N1327" s="32"/>
      <c r="O1327" s="32"/>
      <c r="P1327" s="28"/>
      <c r="Q1327" s="28"/>
      <c r="R1327" s="30"/>
      <c r="S1327" s="30"/>
      <c r="T1327" s="33"/>
      <c r="U1327" s="34">
        <f>IFERROR(_xlfn.XLOOKUP(E1327,[1]EMPREENDIMENTO!C:C,[1]EMPREENDIMENTO!D:D),"")</f>
        <v>0</v>
      </c>
    </row>
    <row r="1328" spans="1:21" hidden="1" x14ac:dyDescent="0.35">
      <c r="A1328" s="28" t="str">
        <f>IFERROR(_xlfn.XLOOKUP(C1328,[1]DIRETORIA!C:C,[1]DIRETORIA!A:A),"-")</f>
        <v>-</v>
      </c>
      <c r="B1328" s="28" t="str">
        <f>IFERROR(_xlfn.XLOOKUP(C1328,[1]DIRETORIA!C:C,[1]DIRETORIA!B:B),"-")</f>
        <v>-</v>
      </c>
      <c r="C1328" s="28">
        <f>IFERROR(_xlfn.XLOOKUP(E1328,[1]EMPREENDIMENTO!C:C,[1]EMPREENDIMENTO!A:A),"-")</f>
        <v>0</v>
      </c>
      <c r="D1328" s="28"/>
      <c r="E1328" s="28"/>
      <c r="F1328" s="28"/>
      <c r="G1328" s="28"/>
      <c r="H1328" s="28"/>
      <c r="I1328" s="29">
        <f>IFERROR(_xlfn.XLOOKUP(E1328,[1]EMPREENDIMENTO!C:C,[1]EMPREENDIMENTO!E:E),"0")</f>
        <v>0</v>
      </c>
      <c r="J1328" s="30"/>
      <c r="K1328" s="28"/>
      <c r="M1328" s="32"/>
      <c r="N1328" s="32"/>
      <c r="O1328" s="32"/>
      <c r="P1328" s="28"/>
      <c r="Q1328" s="28"/>
      <c r="R1328" s="30"/>
      <c r="S1328" s="30"/>
      <c r="T1328" s="33"/>
      <c r="U1328" s="34">
        <f>IFERROR(_xlfn.XLOOKUP(E1328,[1]EMPREENDIMENTO!C:C,[1]EMPREENDIMENTO!D:D),"")</f>
        <v>0</v>
      </c>
    </row>
    <row r="1329" spans="1:21" hidden="1" x14ac:dyDescent="0.35">
      <c r="A1329" s="28" t="str">
        <f>IFERROR(_xlfn.XLOOKUP(C1329,[1]DIRETORIA!C:C,[1]DIRETORIA!A:A),"-")</f>
        <v>-</v>
      </c>
      <c r="B1329" s="28" t="str">
        <f>IFERROR(_xlfn.XLOOKUP(C1329,[1]DIRETORIA!C:C,[1]DIRETORIA!B:B),"-")</f>
        <v>-</v>
      </c>
      <c r="C1329" s="28">
        <f>IFERROR(_xlfn.XLOOKUP(E1329,[1]EMPREENDIMENTO!C:C,[1]EMPREENDIMENTO!A:A),"-")</f>
        <v>0</v>
      </c>
      <c r="D1329" s="28"/>
      <c r="E1329" s="28"/>
      <c r="F1329" s="28"/>
      <c r="G1329" s="28"/>
      <c r="H1329" s="28"/>
      <c r="I1329" s="29">
        <f>IFERROR(_xlfn.XLOOKUP(E1329,[1]EMPREENDIMENTO!C:C,[1]EMPREENDIMENTO!E:E),"0")</f>
        <v>0</v>
      </c>
      <c r="J1329" s="30"/>
      <c r="K1329" s="28"/>
      <c r="M1329" s="32"/>
      <c r="N1329" s="32"/>
      <c r="O1329" s="32"/>
      <c r="P1329" s="28"/>
      <c r="Q1329" s="28"/>
      <c r="R1329" s="30"/>
      <c r="S1329" s="30"/>
      <c r="T1329" s="33"/>
      <c r="U1329" s="34">
        <f>IFERROR(_xlfn.XLOOKUP(E1329,[1]EMPREENDIMENTO!C:C,[1]EMPREENDIMENTO!D:D),"")</f>
        <v>0</v>
      </c>
    </row>
    <row r="1330" spans="1:21" hidden="1" x14ac:dyDescent="0.35">
      <c r="A1330" s="28" t="str">
        <f>IFERROR(_xlfn.XLOOKUP(C1330,[1]DIRETORIA!C:C,[1]DIRETORIA!A:A),"-")</f>
        <v>-</v>
      </c>
      <c r="B1330" s="28" t="str">
        <f>IFERROR(_xlfn.XLOOKUP(C1330,[1]DIRETORIA!C:C,[1]DIRETORIA!B:B),"-")</f>
        <v>-</v>
      </c>
      <c r="C1330" s="28">
        <f>IFERROR(_xlfn.XLOOKUP(E1330,[1]EMPREENDIMENTO!C:C,[1]EMPREENDIMENTO!A:A),"-")</f>
        <v>0</v>
      </c>
      <c r="D1330" s="28"/>
      <c r="E1330" s="28"/>
      <c r="F1330" s="28"/>
      <c r="G1330" s="28"/>
      <c r="H1330" s="28"/>
      <c r="I1330" s="29">
        <f>IFERROR(_xlfn.XLOOKUP(E1330,[1]EMPREENDIMENTO!C:C,[1]EMPREENDIMENTO!E:E),"0")</f>
        <v>0</v>
      </c>
      <c r="J1330" s="30"/>
      <c r="K1330" s="28"/>
      <c r="M1330" s="32"/>
      <c r="N1330" s="32"/>
      <c r="O1330" s="32"/>
      <c r="P1330" s="28"/>
      <c r="Q1330" s="28"/>
      <c r="R1330" s="30"/>
      <c r="S1330" s="30"/>
      <c r="T1330" s="33"/>
      <c r="U1330" s="34">
        <f>IFERROR(_xlfn.XLOOKUP(E1330,[1]EMPREENDIMENTO!C:C,[1]EMPREENDIMENTO!D:D),"")</f>
        <v>0</v>
      </c>
    </row>
    <row r="1331" spans="1:21" hidden="1" x14ac:dyDescent="0.35">
      <c r="A1331" s="28" t="str">
        <f>IFERROR(_xlfn.XLOOKUP(C1331,[1]DIRETORIA!C:C,[1]DIRETORIA!A:A),"-")</f>
        <v>-</v>
      </c>
      <c r="B1331" s="28" t="str">
        <f>IFERROR(_xlfn.XLOOKUP(C1331,[1]DIRETORIA!C:C,[1]DIRETORIA!B:B),"-")</f>
        <v>-</v>
      </c>
      <c r="C1331" s="28">
        <f>IFERROR(_xlfn.XLOOKUP(E1331,[1]EMPREENDIMENTO!C:C,[1]EMPREENDIMENTO!A:A),"-")</f>
        <v>0</v>
      </c>
      <c r="D1331" s="28"/>
      <c r="E1331" s="28"/>
      <c r="F1331" s="28"/>
      <c r="G1331" s="28"/>
      <c r="H1331" s="28"/>
      <c r="I1331" s="29">
        <f>IFERROR(_xlfn.XLOOKUP(E1331,[1]EMPREENDIMENTO!C:C,[1]EMPREENDIMENTO!E:E),"0")</f>
        <v>0</v>
      </c>
      <c r="J1331" s="30"/>
      <c r="K1331" s="28"/>
      <c r="M1331" s="32"/>
      <c r="N1331" s="32"/>
      <c r="O1331" s="32"/>
      <c r="P1331" s="28"/>
      <c r="Q1331" s="28"/>
      <c r="R1331" s="30"/>
      <c r="S1331" s="30"/>
      <c r="T1331" s="33"/>
      <c r="U1331" s="34">
        <f>IFERROR(_xlfn.XLOOKUP(E1331,[1]EMPREENDIMENTO!C:C,[1]EMPREENDIMENTO!D:D),"")</f>
        <v>0</v>
      </c>
    </row>
    <row r="1332" spans="1:21" hidden="1" x14ac:dyDescent="0.35">
      <c r="A1332" s="28" t="str">
        <f>IFERROR(_xlfn.XLOOKUP(C1332,[1]DIRETORIA!C:C,[1]DIRETORIA!A:A),"-")</f>
        <v>-</v>
      </c>
      <c r="B1332" s="28" t="str">
        <f>IFERROR(_xlfn.XLOOKUP(C1332,[1]DIRETORIA!C:C,[1]DIRETORIA!B:B),"-")</f>
        <v>-</v>
      </c>
      <c r="C1332" s="28">
        <f>IFERROR(_xlfn.XLOOKUP(E1332,[1]EMPREENDIMENTO!C:C,[1]EMPREENDIMENTO!A:A),"-")</f>
        <v>0</v>
      </c>
      <c r="D1332" s="28"/>
      <c r="E1332" s="28"/>
      <c r="F1332" s="28"/>
      <c r="G1332" s="28"/>
      <c r="H1332" s="28"/>
      <c r="I1332" s="29">
        <f>IFERROR(_xlfn.XLOOKUP(E1332,[1]EMPREENDIMENTO!C:C,[1]EMPREENDIMENTO!E:E),"0")</f>
        <v>0</v>
      </c>
      <c r="J1332" s="30"/>
      <c r="K1332" s="28"/>
      <c r="M1332" s="32"/>
      <c r="N1332" s="32"/>
      <c r="O1332" s="32"/>
      <c r="P1332" s="28"/>
      <c r="Q1332" s="28"/>
      <c r="R1332" s="30"/>
      <c r="S1332" s="30"/>
      <c r="T1332" s="33"/>
      <c r="U1332" s="34">
        <f>IFERROR(_xlfn.XLOOKUP(E1332,[1]EMPREENDIMENTO!C:C,[1]EMPREENDIMENTO!D:D),"")</f>
        <v>0</v>
      </c>
    </row>
    <row r="1333" spans="1:21" hidden="1" x14ac:dyDescent="0.35">
      <c r="A1333" s="28" t="str">
        <f>IFERROR(_xlfn.XLOOKUP(C1333,[1]DIRETORIA!C:C,[1]DIRETORIA!A:A),"-")</f>
        <v>-</v>
      </c>
      <c r="B1333" s="28" t="str">
        <f>IFERROR(_xlfn.XLOOKUP(C1333,[1]DIRETORIA!C:C,[1]DIRETORIA!B:B),"-")</f>
        <v>-</v>
      </c>
      <c r="C1333" s="28">
        <f>IFERROR(_xlfn.XLOOKUP(E1333,[1]EMPREENDIMENTO!C:C,[1]EMPREENDIMENTO!A:A),"-")</f>
        <v>0</v>
      </c>
      <c r="D1333" s="28"/>
      <c r="E1333" s="28"/>
      <c r="F1333" s="28"/>
      <c r="G1333" s="28"/>
      <c r="H1333" s="28"/>
      <c r="I1333" s="29">
        <f>IFERROR(_xlfn.XLOOKUP(E1333,[1]EMPREENDIMENTO!C:C,[1]EMPREENDIMENTO!E:E),"0")</f>
        <v>0</v>
      </c>
      <c r="J1333" s="30"/>
      <c r="K1333" s="28"/>
      <c r="M1333" s="32"/>
      <c r="N1333" s="32"/>
      <c r="O1333" s="32"/>
      <c r="P1333" s="28"/>
      <c r="Q1333" s="28"/>
      <c r="R1333" s="30"/>
      <c r="S1333" s="30"/>
      <c r="T1333" s="33"/>
      <c r="U1333" s="34">
        <f>IFERROR(_xlfn.XLOOKUP(E1333,[1]EMPREENDIMENTO!C:C,[1]EMPREENDIMENTO!D:D),"")</f>
        <v>0</v>
      </c>
    </row>
    <row r="1334" spans="1:21" hidden="1" x14ac:dyDescent="0.35">
      <c r="A1334" s="28" t="str">
        <f>IFERROR(_xlfn.XLOOKUP(C1334,[1]DIRETORIA!C:C,[1]DIRETORIA!A:A),"-")</f>
        <v>-</v>
      </c>
      <c r="B1334" s="28" t="str">
        <f>IFERROR(_xlfn.XLOOKUP(C1334,[1]DIRETORIA!C:C,[1]DIRETORIA!B:B),"-")</f>
        <v>-</v>
      </c>
      <c r="C1334" s="28">
        <f>IFERROR(_xlfn.XLOOKUP(E1334,[1]EMPREENDIMENTO!C:C,[1]EMPREENDIMENTO!A:A),"-")</f>
        <v>0</v>
      </c>
      <c r="D1334" s="28"/>
      <c r="E1334" s="28"/>
      <c r="F1334" s="28"/>
      <c r="G1334" s="28"/>
      <c r="H1334" s="28"/>
      <c r="I1334" s="29">
        <f>IFERROR(_xlfn.XLOOKUP(E1334,[1]EMPREENDIMENTO!C:C,[1]EMPREENDIMENTO!E:E),"0")</f>
        <v>0</v>
      </c>
      <c r="J1334" s="30"/>
      <c r="K1334" s="28"/>
      <c r="M1334" s="32"/>
      <c r="N1334" s="32"/>
      <c r="O1334" s="32"/>
      <c r="P1334" s="28"/>
      <c r="Q1334" s="28"/>
      <c r="R1334" s="30"/>
      <c r="S1334" s="30"/>
      <c r="T1334" s="33"/>
      <c r="U1334" s="34">
        <f>IFERROR(_xlfn.XLOOKUP(E1334,[1]EMPREENDIMENTO!C:C,[1]EMPREENDIMENTO!D:D),"")</f>
        <v>0</v>
      </c>
    </row>
    <row r="1335" spans="1:21" hidden="1" x14ac:dyDescent="0.35">
      <c r="A1335" s="28" t="str">
        <f>IFERROR(_xlfn.XLOOKUP(C1335,[1]DIRETORIA!C:C,[1]DIRETORIA!A:A),"-")</f>
        <v>-</v>
      </c>
      <c r="B1335" s="28" t="str">
        <f>IFERROR(_xlfn.XLOOKUP(C1335,[1]DIRETORIA!C:C,[1]DIRETORIA!B:B),"-")</f>
        <v>-</v>
      </c>
      <c r="C1335" s="28">
        <f>IFERROR(_xlfn.XLOOKUP(E1335,[1]EMPREENDIMENTO!C:C,[1]EMPREENDIMENTO!A:A),"-")</f>
        <v>0</v>
      </c>
      <c r="D1335" s="28"/>
      <c r="E1335" s="28"/>
      <c r="F1335" s="28"/>
      <c r="G1335" s="28"/>
      <c r="H1335" s="28"/>
      <c r="I1335" s="29">
        <f>IFERROR(_xlfn.XLOOKUP(E1335,[1]EMPREENDIMENTO!C:C,[1]EMPREENDIMENTO!E:E),"0")</f>
        <v>0</v>
      </c>
      <c r="J1335" s="30"/>
      <c r="K1335" s="28"/>
      <c r="M1335" s="32"/>
      <c r="N1335" s="32"/>
      <c r="O1335" s="32"/>
      <c r="P1335" s="28"/>
      <c r="Q1335" s="28"/>
      <c r="R1335" s="30"/>
      <c r="S1335" s="30"/>
      <c r="T1335" s="33"/>
      <c r="U1335" s="34">
        <f>IFERROR(_xlfn.XLOOKUP(E1335,[1]EMPREENDIMENTO!C:C,[1]EMPREENDIMENTO!D:D),"")</f>
        <v>0</v>
      </c>
    </row>
    <row r="1336" spans="1:21" hidden="1" x14ac:dyDescent="0.35">
      <c r="A1336" s="28" t="str">
        <f>IFERROR(_xlfn.XLOOKUP(C1336,[1]DIRETORIA!C:C,[1]DIRETORIA!A:A),"-")</f>
        <v>-</v>
      </c>
      <c r="B1336" s="28" t="str">
        <f>IFERROR(_xlfn.XLOOKUP(C1336,[1]DIRETORIA!C:C,[1]DIRETORIA!B:B),"-")</f>
        <v>-</v>
      </c>
      <c r="C1336" s="28">
        <f>IFERROR(_xlfn.XLOOKUP(E1336,[1]EMPREENDIMENTO!C:C,[1]EMPREENDIMENTO!A:A),"-")</f>
        <v>0</v>
      </c>
      <c r="D1336" s="28"/>
      <c r="E1336" s="28"/>
      <c r="F1336" s="28"/>
      <c r="G1336" s="28"/>
      <c r="H1336" s="28"/>
      <c r="I1336" s="29">
        <f>IFERROR(_xlfn.XLOOKUP(E1336,[1]EMPREENDIMENTO!C:C,[1]EMPREENDIMENTO!E:E),"0")</f>
        <v>0</v>
      </c>
      <c r="J1336" s="30"/>
      <c r="K1336" s="28"/>
      <c r="M1336" s="32"/>
      <c r="N1336" s="32"/>
      <c r="O1336" s="32"/>
      <c r="P1336" s="28"/>
      <c r="Q1336" s="28"/>
      <c r="R1336" s="30"/>
      <c r="S1336" s="30"/>
      <c r="T1336" s="33"/>
      <c r="U1336" s="34">
        <f>IFERROR(_xlfn.XLOOKUP(E1336,[1]EMPREENDIMENTO!C:C,[1]EMPREENDIMENTO!D:D),"")</f>
        <v>0</v>
      </c>
    </row>
    <row r="1337" spans="1:21" hidden="1" x14ac:dyDescent="0.35">
      <c r="A1337" s="28" t="str">
        <f>IFERROR(_xlfn.XLOOKUP(C1337,[1]DIRETORIA!C:C,[1]DIRETORIA!A:A),"-")</f>
        <v>-</v>
      </c>
      <c r="B1337" s="28" t="str">
        <f>IFERROR(_xlfn.XLOOKUP(C1337,[1]DIRETORIA!C:C,[1]DIRETORIA!B:B),"-")</f>
        <v>-</v>
      </c>
      <c r="C1337" s="28">
        <f>IFERROR(_xlfn.XLOOKUP(E1337,[1]EMPREENDIMENTO!C:C,[1]EMPREENDIMENTO!A:A),"-")</f>
        <v>0</v>
      </c>
      <c r="D1337" s="28"/>
      <c r="E1337" s="28"/>
      <c r="F1337" s="28"/>
      <c r="G1337" s="28"/>
      <c r="H1337" s="28"/>
      <c r="I1337" s="29">
        <f>IFERROR(_xlfn.XLOOKUP(E1337,[1]EMPREENDIMENTO!C:C,[1]EMPREENDIMENTO!E:E),"0")</f>
        <v>0</v>
      </c>
      <c r="J1337" s="30"/>
      <c r="K1337" s="28"/>
      <c r="M1337" s="32"/>
      <c r="N1337" s="32"/>
      <c r="O1337" s="32"/>
      <c r="P1337" s="28"/>
      <c r="Q1337" s="28"/>
      <c r="R1337" s="30"/>
      <c r="S1337" s="30"/>
      <c r="T1337" s="33"/>
      <c r="U1337" s="34">
        <f>IFERROR(_xlfn.XLOOKUP(E1337,[1]EMPREENDIMENTO!C:C,[1]EMPREENDIMENTO!D:D),"")</f>
        <v>0</v>
      </c>
    </row>
    <row r="1338" spans="1:21" hidden="1" x14ac:dyDescent="0.35">
      <c r="A1338" s="28" t="str">
        <f>IFERROR(_xlfn.XLOOKUP(C1338,[1]DIRETORIA!C:C,[1]DIRETORIA!A:A),"-")</f>
        <v>-</v>
      </c>
      <c r="B1338" s="28" t="str">
        <f>IFERROR(_xlfn.XLOOKUP(C1338,[1]DIRETORIA!C:C,[1]DIRETORIA!B:B),"-")</f>
        <v>-</v>
      </c>
      <c r="C1338" s="28">
        <f>IFERROR(_xlfn.XLOOKUP(E1338,[1]EMPREENDIMENTO!C:C,[1]EMPREENDIMENTO!A:A),"-")</f>
        <v>0</v>
      </c>
      <c r="D1338" s="28"/>
      <c r="E1338" s="28"/>
      <c r="F1338" s="28"/>
      <c r="G1338" s="28"/>
      <c r="H1338" s="28"/>
      <c r="I1338" s="29">
        <f>IFERROR(_xlfn.XLOOKUP(E1338,[1]EMPREENDIMENTO!C:C,[1]EMPREENDIMENTO!E:E),"0")</f>
        <v>0</v>
      </c>
      <c r="J1338" s="30"/>
      <c r="K1338" s="28"/>
      <c r="M1338" s="32"/>
      <c r="N1338" s="32"/>
      <c r="O1338" s="32"/>
      <c r="P1338" s="28"/>
      <c r="Q1338" s="28"/>
      <c r="R1338" s="30"/>
      <c r="S1338" s="30"/>
      <c r="T1338" s="33"/>
      <c r="U1338" s="34">
        <f>IFERROR(_xlfn.XLOOKUP(E1338,[1]EMPREENDIMENTO!C:C,[1]EMPREENDIMENTO!D:D),"")</f>
        <v>0</v>
      </c>
    </row>
    <row r="1339" spans="1:21" hidden="1" x14ac:dyDescent="0.35">
      <c r="A1339" s="28" t="str">
        <f>IFERROR(_xlfn.XLOOKUP(C1339,[1]DIRETORIA!C:C,[1]DIRETORIA!A:A),"-")</f>
        <v>-</v>
      </c>
      <c r="B1339" s="28" t="str">
        <f>IFERROR(_xlfn.XLOOKUP(C1339,[1]DIRETORIA!C:C,[1]DIRETORIA!B:B),"-")</f>
        <v>-</v>
      </c>
      <c r="C1339" s="28">
        <f>IFERROR(_xlfn.XLOOKUP(E1339,[1]EMPREENDIMENTO!C:C,[1]EMPREENDIMENTO!A:A),"-")</f>
        <v>0</v>
      </c>
      <c r="D1339" s="28"/>
      <c r="E1339" s="28"/>
      <c r="F1339" s="28"/>
      <c r="G1339" s="28"/>
      <c r="H1339" s="28"/>
      <c r="I1339" s="29">
        <f>IFERROR(_xlfn.XLOOKUP(E1339,[1]EMPREENDIMENTO!C:C,[1]EMPREENDIMENTO!E:E),"0")</f>
        <v>0</v>
      </c>
      <c r="J1339" s="30"/>
      <c r="K1339" s="28"/>
      <c r="M1339" s="32"/>
      <c r="N1339" s="32"/>
      <c r="O1339" s="32"/>
      <c r="P1339" s="28"/>
      <c r="Q1339" s="28"/>
      <c r="R1339" s="30"/>
      <c r="S1339" s="30"/>
      <c r="T1339" s="33"/>
      <c r="U1339" s="34">
        <f>IFERROR(_xlfn.XLOOKUP(E1339,[1]EMPREENDIMENTO!C:C,[1]EMPREENDIMENTO!D:D),"")</f>
        <v>0</v>
      </c>
    </row>
    <row r="1340" spans="1:21" hidden="1" x14ac:dyDescent="0.35">
      <c r="A1340" s="28" t="str">
        <f>IFERROR(_xlfn.XLOOKUP(C1340,[1]DIRETORIA!C:C,[1]DIRETORIA!A:A),"-")</f>
        <v>-</v>
      </c>
      <c r="B1340" s="28" t="str">
        <f>IFERROR(_xlfn.XLOOKUP(C1340,[1]DIRETORIA!C:C,[1]DIRETORIA!B:B),"-")</f>
        <v>-</v>
      </c>
      <c r="C1340" s="28">
        <f>IFERROR(_xlfn.XLOOKUP(E1340,[1]EMPREENDIMENTO!C:C,[1]EMPREENDIMENTO!A:A),"-")</f>
        <v>0</v>
      </c>
      <c r="D1340" s="28"/>
      <c r="E1340" s="28"/>
      <c r="F1340" s="28"/>
      <c r="G1340" s="28"/>
      <c r="H1340" s="28"/>
      <c r="I1340" s="29">
        <f>IFERROR(_xlfn.XLOOKUP(E1340,[1]EMPREENDIMENTO!C:C,[1]EMPREENDIMENTO!E:E),"0")</f>
        <v>0</v>
      </c>
      <c r="J1340" s="30"/>
      <c r="K1340" s="28"/>
      <c r="M1340" s="32"/>
      <c r="N1340" s="32"/>
      <c r="O1340" s="32"/>
      <c r="P1340" s="28"/>
      <c r="Q1340" s="28"/>
      <c r="R1340" s="30"/>
      <c r="S1340" s="30"/>
      <c r="T1340" s="33"/>
      <c r="U1340" s="34">
        <f>IFERROR(_xlfn.XLOOKUP(E1340,[1]EMPREENDIMENTO!C:C,[1]EMPREENDIMENTO!D:D),"")</f>
        <v>0</v>
      </c>
    </row>
    <row r="1341" spans="1:21" hidden="1" x14ac:dyDescent="0.35">
      <c r="A1341" s="28" t="str">
        <f>IFERROR(_xlfn.XLOOKUP(C1341,[1]DIRETORIA!C:C,[1]DIRETORIA!A:A),"-")</f>
        <v>-</v>
      </c>
      <c r="B1341" s="28" t="str">
        <f>IFERROR(_xlfn.XLOOKUP(C1341,[1]DIRETORIA!C:C,[1]DIRETORIA!B:B),"-")</f>
        <v>-</v>
      </c>
      <c r="C1341" s="28">
        <f>IFERROR(_xlfn.XLOOKUP(E1341,[1]EMPREENDIMENTO!C:C,[1]EMPREENDIMENTO!A:A),"-")</f>
        <v>0</v>
      </c>
      <c r="D1341" s="28"/>
      <c r="E1341" s="28"/>
      <c r="F1341" s="28"/>
      <c r="G1341" s="28"/>
      <c r="H1341" s="28"/>
      <c r="I1341" s="29">
        <f>IFERROR(_xlfn.XLOOKUP(E1341,[1]EMPREENDIMENTO!C:C,[1]EMPREENDIMENTO!E:E),"0")</f>
        <v>0</v>
      </c>
      <c r="J1341" s="30"/>
      <c r="K1341" s="28"/>
      <c r="M1341" s="32"/>
      <c r="N1341" s="32"/>
      <c r="O1341" s="32"/>
      <c r="P1341" s="28"/>
      <c r="Q1341" s="28"/>
      <c r="R1341" s="30"/>
      <c r="S1341" s="30"/>
      <c r="T1341" s="33"/>
      <c r="U1341" s="34">
        <f>IFERROR(_xlfn.XLOOKUP(E1341,[1]EMPREENDIMENTO!C:C,[1]EMPREENDIMENTO!D:D),"")</f>
        <v>0</v>
      </c>
    </row>
    <row r="1342" spans="1:21" hidden="1" x14ac:dyDescent="0.35">
      <c r="A1342" s="28" t="str">
        <f>IFERROR(_xlfn.XLOOKUP(C1342,[1]DIRETORIA!C:C,[1]DIRETORIA!A:A),"-")</f>
        <v>-</v>
      </c>
      <c r="B1342" s="28" t="str">
        <f>IFERROR(_xlfn.XLOOKUP(C1342,[1]DIRETORIA!C:C,[1]DIRETORIA!B:B),"-")</f>
        <v>-</v>
      </c>
      <c r="C1342" s="28">
        <f>IFERROR(_xlfn.XLOOKUP(E1342,[1]EMPREENDIMENTO!C:C,[1]EMPREENDIMENTO!A:A),"-")</f>
        <v>0</v>
      </c>
      <c r="D1342" s="28"/>
      <c r="E1342" s="28"/>
      <c r="F1342" s="28"/>
      <c r="G1342" s="28"/>
      <c r="H1342" s="28"/>
      <c r="I1342" s="29">
        <f>IFERROR(_xlfn.XLOOKUP(E1342,[1]EMPREENDIMENTO!C:C,[1]EMPREENDIMENTO!E:E),"0")</f>
        <v>0</v>
      </c>
      <c r="J1342" s="30"/>
      <c r="K1342" s="28"/>
      <c r="M1342" s="32"/>
      <c r="N1342" s="32"/>
      <c r="O1342" s="32"/>
      <c r="P1342" s="28"/>
      <c r="Q1342" s="28"/>
      <c r="R1342" s="30"/>
      <c r="S1342" s="30"/>
      <c r="T1342" s="33"/>
      <c r="U1342" s="34">
        <f>IFERROR(_xlfn.XLOOKUP(E1342,[1]EMPREENDIMENTO!C:C,[1]EMPREENDIMENTO!D:D),"")</f>
        <v>0</v>
      </c>
    </row>
    <row r="1343" spans="1:21" hidden="1" x14ac:dyDescent="0.35">
      <c r="A1343" s="28" t="str">
        <f>IFERROR(_xlfn.XLOOKUP(C1343,[1]DIRETORIA!C:C,[1]DIRETORIA!A:A),"-")</f>
        <v>-</v>
      </c>
      <c r="B1343" s="28" t="str">
        <f>IFERROR(_xlfn.XLOOKUP(C1343,[1]DIRETORIA!C:C,[1]DIRETORIA!B:B),"-")</f>
        <v>-</v>
      </c>
      <c r="C1343" s="28">
        <f>IFERROR(_xlfn.XLOOKUP(E1343,[1]EMPREENDIMENTO!C:C,[1]EMPREENDIMENTO!A:A),"-")</f>
        <v>0</v>
      </c>
      <c r="D1343" s="28"/>
      <c r="E1343" s="28"/>
      <c r="F1343" s="28"/>
      <c r="G1343" s="28"/>
      <c r="H1343" s="28"/>
      <c r="I1343" s="29">
        <f>IFERROR(_xlfn.XLOOKUP(E1343,[1]EMPREENDIMENTO!C:C,[1]EMPREENDIMENTO!E:E),"0")</f>
        <v>0</v>
      </c>
      <c r="J1343" s="30"/>
      <c r="K1343" s="28"/>
      <c r="M1343" s="32"/>
      <c r="N1343" s="32"/>
      <c r="O1343" s="32"/>
      <c r="P1343" s="28"/>
      <c r="Q1343" s="28"/>
      <c r="R1343" s="30"/>
      <c r="S1343" s="30"/>
      <c r="T1343" s="33"/>
      <c r="U1343" s="34">
        <f>IFERROR(_xlfn.XLOOKUP(E1343,[1]EMPREENDIMENTO!C:C,[1]EMPREENDIMENTO!D:D),"")</f>
        <v>0</v>
      </c>
    </row>
    <row r="1344" spans="1:21" hidden="1" x14ac:dyDescent="0.35">
      <c r="A1344" s="28" t="str">
        <f>IFERROR(_xlfn.XLOOKUP(C1344,[1]DIRETORIA!C:C,[1]DIRETORIA!A:A),"-")</f>
        <v>-</v>
      </c>
      <c r="B1344" s="28" t="str">
        <f>IFERROR(_xlfn.XLOOKUP(C1344,[1]DIRETORIA!C:C,[1]DIRETORIA!B:B),"-")</f>
        <v>-</v>
      </c>
      <c r="C1344" s="28">
        <f>IFERROR(_xlfn.XLOOKUP(E1344,[1]EMPREENDIMENTO!C:C,[1]EMPREENDIMENTO!A:A),"-")</f>
        <v>0</v>
      </c>
      <c r="D1344" s="28"/>
      <c r="E1344" s="28"/>
      <c r="F1344" s="28"/>
      <c r="G1344" s="28"/>
      <c r="H1344" s="28"/>
      <c r="I1344" s="29">
        <f>IFERROR(_xlfn.XLOOKUP(E1344,[1]EMPREENDIMENTO!C:C,[1]EMPREENDIMENTO!E:E),"0")</f>
        <v>0</v>
      </c>
      <c r="J1344" s="30"/>
      <c r="K1344" s="28"/>
      <c r="M1344" s="32"/>
      <c r="N1344" s="32"/>
      <c r="O1344" s="32"/>
      <c r="P1344" s="28"/>
      <c r="Q1344" s="28"/>
      <c r="R1344" s="30"/>
      <c r="S1344" s="30"/>
      <c r="T1344" s="33"/>
      <c r="U1344" s="34">
        <f>IFERROR(_xlfn.XLOOKUP(E1344,[1]EMPREENDIMENTO!C:C,[1]EMPREENDIMENTO!D:D),"")</f>
        <v>0</v>
      </c>
    </row>
    <row r="1345" spans="1:21" hidden="1" x14ac:dyDescent="0.35">
      <c r="A1345" s="28" t="str">
        <f>IFERROR(_xlfn.XLOOKUP(C1345,[1]DIRETORIA!C:C,[1]DIRETORIA!A:A),"-")</f>
        <v>-</v>
      </c>
      <c r="B1345" s="28" t="str">
        <f>IFERROR(_xlfn.XLOOKUP(C1345,[1]DIRETORIA!C:C,[1]DIRETORIA!B:B),"-")</f>
        <v>-</v>
      </c>
      <c r="C1345" s="28">
        <f>IFERROR(_xlfn.XLOOKUP(E1345,[1]EMPREENDIMENTO!C:C,[1]EMPREENDIMENTO!A:A),"-")</f>
        <v>0</v>
      </c>
      <c r="D1345" s="28"/>
      <c r="E1345" s="28"/>
      <c r="F1345" s="28"/>
      <c r="G1345" s="28"/>
      <c r="H1345" s="28"/>
      <c r="I1345" s="29">
        <f>IFERROR(_xlfn.XLOOKUP(E1345,[1]EMPREENDIMENTO!C:C,[1]EMPREENDIMENTO!E:E),"0")</f>
        <v>0</v>
      </c>
      <c r="J1345" s="30"/>
      <c r="K1345" s="28"/>
      <c r="M1345" s="32"/>
      <c r="N1345" s="32"/>
      <c r="O1345" s="32"/>
      <c r="P1345" s="28"/>
      <c r="Q1345" s="28"/>
      <c r="R1345" s="30"/>
      <c r="S1345" s="30"/>
      <c r="T1345" s="33"/>
      <c r="U1345" s="34">
        <f>IFERROR(_xlfn.XLOOKUP(E1345,[1]EMPREENDIMENTO!C:C,[1]EMPREENDIMENTO!D:D),"")</f>
        <v>0</v>
      </c>
    </row>
    <row r="1346" spans="1:21" hidden="1" x14ac:dyDescent="0.35">
      <c r="A1346" s="28" t="str">
        <f>IFERROR(_xlfn.XLOOKUP(C1346,[1]DIRETORIA!C:C,[1]DIRETORIA!A:A),"-")</f>
        <v>-</v>
      </c>
      <c r="B1346" s="28" t="str">
        <f>IFERROR(_xlfn.XLOOKUP(C1346,[1]DIRETORIA!C:C,[1]DIRETORIA!B:B),"-")</f>
        <v>-</v>
      </c>
      <c r="C1346" s="28">
        <f>IFERROR(_xlfn.XLOOKUP(E1346,[1]EMPREENDIMENTO!C:C,[1]EMPREENDIMENTO!A:A),"-")</f>
        <v>0</v>
      </c>
      <c r="D1346" s="28"/>
      <c r="E1346" s="28"/>
      <c r="F1346" s="28"/>
      <c r="G1346" s="28"/>
      <c r="H1346" s="28"/>
      <c r="I1346" s="29">
        <f>IFERROR(_xlfn.XLOOKUP(E1346,[1]EMPREENDIMENTO!C:C,[1]EMPREENDIMENTO!E:E),"0")</f>
        <v>0</v>
      </c>
      <c r="J1346" s="30"/>
      <c r="K1346" s="28"/>
      <c r="M1346" s="32"/>
      <c r="N1346" s="32"/>
      <c r="O1346" s="32"/>
      <c r="P1346" s="28"/>
      <c r="Q1346" s="28"/>
      <c r="R1346" s="30"/>
      <c r="S1346" s="30"/>
      <c r="T1346" s="33"/>
      <c r="U1346" s="34">
        <f>IFERROR(_xlfn.XLOOKUP(E1346,[1]EMPREENDIMENTO!C:C,[1]EMPREENDIMENTO!D:D),"")</f>
        <v>0</v>
      </c>
    </row>
    <row r="1347" spans="1:21" hidden="1" x14ac:dyDescent="0.35">
      <c r="A1347" s="28" t="str">
        <f>IFERROR(_xlfn.XLOOKUP(C1347,[1]DIRETORIA!C:C,[1]DIRETORIA!A:A),"-")</f>
        <v>-</v>
      </c>
      <c r="B1347" s="28" t="str">
        <f>IFERROR(_xlfn.XLOOKUP(C1347,[1]DIRETORIA!C:C,[1]DIRETORIA!B:B),"-")</f>
        <v>-</v>
      </c>
      <c r="C1347" s="28">
        <f>IFERROR(_xlfn.XLOOKUP(E1347,[1]EMPREENDIMENTO!C:C,[1]EMPREENDIMENTO!A:A),"-")</f>
        <v>0</v>
      </c>
      <c r="D1347" s="28"/>
      <c r="E1347" s="28"/>
      <c r="F1347" s="28"/>
      <c r="G1347" s="28"/>
      <c r="H1347" s="28"/>
      <c r="I1347" s="29">
        <f>IFERROR(_xlfn.XLOOKUP(E1347,[1]EMPREENDIMENTO!C:C,[1]EMPREENDIMENTO!E:E),"0")</f>
        <v>0</v>
      </c>
      <c r="J1347" s="30"/>
      <c r="K1347" s="28"/>
      <c r="M1347" s="32"/>
      <c r="N1347" s="32"/>
      <c r="O1347" s="32"/>
      <c r="P1347" s="28"/>
      <c r="Q1347" s="28"/>
      <c r="R1347" s="30"/>
      <c r="S1347" s="30"/>
      <c r="T1347" s="33"/>
      <c r="U1347" s="34">
        <f>IFERROR(_xlfn.XLOOKUP(E1347,[1]EMPREENDIMENTO!C:C,[1]EMPREENDIMENTO!D:D),"")</f>
        <v>0</v>
      </c>
    </row>
    <row r="1348" spans="1:21" hidden="1" x14ac:dyDescent="0.35">
      <c r="A1348" s="28" t="str">
        <f>IFERROR(_xlfn.XLOOKUP(C1348,[1]DIRETORIA!C:C,[1]DIRETORIA!A:A),"-")</f>
        <v>-</v>
      </c>
      <c r="B1348" s="28" t="str">
        <f>IFERROR(_xlfn.XLOOKUP(C1348,[1]DIRETORIA!C:C,[1]DIRETORIA!B:B),"-")</f>
        <v>-</v>
      </c>
      <c r="C1348" s="28">
        <f>IFERROR(_xlfn.XLOOKUP(E1348,[1]EMPREENDIMENTO!C:C,[1]EMPREENDIMENTO!A:A),"-")</f>
        <v>0</v>
      </c>
      <c r="D1348" s="28"/>
      <c r="E1348" s="28"/>
      <c r="F1348" s="28"/>
      <c r="G1348" s="28"/>
      <c r="H1348" s="28"/>
      <c r="I1348" s="29">
        <f>IFERROR(_xlfn.XLOOKUP(E1348,[1]EMPREENDIMENTO!C:C,[1]EMPREENDIMENTO!E:E),"0")</f>
        <v>0</v>
      </c>
      <c r="J1348" s="30"/>
      <c r="K1348" s="28"/>
      <c r="M1348" s="32"/>
      <c r="N1348" s="32"/>
      <c r="O1348" s="32"/>
      <c r="P1348" s="28"/>
      <c r="Q1348" s="28"/>
      <c r="R1348" s="30"/>
      <c r="S1348" s="30"/>
      <c r="T1348" s="33"/>
      <c r="U1348" s="34">
        <f>IFERROR(_xlfn.XLOOKUP(E1348,[1]EMPREENDIMENTO!C:C,[1]EMPREENDIMENTO!D:D),"")</f>
        <v>0</v>
      </c>
    </row>
    <row r="1349" spans="1:21" hidden="1" x14ac:dyDescent="0.35">
      <c r="A1349" s="28" t="str">
        <f>IFERROR(_xlfn.XLOOKUP(C1349,[1]DIRETORIA!C:C,[1]DIRETORIA!A:A),"-")</f>
        <v>-</v>
      </c>
      <c r="B1349" s="28" t="str">
        <f>IFERROR(_xlfn.XLOOKUP(C1349,[1]DIRETORIA!C:C,[1]DIRETORIA!B:B),"-")</f>
        <v>-</v>
      </c>
      <c r="C1349" s="28">
        <f>IFERROR(_xlfn.XLOOKUP(E1349,[1]EMPREENDIMENTO!C:C,[1]EMPREENDIMENTO!A:A),"-")</f>
        <v>0</v>
      </c>
      <c r="D1349" s="28"/>
      <c r="E1349" s="28"/>
      <c r="F1349" s="28"/>
      <c r="G1349" s="28"/>
      <c r="H1349" s="28"/>
      <c r="I1349" s="29">
        <f>IFERROR(_xlfn.XLOOKUP(E1349,[1]EMPREENDIMENTO!C:C,[1]EMPREENDIMENTO!E:E),"0")</f>
        <v>0</v>
      </c>
      <c r="J1349" s="30"/>
      <c r="K1349" s="28"/>
      <c r="M1349" s="32"/>
      <c r="N1349" s="32"/>
      <c r="O1349" s="32"/>
      <c r="P1349" s="28"/>
      <c r="Q1349" s="28"/>
      <c r="R1349" s="30"/>
      <c r="S1349" s="30"/>
      <c r="T1349" s="33"/>
      <c r="U1349" s="34">
        <f>IFERROR(_xlfn.XLOOKUP(E1349,[1]EMPREENDIMENTO!C:C,[1]EMPREENDIMENTO!D:D),"")</f>
        <v>0</v>
      </c>
    </row>
    <row r="1350" spans="1:21" hidden="1" x14ac:dyDescent="0.35">
      <c r="A1350" s="28" t="str">
        <f>IFERROR(_xlfn.XLOOKUP(C1350,[1]DIRETORIA!C:C,[1]DIRETORIA!A:A),"-")</f>
        <v>-</v>
      </c>
      <c r="B1350" s="28" t="str">
        <f>IFERROR(_xlfn.XLOOKUP(C1350,[1]DIRETORIA!C:C,[1]DIRETORIA!B:B),"-")</f>
        <v>-</v>
      </c>
      <c r="C1350" s="28">
        <f>IFERROR(_xlfn.XLOOKUP(E1350,[1]EMPREENDIMENTO!C:C,[1]EMPREENDIMENTO!A:A),"-")</f>
        <v>0</v>
      </c>
      <c r="D1350" s="28"/>
      <c r="E1350" s="28"/>
      <c r="F1350" s="28"/>
      <c r="G1350" s="28"/>
      <c r="H1350" s="28"/>
      <c r="I1350" s="29">
        <f>IFERROR(_xlfn.XLOOKUP(E1350,[1]EMPREENDIMENTO!C:C,[1]EMPREENDIMENTO!E:E),"0")</f>
        <v>0</v>
      </c>
      <c r="J1350" s="30"/>
      <c r="K1350" s="28"/>
      <c r="M1350" s="32"/>
      <c r="N1350" s="32"/>
      <c r="O1350" s="32"/>
      <c r="P1350" s="28"/>
      <c r="Q1350" s="28"/>
      <c r="R1350" s="30"/>
      <c r="S1350" s="30"/>
      <c r="T1350" s="33"/>
      <c r="U1350" s="34">
        <f>IFERROR(_xlfn.XLOOKUP(E1350,[1]EMPREENDIMENTO!C:C,[1]EMPREENDIMENTO!D:D),"")</f>
        <v>0</v>
      </c>
    </row>
    <row r="1351" spans="1:21" hidden="1" x14ac:dyDescent="0.35">
      <c r="A1351" s="28" t="str">
        <f>IFERROR(_xlfn.XLOOKUP(C1351,[1]DIRETORIA!C:C,[1]DIRETORIA!A:A),"-")</f>
        <v>-</v>
      </c>
      <c r="B1351" s="28" t="str">
        <f>IFERROR(_xlfn.XLOOKUP(C1351,[1]DIRETORIA!C:C,[1]DIRETORIA!B:B),"-")</f>
        <v>-</v>
      </c>
      <c r="C1351" s="28">
        <f>IFERROR(_xlfn.XLOOKUP(E1351,[1]EMPREENDIMENTO!C:C,[1]EMPREENDIMENTO!A:A),"-")</f>
        <v>0</v>
      </c>
      <c r="D1351" s="28"/>
      <c r="E1351" s="28"/>
      <c r="F1351" s="28"/>
      <c r="G1351" s="28"/>
      <c r="H1351" s="28"/>
      <c r="I1351" s="29">
        <f>IFERROR(_xlfn.XLOOKUP(E1351,[1]EMPREENDIMENTO!C:C,[1]EMPREENDIMENTO!E:E),"0")</f>
        <v>0</v>
      </c>
      <c r="J1351" s="30"/>
      <c r="K1351" s="28"/>
      <c r="M1351" s="32"/>
      <c r="N1351" s="32"/>
      <c r="O1351" s="32"/>
      <c r="P1351" s="28"/>
      <c r="Q1351" s="28"/>
      <c r="R1351" s="30"/>
      <c r="S1351" s="30"/>
      <c r="T1351" s="33"/>
      <c r="U1351" s="34">
        <f>IFERROR(_xlfn.XLOOKUP(E1351,[1]EMPREENDIMENTO!C:C,[1]EMPREENDIMENTO!D:D),"")</f>
        <v>0</v>
      </c>
    </row>
    <row r="1352" spans="1:21" hidden="1" x14ac:dyDescent="0.35">
      <c r="A1352" s="28" t="str">
        <f>IFERROR(_xlfn.XLOOKUP(C1352,[1]DIRETORIA!C:C,[1]DIRETORIA!A:A),"-")</f>
        <v>-</v>
      </c>
      <c r="B1352" s="28" t="str">
        <f>IFERROR(_xlfn.XLOOKUP(C1352,[1]DIRETORIA!C:C,[1]DIRETORIA!B:B),"-")</f>
        <v>-</v>
      </c>
      <c r="C1352" s="28">
        <f>IFERROR(_xlfn.XLOOKUP(E1352,[1]EMPREENDIMENTO!C:C,[1]EMPREENDIMENTO!A:A),"-")</f>
        <v>0</v>
      </c>
      <c r="D1352" s="28"/>
      <c r="E1352" s="28"/>
      <c r="F1352" s="28"/>
      <c r="G1352" s="28"/>
      <c r="H1352" s="28"/>
      <c r="I1352" s="29">
        <f>IFERROR(_xlfn.XLOOKUP(E1352,[1]EMPREENDIMENTO!C:C,[1]EMPREENDIMENTO!E:E),"0")</f>
        <v>0</v>
      </c>
      <c r="J1352" s="30"/>
      <c r="K1352" s="28"/>
      <c r="M1352" s="32"/>
      <c r="N1352" s="32"/>
      <c r="O1352" s="32"/>
      <c r="P1352" s="28"/>
      <c r="Q1352" s="28"/>
      <c r="R1352" s="30"/>
      <c r="S1352" s="30"/>
      <c r="T1352" s="33"/>
      <c r="U1352" s="34">
        <f>IFERROR(_xlfn.XLOOKUP(E1352,[1]EMPREENDIMENTO!C:C,[1]EMPREENDIMENTO!D:D),"")</f>
        <v>0</v>
      </c>
    </row>
    <row r="1353" spans="1:21" hidden="1" x14ac:dyDescent="0.35">
      <c r="A1353" s="28" t="str">
        <f>IFERROR(_xlfn.XLOOKUP(C1353,[1]DIRETORIA!C:C,[1]DIRETORIA!A:A),"-")</f>
        <v>-</v>
      </c>
      <c r="B1353" s="28" t="str">
        <f>IFERROR(_xlfn.XLOOKUP(C1353,[1]DIRETORIA!C:C,[1]DIRETORIA!B:B),"-")</f>
        <v>-</v>
      </c>
      <c r="C1353" s="28">
        <f>IFERROR(_xlfn.XLOOKUP(E1353,[1]EMPREENDIMENTO!C:C,[1]EMPREENDIMENTO!A:A),"-")</f>
        <v>0</v>
      </c>
      <c r="D1353" s="28"/>
      <c r="E1353" s="28"/>
      <c r="F1353" s="28"/>
      <c r="G1353" s="28"/>
      <c r="H1353" s="28"/>
      <c r="I1353" s="29">
        <f>IFERROR(_xlfn.XLOOKUP(E1353,[1]EMPREENDIMENTO!C:C,[1]EMPREENDIMENTO!E:E),"0")</f>
        <v>0</v>
      </c>
      <c r="J1353" s="30"/>
      <c r="K1353" s="28"/>
      <c r="M1353" s="32"/>
      <c r="N1353" s="32"/>
      <c r="O1353" s="32"/>
      <c r="P1353" s="28"/>
      <c r="Q1353" s="28"/>
      <c r="R1353" s="30"/>
      <c r="S1353" s="30"/>
      <c r="T1353" s="33"/>
      <c r="U1353" s="34">
        <f>IFERROR(_xlfn.XLOOKUP(E1353,[1]EMPREENDIMENTO!C:C,[1]EMPREENDIMENTO!D:D),"")</f>
        <v>0</v>
      </c>
    </row>
    <row r="1354" spans="1:21" hidden="1" x14ac:dyDescent="0.35">
      <c r="A1354" s="28" t="str">
        <f>IFERROR(_xlfn.XLOOKUP(C1354,[1]DIRETORIA!C:C,[1]DIRETORIA!A:A),"-")</f>
        <v>-</v>
      </c>
      <c r="B1354" s="28" t="str">
        <f>IFERROR(_xlfn.XLOOKUP(C1354,[1]DIRETORIA!C:C,[1]DIRETORIA!B:B),"-")</f>
        <v>-</v>
      </c>
      <c r="C1354" s="28">
        <f>IFERROR(_xlfn.XLOOKUP(E1354,[1]EMPREENDIMENTO!C:C,[1]EMPREENDIMENTO!A:A),"-")</f>
        <v>0</v>
      </c>
      <c r="D1354" s="28"/>
      <c r="E1354" s="28"/>
      <c r="F1354" s="28"/>
      <c r="G1354" s="28"/>
      <c r="H1354" s="28"/>
      <c r="I1354" s="29">
        <f>IFERROR(_xlfn.XLOOKUP(E1354,[1]EMPREENDIMENTO!C:C,[1]EMPREENDIMENTO!E:E),"0")</f>
        <v>0</v>
      </c>
      <c r="J1354" s="30"/>
      <c r="K1354" s="28"/>
      <c r="M1354" s="32"/>
      <c r="N1354" s="32"/>
      <c r="O1354" s="32"/>
      <c r="P1354" s="28"/>
      <c r="Q1354" s="28"/>
      <c r="R1354" s="30"/>
      <c r="S1354" s="30"/>
      <c r="T1354" s="33"/>
      <c r="U1354" s="34">
        <f>IFERROR(_xlfn.XLOOKUP(E1354,[1]EMPREENDIMENTO!C:C,[1]EMPREENDIMENTO!D:D),"")</f>
        <v>0</v>
      </c>
    </row>
    <row r="1355" spans="1:21" hidden="1" x14ac:dyDescent="0.35">
      <c r="A1355" s="28" t="str">
        <f>IFERROR(_xlfn.XLOOKUP(C1355,[1]DIRETORIA!C:C,[1]DIRETORIA!A:A),"-")</f>
        <v>-</v>
      </c>
      <c r="B1355" s="28" t="str">
        <f>IFERROR(_xlfn.XLOOKUP(C1355,[1]DIRETORIA!C:C,[1]DIRETORIA!B:B),"-")</f>
        <v>-</v>
      </c>
      <c r="C1355" s="28">
        <f>IFERROR(_xlfn.XLOOKUP(E1355,[1]EMPREENDIMENTO!C:C,[1]EMPREENDIMENTO!A:A),"-")</f>
        <v>0</v>
      </c>
      <c r="D1355" s="28"/>
      <c r="E1355" s="28"/>
      <c r="F1355" s="28"/>
      <c r="G1355" s="28"/>
      <c r="H1355" s="28"/>
      <c r="I1355" s="29">
        <f>IFERROR(_xlfn.XLOOKUP(E1355,[1]EMPREENDIMENTO!C:C,[1]EMPREENDIMENTO!E:E),"0")</f>
        <v>0</v>
      </c>
      <c r="J1355" s="30"/>
      <c r="K1355" s="28"/>
      <c r="M1355" s="32"/>
      <c r="N1355" s="32"/>
      <c r="O1355" s="32"/>
      <c r="P1355" s="28"/>
      <c r="Q1355" s="28"/>
      <c r="R1355" s="30"/>
      <c r="S1355" s="30"/>
      <c r="T1355" s="33"/>
      <c r="U1355" s="34">
        <f>IFERROR(_xlfn.XLOOKUP(E1355,[1]EMPREENDIMENTO!C:C,[1]EMPREENDIMENTO!D:D),"")</f>
        <v>0</v>
      </c>
    </row>
    <row r="1356" spans="1:21" hidden="1" x14ac:dyDescent="0.35">
      <c r="A1356" s="28" t="str">
        <f>IFERROR(_xlfn.XLOOKUP(C1356,[1]DIRETORIA!C:C,[1]DIRETORIA!A:A),"-")</f>
        <v>-</v>
      </c>
      <c r="B1356" s="28" t="str">
        <f>IFERROR(_xlfn.XLOOKUP(C1356,[1]DIRETORIA!C:C,[1]DIRETORIA!B:B),"-")</f>
        <v>-</v>
      </c>
      <c r="C1356" s="28">
        <f>IFERROR(_xlfn.XLOOKUP(E1356,[1]EMPREENDIMENTO!C:C,[1]EMPREENDIMENTO!A:A),"-")</f>
        <v>0</v>
      </c>
      <c r="D1356" s="28"/>
      <c r="E1356" s="28"/>
      <c r="F1356" s="28"/>
      <c r="G1356" s="28"/>
      <c r="H1356" s="28"/>
      <c r="I1356" s="29">
        <f>IFERROR(_xlfn.XLOOKUP(E1356,[1]EMPREENDIMENTO!C:C,[1]EMPREENDIMENTO!E:E),"0")</f>
        <v>0</v>
      </c>
      <c r="J1356" s="30"/>
      <c r="K1356" s="28"/>
      <c r="M1356" s="32"/>
      <c r="N1356" s="32"/>
      <c r="O1356" s="32"/>
      <c r="P1356" s="28"/>
      <c r="Q1356" s="28"/>
      <c r="R1356" s="30"/>
      <c r="S1356" s="30"/>
      <c r="T1356" s="33"/>
      <c r="U1356" s="34">
        <f>IFERROR(_xlfn.XLOOKUP(E1356,[1]EMPREENDIMENTO!C:C,[1]EMPREENDIMENTO!D:D),"")</f>
        <v>0</v>
      </c>
    </row>
    <row r="1357" spans="1:21" hidden="1" x14ac:dyDescent="0.35">
      <c r="A1357" s="28" t="str">
        <f>IFERROR(_xlfn.XLOOKUP(C1357,[1]DIRETORIA!C:C,[1]DIRETORIA!A:A),"-")</f>
        <v>-</v>
      </c>
      <c r="B1357" s="28" t="str">
        <f>IFERROR(_xlfn.XLOOKUP(C1357,[1]DIRETORIA!C:C,[1]DIRETORIA!B:B),"-")</f>
        <v>-</v>
      </c>
      <c r="C1357" s="28">
        <f>IFERROR(_xlfn.XLOOKUP(E1357,[1]EMPREENDIMENTO!C:C,[1]EMPREENDIMENTO!A:A),"-")</f>
        <v>0</v>
      </c>
      <c r="D1357" s="28"/>
      <c r="E1357" s="28"/>
      <c r="F1357" s="28"/>
      <c r="G1357" s="28"/>
      <c r="H1357" s="28"/>
      <c r="I1357" s="29">
        <f>IFERROR(_xlfn.XLOOKUP(E1357,[1]EMPREENDIMENTO!C:C,[1]EMPREENDIMENTO!E:E),"0")</f>
        <v>0</v>
      </c>
      <c r="J1357" s="30"/>
      <c r="K1357" s="28"/>
      <c r="M1357" s="32"/>
      <c r="N1357" s="32"/>
      <c r="O1357" s="32"/>
      <c r="P1357" s="28"/>
      <c r="Q1357" s="28"/>
      <c r="R1357" s="30"/>
      <c r="S1357" s="30"/>
      <c r="T1357" s="33"/>
      <c r="U1357" s="34">
        <f>IFERROR(_xlfn.XLOOKUP(E1357,[1]EMPREENDIMENTO!C:C,[1]EMPREENDIMENTO!D:D),"")</f>
        <v>0</v>
      </c>
    </row>
    <row r="1358" spans="1:21" hidden="1" x14ac:dyDescent="0.35">
      <c r="A1358" s="28" t="str">
        <f>IFERROR(_xlfn.XLOOKUP(C1358,[1]DIRETORIA!C:C,[1]DIRETORIA!A:A),"-")</f>
        <v>-</v>
      </c>
      <c r="B1358" s="28" t="str">
        <f>IFERROR(_xlfn.XLOOKUP(C1358,[1]DIRETORIA!C:C,[1]DIRETORIA!B:B),"-")</f>
        <v>-</v>
      </c>
      <c r="C1358" s="28">
        <f>IFERROR(_xlfn.XLOOKUP(E1358,[1]EMPREENDIMENTO!C:C,[1]EMPREENDIMENTO!A:A),"-")</f>
        <v>0</v>
      </c>
      <c r="D1358" s="28"/>
      <c r="E1358" s="28"/>
      <c r="F1358" s="28"/>
      <c r="G1358" s="28"/>
      <c r="H1358" s="28"/>
      <c r="I1358" s="29">
        <f>IFERROR(_xlfn.XLOOKUP(E1358,[1]EMPREENDIMENTO!C:C,[1]EMPREENDIMENTO!E:E),"0")</f>
        <v>0</v>
      </c>
      <c r="J1358" s="30"/>
      <c r="K1358" s="28"/>
      <c r="M1358" s="32"/>
      <c r="N1358" s="32"/>
      <c r="O1358" s="32"/>
      <c r="P1358" s="28"/>
      <c r="Q1358" s="28"/>
      <c r="R1358" s="30"/>
      <c r="S1358" s="30"/>
      <c r="T1358" s="33"/>
      <c r="U1358" s="34">
        <f>IFERROR(_xlfn.XLOOKUP(E1358,[1]EMPREENDIMENTO!C:C,[1]EMPREENDIMENTO!D:D),"")</f>
        <v>0</v>
      </c>
    </row>
    <row r="1359" spans="1:21" hidden="1" x14ac:dyDescent="0.35">
      <c r="A1359" s="28" t="str">
        <f>IFERROR(_xlfn.XLOOKUP(C1359,[1]DIRETORIA!C:C,[1]DIRETORIA!A:A),"-")</f>
        <v>-</v>
      </c>
      <c r="B1359" s="28" t="str">
        <f>IFERROR(_xlfn.XLOOKUP(C1359,[1]DIRETORIA!C:C,[1]DIRETORIA!B:B),"-")</f>
        <v>-</v>
      </c>
      <c r="C1359" s="28">
        <f>IFERROR(_xlfn.XLOOKUP(E1359,[1]EMPREENDIMENTO!C:C,[1]EMPREENDIMENTO!A:A),"-")</f>
        <v>0</v>
      </c>
      <c r="D1359" s="28"/>
      <c r="E1359" s="28"/>
      <c r="F1359" s="28"/>
      <c r="G1359" s="28"/>
      <c r="H1359" s="28"/>
      <c r="I1359" s="29">
        <f>IFERROR(_xlfn.XLOOKUP(E1359,[1]EMPREENDIMENTO!C:C,[1]EMPREENDIMENTO!E:E),"0")</f>
        <v>0</v>
      </c>
      <c r="J1359" s="30"/>
      <c r="K1359" s="28"/>
      <c r="M1359" s="32"/>
      <c r="N1359" s="32"/>
      <c r="O1359" s="32"/>
      <c r="P1359" s="28"/>
      <c r="Q1359" s="28"/>
      <c r="R1359" s="30"/>
      <c r="S1359" s="30"/>
      <c r="T1359" s="33"/>
      <c r="U1359" s="34">
        <f>IFERROR(_xlfn.XLOOKUP(E1359,[1]EMPREENDIMENTO!C:C,[1]EMPREENDIMENTO!D:D),"")</f>
        <v>0</v>
      </c>
    </row>
    <row r="1360" spans="1:21" hidden="1" x14ac:dyDescent="0.35">
      <c r="A1360" s="28" t="str">
        <f>IFERROR(_xlfn.XLOOKUP(C1360,[1]DIRETORIA!C:C,[1]DIRETORIA!A:A),"-")</f>
        <v>-</v>
      </c>
      <c r="B1360" s="28" t="str">
        <f>IFERROR(_xlfn.XLOOKUP(C1360,[1]DIRETORIA!C:C,[1]DIRETORIA!B:B),"-")</f>
        <v>-</v>
      </c>
      <c r="C1360" s="28">
        <f>IFERROR(_xlfn.XLOOKUP(E1360,[1]EMPREENDIMENTO!C:C,[1]EMPREENDIMENTO!A:A),"-")</f>
        <v>0</v>
      </c>
      <c r="D1360" s="28"/>
      <c r="E1360" s="28"/>
      <c r="F1360" s="28"/>
      <c r="G1360" s="28"/>
      <c r="H1360" s="28"/>
      <c r="I1360" s="29">
        <f>IFERROR(_xlfn.XLOOKUP(E1360,[1]EMPREENDIMENTO!C:C,[1]EMPREENDIMENTO!E:E),"0")</f>
        <v>0</v>
      </c>
      <c r="J1360" s="30"/>
      <c r="K1360" s="28"/>
      <c r="M1360" s="32"/>
      <c r="N1360" s="32"/>
      <c r="O1360" s="32"/>
      <c r="P1360" s="28"/>
      <c r="Q1360" s="28"/>
      <c r="R1360" s="30"/>
      <c r="S1360" s="30"/>
      <c r="T1360" s="33"/>
      <c r="U1360" s="34">
        <f>IFERROR(_xlfn.XLOOKUP(E1360,[1]EMPREENDIMENTO!C:C,[1]EMPREENDIMENTO!D:D),"")</f>
        <v>0</v>
      </c>
    </row>
    <row r="1361" spans="1:21" hidden="1" x14ac:dyDescent="0.35">
      <c r="A1361" s="28" t="str">
        <f>IFERROR(_xlfn.XLOOKUP(C1361,[1]DIRETORIA!C:C,[1]DIRETORIA!A:A),"-")</f>
        <v>-</v>
      </c>
      <c r="B1361" s="28" t="str">
        <f>IFERROR(_xlfn.XLOOKUP(C1361,[1]DIRETORIA!C:C,[1]DIRETORIA!B:B),"-")</f>
        <v>-</v>
      </c>
      <c r="C1361" s="28">
        <f>IFERROR(_xlfn.XLOOKUP(E1361,[1]EMPREENDIMENTO!C:C,[1]EMPREENDIMENTO!A:A),"-")</f>
        <v>0</v>
      </c>
      <c r="D1361" s="28"/>
      <c r="E1361" s="28"/>
      <c r="F1361" s="28"/>
      <c r="G1361" s="28"/>
      <c r="H1361" s="28"/>
      <c r="I1361" s="29">
        <f>IFERROR(_xlfn.XLOOKUP(E1361,[1]EMPREENDIMENTO!C:C,[1]EMPREENDIMENTO!E:E),"0")</f>
        <v>0</v>
      </c>
      <c r="J1361" s="30"/>
      <c r="K1361" s="28"/>
      <c r="M1361" s="32"/>
      <c r="N1361" s="32"/>
      <c r="O1361" s="32"/>
      <c r="P1361" s="28"/>
      <c r="Q1361" s="28"/>
      <c r="R1361" s="30"/>
      <c r="S1361" s="30"/>
      <c r="T1361" s="33"/>
      <c r="U1361" s="34">
        <f>IFERROR(_xlfn.XLOOKUP(E1361,[1]EMPREENDIMENTO!C:C,[1]EMPREENDIMENTO!D:D),"")</f>
        <v>0</v>
      </c>
    </row>
    <row r="1362" spans="1:21" hidden="1" x14ac:dyDescent="0.35">
      <c r="A1362" s="28" t="str">
        <f>IFERROR(_xlfn.XLOOKUP(C1362,[1]DIRETORIA!C:C,[1]DIRETORIA!A:A),"-")</f>
        <v>-</v>
      </c>
      <c r="B1362" s="28" t="str">
        <f>IFERROR(_xlfn.XLOOKUP(C1362,[1]DIRETORIA!C:C,[1]DIRETORIA!B:B),"-")</f>
        <v>-</v>
      </c>
      <c r="C1362" s="28">
        <f>IFERROR(_xlfn.XLOOKUP(E1362,[1]EMPREENDIMENTO!C:C,[1]EMPREENDIMENTO!A:A),"-")</f>
        <v>0</v>
      </c>
      <c r="D1362" s="28"/>
      <c r="E1362" s="28"/>
      <c r="F1362" s="28"/>
      <c r="G1362" s="28"/>
      <c r="H1362" s="28"/>
      <c r="I1362" s="29">
        <f>IFERROR(_xlfn.XLOOKUP(E1362,[1]EMPREENDIMENTO!C:C,[1]EMPREENDIMENTO!E:E),"0")</f>
        <v>0</v>
      </c>
      <c r="J1362" s="30"/>
      <c r="K1362" s="28"/>
      <c r="M1362" s="32"/>
      <c r="N1362" s="32"/>
      <c r="O1362" s="32"/>
      <c r="P1362" s="28"/>
      <c r="Q1362" s="28"/>
      <c r="R1362" s="30"/>
      <c r="S1362" s="30"/>
      <c r="T1362" s="33"/>
      <c r="U1362" s="34">
        <f>IFERROR(_xlfn.XLOOKUP(E1362,[1]EMPREENDIMENTO!C:C,[1]EMPREENDIMENTO!D:D),"")</f>
        <v>0</v>
      </c>
    </row>
    <row r="1363" spans="1:21" hidden="1" x14ac:dyDescent="0.35">
      <c r="A1363" s="28" t="str">
        <f>IFERROR(_xlfn.XLOOKUP(C1363,[1]DIRETORIA!C:C,[1]DIRETORIA!A:A),"-")</f>
        <v>-</v>
      </c>
      <c r="B1363" s="28" t="str">
        <f>IFERROR(_xlfn.XLOOKUP(C1363,[1]DIRETORIA!C:C,[1]DIRETORIA!B:B),"-")</f>
        <v>-</v>
      </c>
      <c r="C1363" s="28">
        <f>IFERROR(_xlfn.XLOOKUP(E1363,[1]EMPREENDIMENTO!C:C,[1]EMPREENDIMENTO!A:A),"-")</f>
        <v>0</v>
      </c>
      <c r="D1363" s="28"/>
      <c r="E1363" s="28"/>
      <c r="F1363" s="28"/>
      <c r="G1363" s="28"/>
      <c r="H1363" s="28"/>
      <c r="I1363" s="29">
        <f>IFERROR(_xlfn.XLOOKUP(E1363,[1]EMPREENDIMENTO!C:C,[1]EMPREENDIMENTO!E:E),"0")</f>
        <v>0</v>
      </c>
      <c r="J1363" s="30"/>
      <c r="K1363" s="28"/>
      <c r="M1363" s="32"/>
      <c r="N1363" s="32"/>
      <c r="O1363" s="32"/>
      <c r="P1363" s="28"/>
      <c r="Q1363" s="28"/>
      <c r="R1363" s="30"/>
      <c r="S1363" s="30"/>
      <c r="T1363" s="33"/>
      <c r="U1363" s="34">
        <f>IFERROR(_xlfn.XLOOKUP(E1363,[1]EMPREENDIMENTO!C:C,[1]EMPREENDIMENTO!D:D),"")</f>
        <v>0</v>
      </c>
    </row>
    <row r="1364" spans="1:21" hidden="1" x14ac:dyDescent="0.35">
      <c r="A1364" s="28" t="str">
        <f>IFERROR(_xlfn.XLOOKUP(C1364,[1]DIRETORIA!C:C,[1]DIRETORIA!A:A),"-")</f>
        <v>-</v>
      </c>
      <c r="B1364" s="28" t="str">
        <f>IFERROR(_xlfn.XLOOKUP(C1364,[1]DIRETORIA!C:C,[1]DIRETORIA!B:B),"-")</f>
        <v>-</v>
      </c>
      <c r="C1364" s="28">
        <f>IFERROR(_xlfn.XLOOKUP(E1364,[1]EMPREENDIMENTO!C:C,[1]EMPREENDIMENTO!A:A),"-")</f>
        <v>0</v>
      </c>
      <c r="D1364" s="28"/>
      <c r="E1364" s="28"/>
      <c r="F1364" s="28"/>
      <c r="G1364" s="28"/>
      <c r="H1364" s="28"/>
      <c r="I1364" s="29">
        <f>IFERROR(_xlfn.XLOOKUP(E1364,[1]EMPREENDIMENTO!C:C,[1]EMPREENDIMENTO!E:E),"0")</f>
        <v>0</v>
      </c>
      <c r="J1364" s="30"/>
      <c r="K1364" s="28"/>
      <c r="M1364" s="32"/>
      <c r="N1364" s="32"/>
      <c r="O1364" s="32"/>
      <c r="P1364" s="28"/>
      <c r="Q1364" s="28"/>
      <c r="R1364" s="30"/>
      <c r="S1364" s="30"/>
      <c r="T1364" s="33"/>
      <c r="U1364" s="34">
        <f>IFERROR(_xlfn.XLOOKUP(E1364,[1]EMPREENDIMENTO!C:C,[1]EMPREENDIMENTO!D:D),"")</f>
        <v>0</v>
      </c>
    </row>
    <row r="1365" spans="1:21" hidden="1" x14ac:dyDescent="0.35">
      <c r="A1365" s="28" t="str">
        <f>IFERROR(_xlfn.XLOOKUP(C1365,[1]DIRETORIA!C:C,[1]DIRETORIA!A:A),"-")</f>
        <v>-</v>
      </c>
      <c r="B1365" s="28" t="str">
        <f>IFERROR(_xlfn.XLOOKUP(C1365,[1]DIRETORIA!C:C,[1]DIRETORIA!B:B),"-")</f>
        <v>-</v>
      </c>
      <c r="C1365" s="28">
        <f>IFERROR(_xlfn.XLOOKUP(E1365,[1]EMPREENDIMENTO!C:C,[1]EMPREENDIMENTO!A:A),"-")</f>
        <v>0</v>
      </c>
      <c r="D1365" s="28"/>
      <c r="E1365" s="28"/>
      <c r="F1365" s="28"/>
      <c r="G1365" s="28"/>
      <c r="H1365" s="28"/>
      <c r="I1365" s="29">
        <f>IFERROR(_xlfn.XLOOKUP(E1365,[1]EMPREENDIMENTO!C:C,[1]EMPREENDIMENTO!E:E),"0")</f>
        <v>0</v>
      </c>
      <c r="J1365" s="30"/>
      <c r="K1365" s="28"/>
      <c r="M1365" s="32"/>
      <c r="N1365" s="32"/>
      <c r="O1365" s="32"/>
      <c r="P1365" s="28"/>
      <c r="Q1365" s="28"/>
      <c r="R1365" s="30"/>
      <c r="S1365" s="30"/>
      <c r="T1365" s="33"/>
      <c r="U1365" s="34">
        <f>IFERROR(_xlfn.XLOOKUP(E1365,[1]EMPREENDIMENTO!C:C,[1]EMPREENDIMENTO!D:D),"")</f>
        <v>0</v>
      </c>
    </row>
    <row r="1366" spans="1:21" hidden="1" x14ac:dyDescent="0.35">
      <c r="A1366" s="28" t="str">
        <f>IFERROR(_xlfn.XLOOKUP(C1366,[1]DIRETORIA!C:C,[1]DIRETORIA!A:A),"-")</f>
        <v>-</v>
      </c>
      <c r="B1366" s="28" t="str">
        <f>IFERROR(_xlfn.XLOOKUP(C1366,[1]DIRETORIA!C:C,[1]DIRETORIA!B:B),"-")</f>
        <v>-</v>
      </c>
      <c r="C1366" s="28">
        <f>IFERROR(_xlfn.XLOOKUP(E1366,[1]EMPREENDIMENTO!C:C,[1]EMPREENDIMENTO!A:A),"-")</f>
        <v>0</v>
      </c>
      <c r="D1366" s="28"/>
      <c r="E1366" s="28"/>
      <c r="F1366" s="28"/>
      <c r="G1366" s="28"/>
      <c r="H1366" s="28"/>
      <c r="I1366" s="29">
        <f>IFERROR(_xlfn.XLOOKUP(E1366,[1]EMPREENDIMENTO!C:C,[1]EMPREENDIMENTO!E:E),"0")</f>
        <v>0</v>
      </c>
      <c r="J1366" s="30"/>
      <c r="K1366" s="28"/>
      <c r="M1366" s="32"/>
      <c r="N1366" s="32"/>
      <c r="O1366" s="32"/>
      <c r="P1366" s="28"/>
      <c r="Q1366" s="28"/>
      <c r="R1366" s="30"/>
      <c r="S1366" s="30"/>
      <c r="T1366" s="33"/>
      <c r="U1366" s="34">
        <f>IFERROR(_xlfn.XLOOKUP(E1366,[1]EMPREENDIMENTO!C:C,[1]EMPREENDIMENTO!D:D),"")</f>
        <v>0</v>
      </c>
    </row>
    <row r="1367" spans="1:21" hidden="1" x14ac:dyDescent="0.35">
      <c r="A1367" s="28" t="str">
        <f>IFERROR(_xlfn.XLOOKUP(C1367,[1]DIRETORIA!C:C,[1]DIRETORIA!A:A),"-")</f>
        <v>-</v>
      </c>
      <c r="B1367" s="28" t="str">
        <f>IFERROR(_xlfn.XLOOKUP(C1367,[1]DIRETORIA!C:C,[1]DIRETORIA!B:B),"-")</f>
        <v>-</v>
      </c>
      <c r="C1367" s="28">
        <f>IFERROR(_xlfn.XLOOKUP(E1367,[1]EMPREENDIMENTO!C:C,[1]EMPREENDIMENTO!A:A),"-")</f>
        <v>0</v>
      </c>
      <c r="D1367" s="28"/>
      <c r="E1367" s="28"/>
      <c r="F1367" s="28"/>
      <c r="G1367" s="28"/>
      <c r="H1367" s="28"/>
      <c r="I1367" s="29">
        <f>IFERROR(_xlfn.XLOOKUP(E1367,[1]EMPREENDIMENTO!C:C,[1]EMPREENDIMENTO!E:E),"0")</f>
        <v>0</v>
      </c>
      <c r="J1367" s="30"/>
      <c r="K1367" s="28"/>
      <c r="M1367" s="32"/>
      <c r="N1367" s="32"/>
      <c r="O1367" s="32"/>
      <c r="P1367" s="28"/>
      <c r="Q1367" s="28"/>
      <c r="R1367" s="30"/>
      <c r="S1367" s="30"/>
      <c r="T1367" s="33"/>
      <c r="U1367" s="34">
        <f>IFERROR(_xlfn.XLOOKUP(E1367,[1]EMPREENDIMENTO!C:C,[1]EMPREENDIMENTO!D:D),"")</f>
        <v>0</v>
      </c>
    </row>
    <row r="1368" spans="1:21" hidden="1" x14ac:dyDescent="0.35">
      <c r="A1368" s="28" t="str">
        <f>IFERROR(_xlfn.XLOOKUP(C1368,[1]DIRETORIA!C:C,[1]DIRETORIA!A:A),"-")</f>
        <v>-</v>
      </c>
      <c r="B1368" s="28" t="str">
        <f>IFERROR(_xlfn.XLOOKUP(C1368,[1]DIRETORIA!C:C,[1]DIRETORIA!B:B),"-")</f>
        <v>-</v>
      </c>
      <c r="C1368" s="28">
        <f>IFERROR(_xlfn.XLOOKUP(E1368,[1]EMPREENDIMENTO!C:C,[1]EMPREENDIMENTO!A:A),"-")</f>
        <v>0</v>
      </c>
      <c r="D1368" s="28"/>
      <c r="E1368" s="28"/>
      <c r="F1368" s="28"/>
      <c r="G1368" s="28"/>
      <c r="H1368" s="28"/>
      <c r="I1368" s="29">
        <f>IFERROR(_xlfn.XLOOKUP(E1368,[1]EMPREENDIMENTO!C:C,[1]EMPREENDIMENTO!E:E),"0")</f>
        <v>0</v>
      </c>
      <c r="J1368" s="30"/>
      <c r="K1368" s="28"/>
      <c r="M1368" s="32"/>
      <c r="N1368" s="32"/>
      <c r="O1368" s="32"/>
      <c r="P1368" s="28"/>
      <c r="Q1368" s="28"/>
      <c r="R1368" s="30"/>
      <c r="S1368" s="30"/>
      <c r="T1368" s="33"/>
      <c r="U1368" s="34">
        <f>IFERROR(_xlfn.XLOOKUP(E1368,[1]EMPREENDIMENTO!C:C,[1]EMPREENDIMENTO!D:D),"")</f>
        <v>0</v>
      </c>
    </row>
    <row r="1369" spans="1:21" hidden="1" x14ac:dyDescent="0.35">
      <c r="A1369" s="28" t="str">
        <f>IFERROR(_xlfn.XLOOKUP(C1369,[1]DIRETORIA!C:C,[1]DIRETORIA!A:A),"-")</f>
        <v>-</v>
      </c>
      <c r="B1369" s="28" t="str">
        <f>IFERROR(_xlfn.XLOOKUP(C1369,[1]DIRETORIA!C:C,[1]DIRETORIA!B:B),"-")</f>
        <v>-</v>
      </c>
      <c r="C1369" s="28">
        <f>IFERROR(_xlfn.XLOOKUP(E1369,[1]EMPREENDIMENTO!C:C,[1]EMPREENDIMENTO!A:A),"-")</f>
        <v>0</v>
      </c>
      <c r="D1369" s="28"/>
      <c r="E1369" s="28"/>
      <c r="F1369" s="28"/>
      <c r="G1369" s="28"/>
      <c r="H1369" s="28"/>
      <c r="I1369" s="29">
        <f>IFERROR(_xlfn.XLOOKUP(E1369,[1]EMPREENDIMENTO!C:C,[1]EMPREENDIMENTO!E:E),"0")</f>
        <v>0</v>
      </c>
      <c r="J1369" s="30"/>
      <c r="K1369" s="28"/>
      <c r="M1369" s="32"/>
      <c r="N1369" s="32"/>
      <c r="O1369" s="32"/>
      <c r="P1369" s="28"/>
      <c r="Q1369" s="28"/>
      <c r="R1369" s="30"/>
      <c r="S1369" s="30"/>
      <c r="T1369" s="33"/>
      <c r="U1369" s="34">
        <f>IFERROR(_xlfn.XLOOKUP(E1369,[1]EMPREENDIMENTO!C:C,[1]EMPREENDIMENTO!D:D),"")</f>
        <v>0</v>
      </c>
    </row>
    <row r="1370" spans="1:21" hidden="1" x14ac:dyDescent="0.35">
      <c r="A1370" s="28" t="str">
        <f>IFERROR(_xlfn.XLOOKUP(C1370,[1]DIRETORIA!C:C,[1]DIRETORIA!A:A),"-")</f>
        <v>-</v>
      </c>
      <c r="B1370" s="28" t="str">
        <f>IFERROR(_xlfn.XLOOKUP(C1370,[1]DIRETORIA!C:C,[1]DIRETORIA!B:B),"-")</f>
        <v>-</v>
      </c>
      <c r="C1370" s="28">
        <f>IFERROR(_xlfn.XLOOKUP(E1370,[1]EMPREENDIMENTO!C:C,[1]EMPREENDIMENTO!A:A),"-")</f>
        <v>0</v>
      </c>
      <c r="D1370" s="28"/>
      <c r="E1370" s="28"/>
      <c r="F1370" s="28"/>
      <c r="G1370" s="28"/>
      <c r="H1370" s="28"/>
      <c r="I1370" s="29">
        <f>IFERROR(_xlfn.XLOOKUP(E1370,[1]EMPREENDIMENTO!C:C,[1]EMPREENDIMENTO!E:E),"0")</f>
        <v>0</v>
      </c>
      <c r="J1370" s="30"/>
      <c r="K1370" s="28"/>
      <c r="M1370" s="32"/>
      <c r="N1370" s="32"/>
      <c r="O1370" s="32"/>
      <c r="P1370" s="28"/>
      <c r="Q1370" s="28"/>
      <c r="R1370" s="30"/>
      <c r="S1370" s="30"/>
      <c r="T1370" s="33"/>
      <c r="U1370" s="34">
        <f>IFERROR(_xlfn.XLOOKUP(E1370,[1]EMPREENDIMENTO!C:C,[1]EMPREENDIMENTO!D:D),"")</f>
        <v>0</v>
      </c>
    </row>
    <row r="1371" spans="1:21" hidden="1" x14ac:dyDescent="0.35">
      <c r="A1371" s="28" t="str">
        <f>IFERROR(_xlfn.XLOOKUP(C1371,[1]DIRETORIA!C:C,[1]DIRETORIA!A:A),"-")</f>
        <v>-</v>
      </c>
      <c r="B1371" s="28" t="str">
        <f>IFERROR(_xlfn.XLOOKUP(C1371,[1]DIRETORIA!C:C,[1]DIRETORIA!B:B),"-")</f>
        <v>-</v>
      </c>
      <c r="C1371" s="28">
        <f>IFERROR(_xlfn.XLOOKUP(E1371,[1]EMPREENDIMENTO!C:C,[1]EMPREENDIMENTO!A:A),"-")</f>
        <v>0</v>
      </c>
      <c r="D1371" s="28"/>
      <c r="E1371" s="28"/>
      <c r="F1371" s="28"/>
      <c r="G1371" s="28"/>
      <c r="H1371" s="28"/>
      <c r="I1371" s="29">
        <f>IFERROR(_xlfn.XLOOKUP(E1371,[1]EMPREENDIMENTO!C:C,[1]EMPREENDIMENTO!E:E),"0")</f>
        <v>0</v>
      </c>
      <c r="J1371" s="30"/>
      <c r="K1371" s="28"/>
      <c r="M1371" s="32"/>
      <c r="N1371" s="32"/>
      <c r="O1371" s="32"/>
      <c r="P1371" s="28"/>
      <c r="Q1371" s="28"/>
      <c r="R1371" s="30"/>
      <c r="S1371" s="30"/>
      <c r="T1371" s="33"/>
      <c r="U1371" s="34">
        <f>IFERROR(_xlfn.XLOOKUP(E1371,[1]EMPREENDIMENTO!C:C,[1]EMPREENDIMENTO!D:D),"")</f>
        <v>0</v>
      </c>
    </row>
    <row r="1372" spans="1:21" hidden="1" x14ac:dyDescent="0.35">
      <c r="A1372" s="28" t="str">
        <f>IFERROR(_xlfn.XLOOKUP(C1372,[1]DIRETORIA!C:C,[1]DIRETORIA!A:A),"-")</f>
        <v>-</v>
      </c>
      <c r="B1372" s="28" t="str">
        <f>IFERROR(_xlfn.XLOOKUP(C1372,[1]DIRETORIA!C:C,[1]DIRETORIA!B:B),"-")</f>
        <v>-</v>
      </c>
      <c r="C1372" s="28">
        <f>IFERROR(_xlfn.XLOOKUP(E1372,[1]EMPREENDIMENTO!C:C,[1]EMPREENDIMENTO!A:A),"-")</f>
        <v>0</v>
      </c>
      <c r="D1372" s="28"/>
      <c r="E1372" s="28"/>
      <c r="F1372" s="28"/>
      <c r="G1372" s="28"/>
      <c r="H1372" s="28"/>
      <c r="I1372" s="29">
        <f>IFERROR(_xlfn.XLOOKUP(E1372,[1]EMPREENDIMENTO!C:C,[1]EMPREENDIMENTO!E:E),"0")</f>
        <v>0</v>
      </c>
      <c r="J1372" s="30"/>
      <c r="K1372" s="28"/>
      <c r="M1372" s="32"/>
      <c r="N1372" s="32"/>
      <c r="O1372" s="32"/>
      <c r="P1372" s="28"/>
      <c r="Q1372" s="28"/>
      <c r="R1372" s="30"/>
      <c r="S1372" s="30"/>
      <c r="T1372" s="33"/>
      <c r="U1372" s="34">
        <f>IFERROR(_xlfn.XLOOKUP(E1372,[1]EMPREENDIMENTO!C:C,[1]EMPREENDIMENTO!D:D),"")</f>
        <v>0</v>
      </c>
    </row>
    <row r="1373" spans="1:21" hidden="1" x14ac:dyDescent="0.35">
      <c r="A1373" s="28" t="str">
        <f>IFERROR(_xlfn.XLOOKUP(C1373,[1]DIRETORIA!C:C,[1]DIRETORIA!A:A),"-")</f>
        <v>-</v>
      </c>
      <c r="B1373" s="28" t="str">
        <f>IFERROR(_xlfn.XLOOKUP(C1373,[1]DIRETORIA!C:C,[1]DIRETORIA!B:B),"-")</f>
        <v>-</v>
      </c>
      <c r="C1373" s="28">
        <f>IFERROR(_xlfn.XLOOKUP(E1373,[1]EMPREENDIMENTO!C:C,[1]EMPREENDIMENTO!A:A),"-")</f>
        <v>0</v>
      </c>
      <c r="D1373" s="28"/>
      <c r="E1373" s="28"/>
      <c r="F1373" s="28"/>
      <c r="G1373" s="28"/>
      <c r="H1373" s="28"/>
      <c r="I1373" s="29">
        <f>IFERROR(_xlfn.XLOOKUP(E1373,[1]EMPREENDIMENTO!C:C,[1]EMPREENDIMENTO!E:E),"0")</f>
        <v>0</v>
      </c>
      <c r="J1373" s="30"/>
      <c r="K1373" s="28"/>
      <c r="M1373" s="32"/>
      <c r="N1373" s="32"/>
      <c r="O1373" s="32"/>
      <c r="P1373" s="28"/>
      <c r="Q1373" s="28"/>
      <c r="R1373" s="30"/>
      <c r="S1373" s="30"/>
      <c r="T1373" s="33"/>
      <c r="U1373" s="34">
        <f>IFERROR(_xlfn.XLOOKUP(E1373,[1]EMPREENDIMENTO!C:C,[1]EMPREENDIMENTO!D:D),"")</f>
        <v>0</v>
      </c>
    </row>
    <row r="1374" spans="1:21" hidden="1" x14ac:dyDescent="0.35">
      <c r="A1374" s="28" t="str">
        <f>IFERROR(_xlfn.XLOOKUP(C1374,[1]DIRETORIA!C:C,[1]DIRETORIA!A:A),"-")</f>
        <v>-</v>
      </c>
      <c r="B1374" s="28" t="str">
        <f>IFERROR(_xlfn.XLOOKUP(C1374,[1]DIRETORIA!C:C,[1]DIRETORIA!B:B),"-")</f>
        <v>-</v>
      </c>
      <c r="C1374" s="28">
        <f>IFERROR(_xlfn.XLOOKUP(E1374,[1]EMPREENDIMENTO!C:C,[1]EMPREENDIMENTO!A:A),"-")</f>
        <v>0</v>
      </c>
      <c r="D1374" s="28"/>
      <c r="E1374" s="28"/>
      <c r="F1374" s="28"/>
      <c r="G1374" s="28"/>
      <c r="H1374" s="28"/>
      <c r="I1374" s="29">
        <f>IFERROR(_xlfn.XLOOKUP(E1374,[1]EMPREENDIMENTO!C:C,[1]EMPREENDIMENTO!E:E),"0")</f>
        <v>0</v>
      </c>
      <c r="J1374" s="30"/>
      <c r="K1374" s="28"/>
      <c r="M1374" s="32"/>
      <c r="N1374" s="32"/>
      <c r="O1374" s="32"/>
      <c r="P1374" s="28"/>
      <c r="Q1374" s="28"/>
      <c r="R1374" s="30"/>
      <c r="S1374" s="30"/>
      <c r="T1374" s="33"/>
      <c r="U1374" s="34">
        <f>IFERROR(_xlfn.XLOOKUP(E1374,[1]EMPREENDIMENTO!C:C,[1]EMPREENDIMENTO!D:D),"")</f>
        <v>0</v>
      </c>
    </row>
    <row r="1375" spans="1:21" hidden="1" x14ac:dyDescent="0.35">
      <c r="A1375" s="28" t="str">
        <f>IFERROR(_xlfn.XLOOKUP(C1375,[1]DIRETORIA!C:C,[1]DIRETORIA!A:A),"-")</f>
        <v>-</v>
      </c>
      <c r="B1375" s="28" t="str">
        <f>IFERROR(_xlfn.XLOOKUP(C1375,[1]DIRETORIA!C:C,[1]DIRETORIA!B:B),"-")</f>
        <v>-</v>
      </c>
      <c r="C1375" s="28">
        <f>IFERROR(_xlfn.XLOOKUP(E1375,[1]EMPREENDIMENTO!C:C,[1]EMPREENDIMENTO!A:A),"-")</f>
        <v>0</v>
      </c>
      <c r="D1375" s="28"/>
      <c r="E1375" s="28"/>
      <c r="F1375" s="28"/>
      <c r="G1375" s="28"/>
      <c r="H1375" s="28"/>
      <c r="I1375" s="29">
        <f>IFERROR(_xlfn.XLOOKUP(E1375,[1]EMPREENDIMENTO!C:C,[1]EMPREENDIMENTO!E:E),"0")</f>
        <v>0</v>
      </c>
      <c r="J1375" s="30"/>
      <c r="K1375" s="28"/>
      <c r="M1375" s="32"/>
      <c r="N1375" s="32"/>
      <c r="O1375" s="32"/>
      <c r="P1375" s="28"/>
      <c r="Q1375" s="28"/>
      <c r="R1375" s="30"/>
      <c r="S1375" s="30"/>
      <c r="T1375" s="33"/>
      <c r="U1375" s="34">
        <f>IFERROR(_xlfn.XLOOKUP(E1375,[1]EMPREENDIMENTO!C:C,[1]EMPREENDIMENTO!D:D),"")</f>
        <v>0</v>
      </c>
    </row>
    <row r="1376" spans="1:21" hidden="1" x14ac:dyDescent="0.35">
      <c r="A1376" s="28" t="str">
        <f>IFERROR(_xlfn.XLOOKUP(C1376,[1]DIRETORIA!C:C,[1]DIRETORIA!A:A),"-")</f>
        <v>-</v>
      </c>
      <c r="B1376" s="28" t="str">
        <f>IFERROR(_xlfn.XLOOKUP(C1376,[1]DIRETORIA!C:C,[1]DIRETORIA!B:B),"-")</f>
        <v>-</v>
      </c>
      <c r="C1376" s="28">
        <f>IFERROR(_xlfn.XLOOKUP(E1376,[1]EMPREENDIMENTO!C:C,[1]EMPREENDIMENTO!A:A),"-")</f>
        <v>0</v>
      </c>
      <c r="D1376" s="28"/>
      <c r="E1376" s="28"/>
      <c r="F1376" s="28"/>
      <c r="G1376" s="28"/>
      <c r="H1376" s="28"/>
      <c r="I1376" s="29">
        <f>IFERROR(_xlfn.XLOOKUP(E1376,[1]EMPREENDIMENTO!C:C,[1]EMPREENDIMENTO!E:E),"0")</f>
        <v>0</v>
      </c>
      <c r="J1376" s="30"/>
      <c r="K1376" s="28"/>
      <c r="M1376" s="32"/>
      <c r="N1376" s="32"/>
      <c r="O1376" s="32"/>
      <c r="P1376" s="28"/>
      <c r="Q1376" s="28"/>
      <c r="R1376" s="30"/>
      <c r="S1376" s="30"/>
      <c r="T1376" s="33"/>
      <c r="U1376" s="34">
        <f>IFERROR(_xlfn.XLOOKUP(E1376,[1]EMPREENDIMENTO!C:C,[1]EMPREENDIMENTO!D:D),"")</f>
        <v>0</v>
      </c>
    </row>
    <row r="1377" spans="1:21" hidden="1" x14ac:dyDescent="0.35">
      <c r="A1377" s="28" t="str">
        <f>IFERROR(_xlfn.XLOOKUP(C1377,[1]DIRETORIA!C:C,[1]DIRETORIA!A:A),"-")</f>
        <v>-</v>
      </c>
      <c r="B1377" s="28" t="str">
        <f>IFERROR(_xlfn.XLOOKUP(C1377,[1]DIRETORIA!C:C,[1]DIRETORIA!B:B),"-")</f>
        <v>-</v>
      </c>
      <c r="C1377" s="28">
        <f>IFERROR(_xlfn.XLOOKUP(E1377,[1]EMPREENDIMENTO!C:C,[1]EMPREENDIMENTO!A:A),"-")</f>
        <v>0</v>
      </c>
      <c r="D1377" s="28"/>
      <c r="E1377" s="28"/>
      <c r="F1377" s="28"/>
      <c r="G1377" s="28"/>
      <c r="H1377" s="28"/>
      <c r="I1377" s="29">
        <f>IFERROR(_xlfn.XLOOKUP(E1377,[1]EMPREENDIMENTO!C:C,[1]EMPREENDIMENTO!E:E),"0")</f>
        <v>0</v>
      </c>
      <c r="J1377" s="30"/>
      <c r="K1377" s="28"/>
      <c r="M1377" s="32"/>
      <c r="N1377" s="32"/>
      <c r="O1377" s="32"/>
      <c r="P1377" s="28"/>
      <c r="Q1377" s="28"/>
      <c r="R1377" s="30"/>
      <c r="S1377" s="30"/>
      <c r="T1377" s="33"/>
      <c r="U1377" s="34">
        <f>IFERROR(_xlfn.XLOOKUP(E1377,[1]EMPREENDIMENTO!C:C,[1]EMPREENDIMENTO!D:D),"")</f>
        <v>0</v>
      </c>
    </row>
    <row r="1378" spans="1:21" hidden="1" x14ac:dyDescent="0.35">
      <c r="A1378" s="28" t="str">
        <f>IFERROR(_xlfn.XLOOKUP(C1378,[1]DIRETORIA!C:C,[1]DIRETORIA!A:A),"-")</f>
        <v>-</v>
      </c>
      <c r="B1378" s="28" t="str">
        <f>IFERROR(_xlfn.XLOOKUP(C1378,[1]DIRETORIA!C:C,[1]DIRETORIA!B:B),"-")</f>
        <v>-</v>
      </c>
      <c r="C1378" s="28">
        <f>IFERROR(_xlfn.XLOOKUP(E1378,[1]EMPREENDIMENTO!C:C,[1]EMPREENDIMENTO!A:A),"-")</f>
        <v>0</v>
      </c>
      <c r="D1378" s="28"/>
      <c r="E1378" s="28"/>
      <c r="F1378" s="28"/>
      <c r="G1378" s="28"/>
      <c r="H1378" s="28"/>
      <c r="I1378" s="29">
        <f>IFERROR(_xlfn.XLOOKUP(E1378,[1]EMPREENDIMENTO!C:C,[1]EMPREENDIMENTO!E:E),"0")</f>
        <v>0</v>
      </c>
      <c r="J1378" s="30"/>
      <c r="K1378" s="28"/>
      <c r="M1378" s="32"/>
      <c r="N1378" s="32"/>
      <c r="O1378" s="32"/>
      <c r="P1378" s="28"/>
      <c r="Q1378" s="28"/>
      <c r="R1378" s="30"/>
      <c r="S1378" s="30"/>
      <c r="T1378" s="33"/>
      <c r="U1378" s="34">
        <f>IFERROR(_xlfn.XLOOKUP(E1378,[1]EMPREENDIMENTO!C:C,[1]EMPREENDIMENTO!D:D),"")</f>
        <v>0</v>
      </c>
    </row>
    <row r="1379" spans="1:21" hidden="1" x14ac:dyDescent="0.35">
      <c r="A1379" s="28" t="str">
        <f>IFERROR(_xlfn.XLOOKUP(C1379,[1]DIRETORIA!C:C,[1]DIRETORIA!A:A),"-")</f>
        <v>-</v>
      </c>
      <c r="B1379" s="28" t="str">
        <f>IFERROR(_xlfn.XLOOKUP(C1379,[1]DIRETORIA!C:C,[1]DIRETORIA!B:B),"-")</f>
        <v>-</v>
      </c>
      <c r="C1379" s="28">
        <f>IFERROR(_xlfn.XLOOKUP(E1379,[1]EMPREENDIMENTO!C:C,[1]EMPREENDIMENTO!A:A),"-")</f>
        <v>0</v>
      </c>
      <c r="D1379" s="28"/>
      <c r="E1379" s="28"/>
      <c r="F1379" s="28"/>
      <c r="G1379" s="28"/>
      <c r="H1379" s="28"/>
      <c r="I1379" s="29">
        <f>IFERROR(_xlfn.XLOOKUP(E1379,[1]EMPREENDIMENTO!C:C,[1]EMPREENDIMENTO!E:E),"0")</f>
        <v>0</v>
      </c>
      <c r="J1379" s="30"/>
      <c r="K1379" s="28"/>
      <c r="M1379" s="32"/>
      <c r="N1379" s="32"/>
      <c r="O1379" s="32"/>
      <c r="P1379" s="28"/>
      <c r="Q1379" s="28"/>
      <c r="R1379" s="30"/>
      <c r="S1379" s="30"/>
      <c r="T1379" s="33"/>
      <c r="U1379" s="34">
        <f>IFERROR(_xlfn.XLOOKUP(E1379,[1]EMPREENDIMENTO!C:C,[1]EMPREENDIMENTO!D:D),"")</f>
        <v>0</v>
      </c>
    </row>
    <row r="1380" spans="1:21" hidden="1" x14ac:dyDescent="0.35">
      <c r="A1380" s="28" t="str">
        <f>IFERROR(_xlfn.XLOOKUP(C1380,[1]DIRETORIA!C:C,[1]DIRETORIA!A:A),"-")</f>
        <v>-</v>
      </c>
      <c r="B1380" s="28" t="str">
        <f>IFERROR(_xlfn.XLOOKUP(C1380,[1]DIRETORIA!C:C,[1]DIRETORIA!B:B),"-")</f>
        <v>-</v>
      </c>
      <c r="C1380" s="28">
        <f>IFERROR(_xlfn.XLOOKUP(E1380,[1]EMPREENDIMENTO!C:C,[1]EMPREENDIMENTO!A:A),"-")</f>
        <v>0</v>
      </c>
      <c r="D1380" s="28"/>
      <c r="E1380" s="28"/>
      <c r="F1380" s="28"/>
      <c r="G1380" s="28"/>
      <c r="H1380" s="28"/>
      <c r="I1380" s="29">
        <f>IFERROR(_xlfn.XLOOKUP(E1380,[1]EMPREENDIMENTO!C:C,[1]EMPREENDIMENTO!E:E),"0")</f>
        <v>0</v>
      </c>
      <c r="J1380" s="30"/>
      <c r="K1380" s="28"/>
      <c r="M1380" s="32"/>
      <c r="N1380" s="32"/>
      <c r="O1380" s="32"/>
      <c r="P1380" s="28"/>
      <c r="Q1380" s="28"/>
      <c r="R1380" s="30"/>
      <c r="S1380" s="30"/>
      <c r="T1380" s="33"/>
      <c r="U1380" s="34">
        <f>IFERROR(_xlfn.XLOOKUP(E1380,[1]EMPREENDIMENTO!C:C,[1]EMPREENDIMENTO!D:D),"")</f>
        <v>0</v>
      </c>
    </row>
    <row r="1381" spans="1:21" hidden="1" x14ac:dyDescent="0.35">
      <c r="A1381" s="28" t="str">
        <f>IFERROR(_xlfn.XLOOKUP(C1381,[1]DIRETORIA!C:C,[1]DIRETORIA!A:A),"-")</f>
        <v>-</v>
      </c>
      <c r="B1381" s="28" t="str">
        <f>IFERROR(_xlfn.XLOOKUP(C1381,[1]DIRETORIA!C:C,[1]DIRETORIA!B:B),"-")</f>
        <v>-</v>
      </c>
      <c r="C1381" s="28">
        <f>IFERROR(_xlfn.XLOOKUP(E1381,[1]EMPREENDIMENTO!C:C,[1]EMPREENDIMENTO!A:A),"-")</f>
        <v>0</v>
      </c>
      <c r="D1381" s="28"/>
      <c r="E1381" s="28"/>
      <c r="F1381" s="28"/>
      <c r="G1381" s="28"/>
      <c r="H1381" s="28"/>
      <c r="I1381" s="29">
        <f>IFERROR(_xlfn.XLOOKUP(E1381,[1]EMPREENDIMENTO!C:C,[1]EMPREENDIMENTO!E:E),"0")</f>
        <v>0</v>
      </c>
      <c r="J1381" s="30"/>
      <c r="K1381" s="28"/>
      <c r="M1381" s="32"/>
      <c r="N1381" s="32"/>
      <c r="O1381" s="32"/>
      <c r="P1381" s="28"/>
      <c r="Q1381" s="28"/>
      <c r="R1381" s="30"/>
      <c r="S1381" s="30"/>
      <c r="T1381" s="33"/>
      <c r="U1381" s="34">
        <f>IFERROR(_xlfn.XLOOKUP(E1381,[1]EMPREENDIMENTO!C:C,[1]EMPREENDIMENTO!D:D),"")</f>
        <v>0</v>
      </c>
    </row>
    <row r="1382" spans="1:21" hidden="1" x14ac:dyDescent="0.35">
      <c r="A1382" s="28" t="str">
        <f>IFERROR(_xlfn.XLOOKUP(C1382,[1]DIRETORIA!C:C,[1]DIRETORIA!A:A),"-")</f>
        <v>-</v>
      </c>
      <c r="B1382" s="28" t="str">
        <f>IFERROR(_xlfn.XLOOKUP(C1382,[1]DIRETORIA!C:C,[1]DIRETORIA!B:B),"-")</f>
        <v>-</v>
      </c>
      <c r="C1382" s="28">
        <f>IFERROR(_xlfn.XLOOKUP(E1382,[1]EMPREENDIMENTO!C:C,[1]EMPREENDIMENTO!A:A),"-")</f>
        <v>0</v>
      </c>
      <c r="D1382" s="28"/>
      <c r="E1382" s="28"/>
      <c r="F1382" s="28"/>
      <c r="G1382" s="28"/>
      <c r="H1382" s="28"/>
      <c r="I1382" s="29">
        <f>IFERROR(_xlfn.XLOOKUP(E1382,[1]EMPREENDIMENTO!C:C,[1]EMPREENDIMENTO!E:E),"0")</f>
        <v>0</v>
      </c>
      <c r="J1382" s="30"/>
      <c r="K1382" s="28"/>
      <c r="M1382" s="32"/>
      <c r="N1382" s="32"/>
      <c r="O1382" s="32"/>
      <c r="P1382" s="28"/>
      <c r="Q1382" s="28"/>
      <c r="R1382" s="30"/>
      <c r="S1382" s="30"/>
      <c r="T1382" s="33"/>
      <c r="U1382" s="34">
        <f>IFERROR(_xlfn.XLOOKUP(E1382,[1]EMPREENDIMENTO!C:C,[1]EMPREENDIMENTO!D:D),"")</f>
        <v>0</v>
      </c>
    </row>
    <row r="1383" spans="1:21" hidden="1" x14ac:dyDescent="0.35">
      <c r="A1383" s="28" t="str">
        <f>IFERROR(_xlfn.XLOOKUP(C1383,[1]DIRETORIA!C:C,[1]DIRETORIA!A:A),"-")</f>
        <v>-</v>
      </c>
      <c r="B1383" s="28" t="str">
        <f>IFERROR(_xlfn.XLOOKUP(C1383,[1]DIRETORIA!C:C,[1]DIRETORIA!B:B),"-")</f>
        <v>-</v>
      </c>
      <c r="C1383" s="28">
        <f>IFERROR(_xlfn.XLOOKUP(E1383,[1]EMPREENDIMENTO!C:C,[1]EMPREENDIMENTO!A:A),"-")</f>
        <v>0</v>
      </c>
      <c r="D1383" s="28"/>
      <c r="E1383" s="28"/>
      <c r="F1383" s="28"/>
      <c r="G1383" s="28"/>
      <c r="H1383" s="28"/>
      <c r="I1383" s="29">
        <f>IFERROR(_xlfn.XLOOKUP(E1383,[1]EMPREENDIMENTO!C:C,[1]EMPREENDIMENTO!E:E),"0")</f>
        <v>0</v>
      </c>
      <c r="J1383" s="30"/>
      <c r="K1383" s="28"/>
      <c r="M1383" s="32"/>
      <c r="N1383" s="32"/>
      <c r="O1383" s="32"/>
      <c r="P1383" s="28"/>
      <c r="Q1383" s="28"/>
      <c r="R1383" s="30"/>
      <c r="S1383" s="30"/>
      <c r="T1383" s="33"/>
      <c r="U1383" s="34">
        <f>IFERROR(_xlfn.XLOOKUP(E1383,[1]EMPREENDIMENTO!C:C,[1]EMPREENDIMENTO!D:D),"")</f>
        <v>0</v>
      </c>
    </row>
    <row r="1384" spans="1:21" hidden="1" x14ac:dyDescent="0.35">
      <c r="A1384" s="28" t="str">
        <f>IFERROR(_xlfn.XLOOKUP(C1384,[1]DIRETORIA!C:C,[1]DIRETORIA!A:A),"-")</f>
        <v>-</v>
      </c>
      <c r="B1384" s="28" t="str">
        <f>IFERROR(_xlfn.XLOOKUP(C1384,[1]DIRETORIA!C:C,[1]DIRETORIA!B:B),"-")</f>
        <v>-</v>
      </c>
      <c r="C1384" s="28">
        <f>IFERROR(_xlfn.XLOOKUP(E1384,[1]EMPREENDIMENTO!C:C,[1]EMPREENDIMENTO!A:A),"-")</f>
        <v>0</v>
      </c>
      <c r="D1384" s="28"/>
      <c r="E1384" s="28"/>
      <c r="F1384" s="28"/>
      <c r="G1384" s="28"/>
      <c r="H1384" s="28"/>
      <c r="I1384" s="29">
        <f>IFERROR(_xlfn.XLOOKUP(E1384,[1]EMPREENDIMENTO!C:C,[1]EMPREENDIMENTO!E:E),"0")</f>
        <v>0</v>
      </c>
      <c r="J1384" s="30"/>
      <c r="K1384" s="28"/>
      <c r="M1384" s="32"/>
      <c r="N1384" s="32"/>
      <c r="O1384" s="32"/>
      <c r="P1384" s="28"/>
      <c r="Q1384" s="28"/>
      <c r="R1384" s="30"/>
      <c r="S1384" s="30"/>
      <c r="T1384" s="33"/>
      <c r="U1384" s="34">
        <f>IFERROR(_xlfn.XLOOKUP(E1384,[1]EMPREENDIMENTO!C:C,[1]EMPREENDIMENTO!D:D),"")</f>
        <v>0</v>
      </c>
    </row>
    <row r="1385" spans="1:21" hidden="1" x14ac:dyDescent="0.35">
      <c r="A1385" s="28" t="str">
        <f>IFERROR(_xlfn.XLOOKUP(C1385,[1]DIRETORIA!C:C,[1]DIRETORIA!A:A),"-")</f>
        <v>-</v>
      </c>
      <c r="B1385" s="28" t="str">
        <f>IFERROR(_xlfn.XLOOKUP(C1385,[1]DIRETORIA!C:C,[1]DIRETORIA!B:B),"-")</f>
        <v>-</v>
      </c>
      <c r="C1385" s="28">
        <f>IFERROR(_xlfn.XLOOKUP(E1385,[1]EMPREENDIMENTO!C:C,[1]EMPREENDIMENTO!A:A),"-")</f>
        <v>0</v>
      </c>
      <c r="D1385" s="28"/>
      <c r="E1385" s="28"/>
      <c r="F1385" s="28"/>
      <c r="G1385" s="28"/>
      <c r="H1385" s="28"/>
      <c r="I1385" s="29">
        <f>IFERROR(_xlfn.XLOOKUP(E1385,[1]EMPREENDIMENTO!C:C,[1]EMPREENDIMENTO!E:E),"0")</f>
        <v>0</v>
      </c>
      <c r="J1385" s="30"/>
      <c r="K1385" s="28"/>
      <c r="M1385" s="32"/>
      <c r="N1385" s="32"/>
      <c r="O1385" s="32"/>
      <c r="P1385" s="28"/>
      <c r="Q1385" s="28"/>
      <c r="R1385" s="30"/>
      <c r="S1385" s="30"/>
      <c r="T1385" s="33"/>
      <c r="U1385" s="34">
        <f>IFERROR(_xlfn.XLOOKUP(E1385,[1]EMPREENDIMENTO!C:C,[1]EMPREENDIMENTO!D:D),"")</f>
        <v>0</v>
      </c>
    </row>
    <row r="1386" spans="1:21" hidden="1" x14ac:dyDescent="0.35">
      <c r="A1386" s="28" t="str">
        <f>IFERROR(_xlfn.XLOOKUP(C1386,[1]DIRETORIA!C:C,[1]DIRETORIA!A:A),"-")</f>
        <v>-</v>
      </c>
      <c r="B1386" s="28" t="str">
        <f>IFERROR(_xlfn.XLOOKUP(C1386,[1]DIRETORIA!C:C,[1]DIRETORIA!B:B),"-")</f>
        <v>-</v>
      </c>
      <c r="C1386" s="28">
        <f>IFERROR(_xlfn.XLOOKUP(E1386,[1]EMPREENDIMENTO!C:C,[1]EMPREENDIMENTO!A:A),"-")</f>
        <v>0</v>
      </c>
      <c r="D1386" s="28"/>
      <c r="E1386" s="28"/>
      <c r="F1386" s="28"/>
      <c r="G1386" s="28"/>
      <c r="H1386" s="28"/>
      <c r="I1386" s="29">
        <f>IFERROR(_xlfn.XLOOKUP(E1386,[1]EMPREENDIMENTO!C:C,[1]EMPREENDIMENTO!E:E),"0")</f>
        <v>0</v>
      </c>
      <c r="J1386" s="30"/>
      <c r="K1386" s="28"/>
      <c r="M1386" s="32"/>
      <c r="N1386" s="32"/>
      <c r="O1386" s="32"/>
      <c r="P1386" s="28"/>
      <c r="Q1386" s="28"/>
      <c r="R1386" s="30"/>
      <c r="S1386" s="30"/>
      <c r="T1386" s="33"/>
      <c r="U1386" s="34">
        <f>IFERROR(_xlfn.XLOOKUP(E1386,[1]EMPREENDIMENTO!C:C,[1]EMPREENDIMENTO!D:D),"")</f>
        <v>0</v>
      </c>
    </row>
    <row r="1387" spans="1:21" hidden="1" x14ac:dyDescent="0.35">
      <c r="A1387" s="28" t="str">
        <f>IFERROR(_xlfn.XLOOKUP(C1387,[1]DIRETORIA!C:C,[1]DIRETORIA!A:A),"-")</f>
        <v>-</v>
      </c>
      <c r="B1387" s="28" t="str">
        <f>IFERROR(_xlfn.XLOOKUP(C1387,[1]DIRETORIA!C:C,[1]DIRETORIA!B:B),"-")</f>
        <v>-</v>
      </c>
      <c r="C1387" s="28">
        <f>IFERROR(_xlfn.XLOOKUP(E1387,[1]EMPREENDIMENTO!C:C,[1]EMPREENDIMENTO!A:A),"-")</f>
        <v>0</v>
      </c>
      <c r="D1387" s="28"/>
      <c r="E1387" s="28"/>
      <c r="F1387" s="28"/>
      <c r="G1387" s="28"/>
      <c r="H1387" s="28"/>
      <c r="I1387" s="29">
        <f>IFERROR(_xlfn.XLOOKUP(E1387,[1]EMPREENDIMENTO!C:C,[1]EMPREENDIMENTO!E:E),"0")</f>
        <v>0</v>
      </c>
      <c r="J1387" s="30"/>
      <c r="K1387" s="28"/>
      <c r="M1387" s="32"/>
      <c r="N1387" s="32"/>
      <c r="O1387" s="32"/>
      <c r="P1387" s="28"/>
      <c r="Q1387" s="28"/>
      <c r="R1387" s="30"/>
      <c r="S1387" s="30"/>
      <c r="T1387" s="33"/>
      <c r="U1387" s="34">
        <f>IFERROR(_xlfn.XLOOKUP(E1387,[1]EMPREENDIMENTO!C:C,[1]EMPREENDIMENTO!D:D),"")</f>
        <v>0</v>
      </c>
    </row>
    <row r="1388" spans="1:21" hidden="1" x14ac:dyDescent="0.35">
      <c r="A1388" s="28" t="str">
        <f>IFERROR(_xlfn.XLOOKUP(C1388,[1]DIRETORIA!C:C,[1]DIRETORIA!A:A),"-")</f>
        <v>-</v>
      </c>
      <c r="B1388" s="28" t="str">
        <f>IFERROR(_xlfn.XLOOKUP(C1388,[1]DIRETORIA!C:C,[1]DIRETORIA!B:B),"-")</f>
        <v>-</v>
      </c>
      <c r="C1388" s="28">
        <f>IFERROR(_xlfn.XLOOKUP(E1388,[1]EMPREENDIMENTO!C:C,[1]EMPREENDIMENTO!A:A),"-")</f>
        <v>0</v>
      </c>
      <c r="D1388" s="28"/>
      <c r="E1388" s="28"/>
      <c r="F1388" s="28"/>
      <c r="G1388" s="28"/>
      <c r="H1388" s="28"/>
      <c r="I1388" s="29">
        <f>IFERROR(_xlfn.XLOOKUP(E1388,[1]EMPREENDIMENTO!C:C,[1]EMPREENDIMENTO!E:E),"0")</f>
        <v>0</v>
      </c>
      <c r="J1388" s="30"/>
      <c r="K1388" s="28"/>
      <c r="M1388" s="32"/>
      <c r="N1388" s="32"/>
      <c r="O1388" s="32"/>
      <c r="P1388" s="28"/>
      <c r="Q1388" s="28"/>
      <c r="R1388" s="30"/>
      <c r="S1388" s="30"/>
      <c r="T1388" s="33"/>
      <c r="U1388" s="34">
        <f>IFERROR(_xlfn.XLOOKUP(E1388,[1]EMPREENDIMENTO!C:C,[1]EMPREENDIMENTO!D:D),"")</f>
        <v>0</v>
      </c>
    </row>
    <row r="1389" spans="1:21" hidden="1" x14ac:dyDescent="0.35">
      <c r="A1389" s="28" t="str">
        <f>IFERROR(_xlfn.XLOOKUP(C1389,[1]DIRETORIA!C:C,[1]DIRETORIA!A:A),"-")</f>
        <v>-</v>
      </c>
      <c r="B1389" s="28" t="str">
        <f>IFERROR(_xlfn.XLOOKUP(C1389,[1]DIRETORIA!C:C,[1]DIRETORIA!B:B),"-")</f>
        <v>-</v>
      </c>
      <c r="C1389" s="28">
        <f>IFERROR(_xlfn.XLOOKUP(E1389,[1]EMPREENDIMENTO!C:C,[1]EMPREENDIMENTO!A:A),"-")</f>
        <v>0</v>
      </c>
      <c r="D1389" s="28"/>
      <c r="E1389" s="28"/>
      <c r="F1389" s="28"/>
      <c r="G1389" s="28"/>
      <c r="H1389" s="28"/>
      <c r="I1389" s="29">
        <f>IFERROR(_xlfn.XLOOKUP(E1389,[1]EMPREENDIMENTO!C:C,[1]EMPREENDIMENTO!E:E),"0")</f>
        <v>0</v>
      </c>
      <c r="J1389" s="30"/>
      <c r="K1389" s="28"/>
      <c r="M1389" s="32"/>
      <c r="N1389" s="32"/>
      <c r="O1389" s="32"/>
      <c r="P1389" s="28"/>
      <c r="Q1389" s="28"/>
      <c r="R1389" s="30"/>
      <c r="S1389" s="30"/>
      <c r="T1389" s="33"/>
      <c r="U1389" s="34">
        <f>IFERROR(_xlfn.XLOOKUP(E1389,[1]EMPREENDIMENTO!C:C,[1]EMPREENDIMENTO!D:D),"")</f>
        <v>0</v>
      </c>
    </row>
    <row r="1390" spans="1:21" hidden="1" x14ac:dyDescent="0.35">
      <c r="A1390" s="28" t="str">
        <f>IFERROR(_xlfn.XLOOKUP(C1390,[1]DIRETORIA!C:C,[1]DIRETORIA!A:A),"-")</f>
        <v>-</v>
      </c>
      <c r="B1390" s="28" t="str">
        <f>IFERROR(_xlfn.XLOOKUP(C1390,[1]DIRETORIA!C:C,[1]DIRETORIA!B:B),"-")</f>
        <v>-</v>
      </c>
      <c r="C1390" s="28">
        <f>IFERROR(_xlfn.XLOOKUP(E1390,[1]EMPREENDIMENTO!C:C,[1]EMPREENDIMENTO!A:A),"-")</f>
        <v>0</v>
      </c>
      <c r="D1390" s="28"/>
      <c r="E1390" s="28"/>
      <c r="F1390" s="28"/>
      <c r="G1390" s="28"/>
      <c r="H1390" s="28"/>
      <c r="I1390" s="29">
        <f>IFERROR(_xlfn.XLOOKUP(E1390,[1]EMPREENDIMENTO!C:C,[1]EMPREENDIMENTO!E:E),"0")</f>
        <v>0</v>
      </c>
      <c r="J1390" s="30"/>
      <c r="K1390" s="28"/>
      <c r="M1390" s="32"/>
      <c r="N1390" s="32"/>
      <c r="O1390" s="32"/>
      <c r="P1390" s="28"/>
      <c r="Q1390" s="28"/>
      <c r="R1390" s="30"/>
      <c r="S1390" s="30"/>
      <c r="T1390" s="33"/>
      <c r="U1390" s="34">
        <f>IFERROR(_xlfn.XLOOKUP(E1390,[1]EMPREENDIMENTO!C:C,[1]EMPREENDIMENTO!D:D),"")</f>
        <v>0</v>
      </c>
    </row>
    <row r="1391" spans="1:21" hidden="1" x14ac:dyDescent="0.35">
      <c r="A1391" s="28" t="str">
        <f>IFERROR(_xlfn.XLOOKUP(C1391,[1]DIRETORIA!C:C,[1]DIRETORIA!A:A),"-")</f>
        <v>-</v>
      </c>
      <c r="B1391" s="28" t="str">
        <f>IFERROR(_xlfn.XLOOKUP(C1391,[1]DIRETORIA!C:C,[1]DIRETORIA!B:B),"-")</f>
        <v>-</v>
      </c>
      <c r="C1391" s="28">
        <f>IFERROR(_xlfn.XLOOKUP(E1391,[1]EMPREENDIMENTO!C:C,[1]EMPREENDIMENTO!A:A),"-")</f>
        <v>0</v>
      </c>
      <c r="D1391" s="28"/>
      <c r="E1391" s="28"/>
      <c r="F1391" s="28"/>
      <c r="G1391" s="28"/>
      <c r="H1391" s="28"/>
      <c r="I1391" s="29">
        <f>IFERROR(_xlfn.XLOOKUP(E1391,[1]EMPREENDIMENTO!C:C,[1]EMPREENDIMENTO!E:E),"0")</f>
        <v>0</v>
      </c>
      <c r="J1391" s="30"/>
      <c r="K1391" s="28"/>
      <c r="M1391" s="32"/>
      <c r="N1391" s="32"/>
      <c r="O1391" s="32"/>
      <c r="P1391" s="28"/>
      <c r="Q1391" s="28"/>
      <c r="R1391" s="30"/>
      <c r="S1391" s="30"/>
      <c r="T1391" s="33"/>
      <c r="U1391" s="34">
        <f>IFERROR(_xlfn.XLOOKUP(E1391,[1]EMPREENDIMENTO!C:C,[1]EMPREENDIMENTO!D:D),"")</f>
        <v>0</v>
      </c>
    </row>
    <row r="1392" spans="1:21" hidden="1" x14ac:dyDescent="0.35">
      <c r="A1392" s="28" t="str">
        <f>IFERROR(_xlfn.XLOOKUP(C1392,[1]DIRETORIA!C:C,[1]DIRETORIA!A:A),"-")</f>
        <v>-</v>
      </c>
      <c r="B1392" s="28" t="str">
        <f>IFERROR(_xlfn.XLOOKUP(C1392,[1]DIRETORIA!C:C,[1]DIRETORIA!B:B),"-")</f>
        <v>-</v>
      </c>
      <c r="C1392" s="28">
        <f>IFERROR(_xlfn.XLOOKUP(E1392,[1]EMPREENDIMENTO!C:C,[1]EMPREENDIMENTO!A:A),"-")</f>
        <v>0</v>
      </c>
      <c r="D1392" s="28"/>
      <c r="E1392" s="28"/>
      <c r="F1392" s="28"/>
      <c r="G1392" s="28"/>
      <c r="H1392" s="28"/>
      <c r="I1392" s="29">
        <f>IFERROR(_xlfn.XLOOKUP(E1392,[1]EMPREENDIMENTO!C:C,[1]EMPREENDIMENTO!E:E),"0")</f>
        <v>0</v>
      </c>
      <c r="J1392" s="30"/>
      <c r="K1392" s="28"/>
      <c r="M1392" s="32"/>
      <c r="N1392" s="32"/>
      <c r="O1392" s="32"/>
      <c r="P1392" s="28"/>
      <c r="Q1392" s="28"/>
      <c r="R1392" s="30"/>
      <c r="S1392" s="30"/>
      <c r="T1392" s="33"/>
      <c r="U1392" s="34">
        <f>IFERROR(_xlfn.XLOOKUP(E1392,[1]EMPREENDIMENTO!C:C,[1]EMPREENDIMENTO!D:D),"")</f>
        <v>0</v>
      </c>
    </row>
    <row r="1393" spans="1:21" hidden="1" x14ac:dyDescent="0.35">
      <c r="A1393" s="28" t="str">
        <f>IFERROR(_xlfn.XLOOKUP(C1393,[1]DIRETORIA!C:C,[1]DIRETORIA!A:A),"-")</f>
        <v>-</v>
      </c>
      <c r="B1393" s="28" t="str">
        <f>IFERROR(_xlfn.XLOOKUP(C1393,[1]DIRETORIA!C:C,[1]DIRETORIA!B:B),"-")</f>
        <v>-</v>
      </c>
      <c r="C1393" s="28">
        <f>IFERROR(_xlfn.XLOOKUP(E1393,[1]EMPREENDIMENTO!C:C,[1]EMPREENDIMENTO!A:A),"-")</f>
        <v>0</v>
      </c>
      <c r="D1393" s="28"/>
      <c r="E1393" s="28"/>
      <c r="F1393" s="28"/>
      <c r="G1393" s="28"/>
      <c r="H1393" s="28"/>
      <c r="I1393" s="29">
        <f>IFERROR(_xlfn.XLOOKUP(E1393,[1]EMPREENDIMENTO!C:C,[1]EMPREENDIMENTO!E:E),"0")</f>
        <v>0</v>
      </c>
      <c r="J1393" s="30"/>
      <c r="K1393" s="28"/>
      <c r="M1393" s="32"/>
      <c r="N1393" s="32"/>
      <c r="O1393" s="32"/>
      <c r="P1393" s="28"/>
      <c r="Q1393" s="28"/>
      <c r="R1393" s="30"/>
      <c r="S1393" s="30"/>
      <c r="T1393" s="33"/>
      <c r="U1393" s="34">
        <f>IFERROR(_xlfn.XLOOKUP(E1393,[1]EMPREENDIMENTO!C:C,[1]EMPREENDIMENTO!D:D),"")</f>
        <v>0</v>
      </c>
    </row>
    <row r="1394" spans="1:21" hidden="1" x14ac:dyDescent="0.35">
      <c r="A1394" s="28" t="str">
        <f>IFERROR(_xlfn.XLOOKUP(C1394,[1]DIRETORIA!C:C,[1]DIRETORIA!A:A),"-")</f>
        <v>-</v>
      </c>
      <c r="B1394" s="28" t="str">
        <f>IFERROR(_xlfn.XLOOKUP(C1394,[1]DIRETORIA!C:C,[1]DIRETORIA!B:B),"-")</f>
        <v>-</v>
      </c>
      <c r="C1394" s="28">
        <f>IFERROR(_xlfn.XLOOKUP(E1394,[1]EMPREENDIMENTO!C:C,[1]EMPREENDIMENTO!A:A),"-")</f>
        <v>0</v>
      </c>
      <c r="D1394" s="28"/>
      <c r="E1394" s="28"/>
      <c r="F1394" s="28"/>
      <c r="G1394" s="28"/>
      <c r="H1394" s="28"/>
      <c r="I1394" s="29">
        <f>IFERROR(_xlfn.XLOOKUP(E1394,[1]EMPREENDIMENTO!C:C,[1]EMPREENDIMENTO!E:E),"0")</f>
        <v>0</v>
      </c>
      <c r="J1394" s="30"/>
      <c r="K1394" s="28"/>
      <c r="M1394" s="32"/>
      <c r="N1394" s="32"/>
      <c r="O1394" s="32"/>
      <c r="P1394" s="28"/>
      <c r="Q1394" s="28"/>
      <c r="R1394" s="30"/>
      <c r="S1394" s="30"/>
      <c r="T1394" s="33"/>
      <c r="U1394" s="34">
        <f>IFERROR(_xlfn.XLOOKUP(E1394,[1]EMPREENDIMENTO!C:C,[1]EMPREENDIMENTO!D:D),"")</f>
        <v>0</v>
      </c>
    </row>
    <row r="1395" spans="1:21" hidden="1" x14ac:dyDescent="0.35">
      <c r="A1395" s="28" t="str">
        <f>IFERROR(_xlfn.XLOOKUP(C1395,[1]DIRETORIA!C:C,[1]DIRETORIA!A:A),"-")</f>
        <v>-</v>
      </c>
      <c r="B1395" s="28" t="str">
        <f>IFERROR(_xlfn.XLOOKUP(C1395,[1]DIRETORIA!C:C,[1]DIRETORIA!B:B),"-")</f>
        <v>-</v>
      </c>
      <c r="C1395" s="28">
        <f>IFERROR(_xlfn.XLOOKUP(E1395,[1]EMPREENDIMENTO!C:C,[1]EMPREENDIMENTO!A:A),"-")</f>
        <v>0</v>
      </c>
      <c r="D1395" s="28"/>
      <c r="E1395" s="28"/>
      <c r="F1395" s="28"/>
      <c r="G1395" s="28"/>
      <c r="H1395" s="28"/>
      <c r="I1395" s="29">
        <f>IFERROR(_xlfn.XLOOKUP(E1395,[1]EMPREENDIMENTO!C:C,[1]EMPREENDIMENTO!E:E),"0")</f>
        <v>0</v>
      </c>
      <c r="J1395" s="30"/>
      <c r="K1395" s="28"/>
      <c r="M1395" s="32"/>
      <c r="N1395" s="32"/>
      <c r="O1395" s="32"/>
      <c r="P1395" s="28"/>
      <c r="Q1395" s="28"/>
      <c r="R1395" s="30"/>
      <c r="S1395" s="30"/>
      <c r="T1395" s="33"/>
      <c r="U1395" s="34">
        <f>IFERROR(_xlfn.XLOOKUP(E1395,[1]EMPREENDIMENTO!C:C,[1]EMPREENDIMENTO!D:D),"")</f>
        <v>0</v>
      </c>
    </row>
    <row r="1396" spans="1:21" hidden="1" x14ac:dyDescent="0.35">
      <c r="A1396" s="28" t="str">
        <f>IFERROR(_xlfn.XLOOKUP(C1396,[1]DIRETORIA!C:C,[1]DIRETORIA!A:A),"-")</f>
        <v>-</v>
      </c>
      <c r="B1396" s="28" t="str">
        <f>IFERROR(_xlfn.XLOOKUP(C1396,[1]DIRETORIA!C:C,[1]DIRETORIA!B:B),"-")</f>
        <v>-</v>
      </c>
      <c r="C1396" s="28">
        <f>IFERROR(_xlfn.XLOOKUP(E1396,[1]EMPREENDIMENTO!C:C,[1]EMPREENDIMENTO!A:A),"-")</f>
        <v>0</v>
      </c>
      <c r="D1396" s="28"/>
      <c r="E1396" s="28"/>
      <c r="F1396" s="28"/>
      <c r="G1396" s="28"/>
      <c r="H1396" s="28"/>
      <c r="I1396" s="29">
        <f>IFERROR(_xlfn.XLOOKUP(E1396,[1]EMPREENDIMENTO!C:C,[1]EMPREENDIMENTO!E:E),"0")</f>
        <v>0</v>
      </c>
      <c r="J1396" s="30"/>
      <c r="K1396" s="28"/>
      <c r="M1396" s="32"/>
      <c r="N1396" s="32"/>
      <c r="O1396" s="32"/>
      <c r="P1396" s="28"/>
      <c r="Q1396" s="28"/>
      <c r="R1396" s="30"/>
      <c r="S1396" s="30"/>
      <c r="T1396" s="33"/>
      <c r="U1396" s="34">
        <f>IFERROR(_xlfn.XLOOKUP(E1396,[1]EMPREENDIMENTO!C:C,[1]EMPREENDIMENTO!D:D),"")</f>
        <v>0</v>
      </c>
    </row>
    <row r="1397" spans="1:21" hidden="1" x14ac:dyDescent="0.35">
      <c r="A1397" s="28" t="str">
        <f>IFERROR(_xlfn.XLOOKUP(C1397,[1]DIRETORIA!C:C,[1]DIRETORIA!A:A),"-")</f>
        <v>-</v>
      </c>
      <c r="B1397" s="28" t="str">
        <f>IFERROR(_xlfn.XLOOKUP(C1397,[1]DIRETORIA!C:C,[1]DIRETORIA!B:B),"-")</f>
        <v>-</v>
      </c>
      <c r="C1397" s="28">
        <f>IFERROR(_xlfn.XLOOKUP(E1397,[1]EMPREENDIMENTO!C:C,[1]EMPREENDIMENTO!A:A),"-")</f>
        <v>0</v>
      </c>
      <c r="D1397" s="28"/>
      <c r="E1397" s="28"/>
      <c r="F1397" s="28"/>
      <c r="G1397" s="28"/>
      <c r="H1397" s="28"/>
      <c r="I1397" s="29">
        <f>IFERROR(_xlfn.XLOOKUP(E1397,[1]EMPREENDIMENTO!C:C,[1]EMPREENDIMENTO!E:E),"0")</f>
        <v>0</v>
      </c>
      <c r="J1397" s="30"/>
      <c r="K1397" s="28"/>
      <c r="M1397" s="32"/>
      <c r="N1397" s="32"/>
      <c r="O1397" s="32"/>
      <c r="P1397" s="28"/>
      <c r="Q1397" s="28"/>
      <c r="R1397" s="30"/>
      <c r="S1397" s="30"/>
      <c r="T1397" s="33"/>
      <c r="U1397" s="34">
        <f>IFERROR(_xlfn.XLOOKUP(E1397,[1]EMPREENDIMENTO!C:C,[1]EMPREENDIMENTO!D:D),"")</f>
        <v>0</v>
      </c>
    </row>
    <row r="1398" spans="1:21" hidden="1" x14ac:dyDescent="0.35">
      <c r="A1398" s="28" t="str">
        <f>IFERROR(_xlfn.XLOOKUP(C1398,[1]DIRETORIA!C:C,[1]DIRETORIA!A:A),"-")</f>
        <v>-</v>
      </c>
      <c r="B1398" s="28" t="str">
        <f>IFERROR(_xlfn.XLOOKUP(C1398,[1]DIRETORIA!C:C,[1]DIRETORIA!B:B),"-")</f>
        <v>-</v>
      </c>
      <c r="C1398" s="28">
        <f>IFERROR(_xlfn.XLOOKUP(E1398,[1]EMPREENDIMENTO!C:C,[1]EMPREENDIMENTO!A:A),"-")</f>
        <v>0</v>
      </c>
      <c r="D1398" s="28"/>
      <c r="E1398" s="28"/>
      <c r="F1398" s="28"/>
      <c r="G1398" s="28"/>
      <c r="H1398" s="28"/>
      <c r="I1398" s="29">
        <f>IFERROR(_xlfn.XLOOKUP(E1398,[1]EMPREENDIMENTO!C:C,[1]EMPREENDIMENTO!E:E),"0")</f>
        <v>0</v>
      </c>
      <c r="J1398" s="30"/>
      <c r="K1398" s="28"/>
      <c r="M1398" s="32"/>
      <c r="N1398" s="32"/>
      <c r="O1398" s="32"/>
      <c r="P1398" s="28"/>
      <c r="Q1398" s="28"/>
      <c r="R1398" s="30"/>
      <c r="S1398" s="30"/>
      <c r="T1398" s="33"/>
      <c r="U1398" s="34">
        <f>IFERROR(_xlfn.XLOOKUP(E1398,[1]EMPREENDIMENTO!C:C,[1]EMPREENDIMENTO!D:D),"")</f>
        <v>0</v>
      </c>
    </row>
    <row r="1399" spans="1:21" hidden="1" x14ac:dyDescent="0.35">
      <c r="A1399" s="28" t="str">
        <f>IFERROR(_xlfn.XLOOKUP(C1399,[1]DIRETORIA!C:C,[1]DIRETORIA!A:A),"-")</f>
        <v>-</v>
      </c>
      <c r="B1399" s="28" t="str">
        <f>IFERROR(_xlfn.XLOOKUP(C1399,[1]DIRETORIA!C:C,[1]DIRETORIA!B:B),"-")</f>
        <v>-</v>
      </c>
      <c r="C1399" s="28">
        <f>IFERROR(_xlfn.XLOOKUP(E1399,[1]EMPREENDIMENTO!C:C,[1]EMPREENDIMENTO!A:A),"-")</f>
        <v>0</v>
      </c>
      <c r="D1399" s="28"/>
      <c r="E1399" s="28"/>
      <c r="F1399" s="28"/>
      <c r="G1399" s="28"/>
      <c r="H1399" s="28"/>
      <c r="I1399" s="29">
        <f>IFERROR(_xlfn.XLOOKUP(E1399,[1]EMPREENDIMENTO!C:C,[1]EMPREENDIMENTO!E:E),"0")</f>
        <v>0</v>
      </c>
      <c r="J1399" s="30"/>
      <c r="K1399" s="28"/>
      <c r="M1399" s="32"/>
      <c r="N1399" s="32"/>
      <c r="O1399" s="32"/>
      <c r="P1399" s="28"/>
      <c r="Q1399" s="28"/>
      <c r="R1399" s="30"/>
      <c r="S1399" s="30"/>
      <c r="T1399" s="33"/>
      <c r="U1399" s="34">
        <f>IFERROR(_xlfn.XLOOKUP(E1399,[1]EMPREENDIMENTO!C:C,[1]EMPREENDIMENTO!D:D),"")</f>
        <v>0</v>
      </c>
    </row>
    <row r="1400" spans="1:21" hidden="1" x14ac:dyDescent="0.35">
      <c r="A1400" s="28" t="str">
        <f>IFERROR(_xlfn.XLOOKUP(C1400,[1]DIRETORIA!C:C,[1]DIRETORIA!A:A),"-")</f>
        <v>-</v>
      </c>
      <c r="B1400" s="28" t="str">
        <f>IFERROR(_xlfn.XLOOKUP(C1400,[1]DIRETORIA!C:C,[1]DIRETORIA!B:B),"-")</f>
        <v>-</v>
      </c>
      <c r="C1400" s="28">
        <f>IFERROR(_xlfn.XLOOKUP(E1400,[1]EMPREENDIMENTO!C:C,[1]EMPREENDIMENTO!A:A),"-")</f>
        <v>0</v>
      </c>
      <c r="D1400" s="28"/>
      <c r="E1400" s="28"/>
      <c r="F1400" s="28"/>
      <c r="G1400" s="28"/>
      <c r="H1400" s="28"/>
      <c r="I1400" s="29">
        <f>IFERROR(_xlfn.XLOOKUP(E1400,[1]EMPREENDIMENTO!C:C,[1]EMPREENDIMENTO!E:E),"0")</f>
        <v>0</v>
      </c>
      <c r="J1400" s="30"/>
      <c r="K1400" s="28"/>
      <c r="M1400" s="32"/>
      <c r="N1400" s="32"/>
      <c r="O1400" s="32"/>
      <c r="P1400" s="28"/>
      <c r="Q1400" s="28"/>
      <c r="R1400" s="30"/>
      <c r="S1400" s="30"/>
      <c r="T1400" s="33"/>
      <c r="U1400" s="34">
        <f>IFERROR(_xlfn.XLOOKUP(E1400,[1]EMPREENDIMENTO!C:C,[1]EMPREENDIMENTO!D:D),"")</f>
        <v>0</v>
      </c>
    </row>
    <row r="1401" spans="1:21" hidden="1" x14ac:dyDescent="0.35">
      <c r="A1401" s="28" t="str">
        <f>IFERROR(_xlfn.XLOOKUP(C1401,[1]DIRETORIA!C:C,[1]DIRETORIA!A:A),"-")</f>
        <v>-</v>
      </c>
      <c r="B1401" s="28" t="str">
        <f>IFERROR(_xlfn.XLOOKUP(C1401,[1]DIRETORIA!C:C,[1]DIRETORIA!B:B),"-")</f>
        <v>-</v>
      </c>
      <c r="C1401" s="28">
        <f>IFERROR(_xlfn.XLOOKUP(E1401,[1]EMPREENDIMENTO!C:C,[1]EMPREENDIMENTO!A:A),"-")</f>
        <v>0</v>
      </c>
      <c r="D1401" s="28"/>
      <c r="E1401" s="28"/>
      <c r="F1401" s="28"/>
      <c r="G1401" s="28"/>
      <c r="H1401" s="28"/>
      <c r="I1401" s="29">
        <f>IFERROR(_xlfn.XLOOKUP(E1401,[1]EMPREENDIMENTO!C:C,[1]EMPREENDIMENTO!E:E),"0")</f>
        <v>0</v>
      </c>
      <c r="J1401" s="30"/>
      <c r="K1401" s="28"/>
      <c r="M1401" s="32"/>
      <c r="N1401" s="32"/>
      <c r="O1401" s="32"/>
      <c r="P1401" s="28"/>
      <c r="Q1401" s="28"/>
      <c r="R1401" s="30"/>
      <c r="S1401" s="30"/>
      <c r="T1401" s="33"/>
      <c r="U1401" s="34">
        <f>IFERROR(_xlfn.XLOOKUP(E1401,[1]EMPREENDIMENTO!C:C,[1]EMPREENDIMENTO!D:D),"")</f>
        <v>0</v>
      </c>
    </row>
    <row r="1402" spans="1:21" hidden="1" x14ac:dyDescent="0.35">
      <c r="A1402" s="28" t="str">
        <f>IFERROR(_xlfn.XLOOKUP(C1402,[1]DIRETORIA!C:C,[1]DIRETORIA!A:A),"-")</f>
        <v>-</v>
      </c>
      <c r="B1402" s="28" t="str">
        <f>IFERROR(_xlfn.XLOOKUP(C1402,[1]DIRETORIA!C:C,[1]DIRETORIA!B:B),"-")</f>
        <v>-</v>
      </c>
      <c r="C1402" s="28">
        <f>IFERROR(_xlfn.XLOOKUP(E1402,[1]EMPREENDIMENTO!C:C,[1]EMPREENDIMENTO!A:A),"-")</f>
        <v>0</v>
      </c>
      <c r="D1402" s="28"/>
      <c r="E1402" s="28"/>
      <c r="F1402" s="28"/>
      <c r="G1402" s="28"/>
      <c r="H1402" s="28"/>
      <c r="I1402" s="29">
        <f>IFERROR(_xlfn.XLOOKUP(E1402,[1]EMPREENDIMENTO!C:C,[1]EMPREENDIMENTO!E:E),"0")</f>
        <v>0</v>
      </c>
      <c r="J1402" s="30"/>
      <c r="K1402" s="28"/>
      <c r="M1402" s="32"/>
      <c r="N1402" s="32"/>
      <c r="O1402" s="32"/>
      <c r="P1402" s="28"/>
      <c r="Q1402" s="28"/>
      <c r="R1402" s="30"/>
      <c r="S1402" s="30"/>
      <c r="T1402" s="33"/>
      <c r="U1402" s="34">
        <f>IFERROR(_xlfn.XLOOKUP(E1402,[1]EMPREENDIMENTO!C:C,[1]EMPREENDIMENTO!D:D),"")</f>
        <v>0</v>
      </c>
    </row>
    <row r="1403" spans="1:21" hidden="1" x14ac:dyDescent="0.35">
      <c r="A1403" s="28" t="str">
        <f>IFERROR(_xlfn.XLOOKUP(C1403,[1]DIRETORIA!C:C,[1]DIRETORIA!A:A),"-")</f>
        <v>-</v>
      </c>
      <c r="B1403" s="28" t="str">
        <f>IFERROR(_xlfn.XLOOKUP(C1403,[1]DIRETORIA!C:C,[1]DIRETORIA!B:B),"-")</f>
        <v>-</v>
      </c>
      <c r="C1403" s="28">
        <f>IFERROR(_xlfn.XLOOKUP(E1403,[1]EMPREENDIMENTO!C:C,[1]EMPREENDIMENTO!A:A),"-")</f>
        <v>0</v>
      </c>
      <c r="D1403" s="28"/>
      <c r="E1403" s="28"/>
      <c r="F1403" s="28"/>
      <c r="G1403" s="28"/>
      <c r="H1403" s="28"/>
      <c r="I1403" s="29">
        <f>IFERROR(_xlfn.XLOOKUP(E1403,[1]EMPREENDIMENTO!C:C,[1]EMPREENDIMENTO!E:E),"0")</f>
        <v>0</v>
      </c>
      <c r="J1403" s="30"/>
      <c r="K1403" s="28"/>
      <c r="M1403" s="32"/>
      <c r="N1403" s="32"/>
      <c r="O1403" s="32"/>
      <c r="P1403" s="28"/>
      <c r="Q1403" s="28"/>
      <c r="R1403" s="30"/>
      <c r="S1403" s="30"/>
      <c r="T1403" s="33"/>
      <c r="U1403" s="34">
        <f>IFERROR(_xlfn.XLOOKUP(E1403,[1]EMPREENDIMENTO!C:C,[1]EMPREENDIMENTO!D:D),"")</f>
        <v>0</v>
      </c>
    </row>
    <row r="1404" spans="1:21" hidden="1" x14ac:dyDescent="0.35">
      <c r="A1404" s="28" t="str">
        <f>IFERROR(_xlfn.XLOOKUP(C1404,[1]DIRETORIA!C:C,[1]DIRETORIA!A:A),"-")</f>
        <v>-</v>
      </c>
      <c r="B1404" s="28" t="str">
        <f>IFERROR(_xlfn.XLOOKUP(C1404,[1]DIRETORIA!C:C,[1]DIRETORIA!B:B),"-")</f>
        <v>-</v>
      </c>
      <c r="C1404" s="28">
        <f>IFERROR(_xlfn.XLOOKUP(E1404,[1]EMPREENDIMENTO!C:C,[1]EMPREENDIMENTO!A:A),"-")</f>
        <v>0</v>
      </c>
      <c r="D1404" s="28"/>
      <c r="E1404" s="28"/>
      <c r="F1404" s="28"/>
      <c r="G1404" s="28"/>
      <c r="H1404" s="28"/>
      <c r="I1404" s="29">
        <f>IFERROR(_xlfn.XLOOKUP(E1404,[1]EMPREENDIMENTO!C:C,[1]EMPREENDIMENTO!E:E),"0")</f>
        <v>0</v>
      </c>
      <c r="J1404" s="30"/>
      <c r="K1404" s="28"/>
      <c r="M1404" s="32"/>
      <c r="N1404" s="32"/>
      <c r="O1404" s="32"/>
      <c r="P1404" s="28"/>
      <c r="Q1404" s="28"/>
      <c r="R1404" s="30"/>
      <c r="S1404" s="30"/>
      <c r="T1404" s="33"/>
      <c r="U1404" s="34">
        <f>IFERROR(_xlfn.XLOOKUP(E1404,[1]EMPREENDIMENTO!C:C,[1]EMPREENDIMENTO!D:D),"")</f>
        <v>0</v>
      </c>
    </row>
    <row r="1405" spans="1:21" hidden="1" x14ac:dyDescent="0.35">
      <c r="A1405" s="28" t="str">
        <f>IFERROR(_xlfn.XLOOKUP(C1405,[1]DIRETORIA!C:C,[1]DIRETORIA!A:A),"-")</f>
        <v>-</v>
      </c>
      <c r="B1405" s="28" t="str">
        <f>IFERROR(_xlfn.XLOOKUP(C1405,[1]DIRETORIA!C:C,[1]DIRETORIA!B:B),"-")</f>
        <v>-</v>
      </c>
      <c r="C1405" s="28">
        <f>IFERROR(_xlfn.XLOOKUP(E1405,[1]EMPREENDIMENTO!C:C,[1]EMPREENDIMENTO!A:A),"-")</f>
        <v>0</v>
      </c>
      <c r="D1405" s="28"/>
      <c r="E1405" s="28"/>
      <c r="F1405" s="28"/>
      <c r="G1405" s="28"/>
      <c r="H1405" s="28"/>
      <c r="I1405" s="29">
        <f>IFERROR(_xlfn.XLOOKUP(E1405,[1]EMPREENDIMENTO!C:C,[1]EMPREENDIMENTO!E:E),"0")</f>
        <v>0</v>
      </c>
      <c r="J1405" s="30"/>
      <c r="K1405" s="28"/>
      <c r="M1405" s="32"/>
      <c r="N1405" s="32"/>
      <c r="O1405" s="32"/>
      <c r="P1405" s="28"/>
      <c r="Q1405" s="28"/>
      <c r="R1405" s="30"/>
      <c r="S1405" s="30"/>
      <c r="T1405" s="33"/>
      <c r="U1405" s="34">
        <f>IFERROR(_xlfn.XLOOKUP(E1405,[1]EMPREENDIMENTO!C:C,[1]EMPREENDIMENTO!D:D),"")</f>
        <v>0</v>
      </c>
    </row>
    <row r="1406" spans="1:21" hidden="1" x14ac:dyDescent="0.35">
      <c r="A1406" s="28" t="str">
        <f>IFERROR(_xlfn.XLOOKUP(C1406,[1]DIRETORIA!C:C,[1]DIRETORIA!A:A),"-")</f>
        <v>-</v>
      </c>
      <c r="B1406" s="28" t="str">
        <f>IFERROR(_xlfn.XLOOKUP(C1406,[1]DIRETORIA!C:C,[1]DIRETORIA!B:B),"-")</f>
        <v>-</v>
      </c>
      <c r="C1406" s="28">
        <f>IFERROR(_xlfn.XLOOKUP(E1406,[1]EMPREENDIMENTO!C:C,[1]EMPREENDIMENTO!A:A),"-")</f>
        <v>0</v>
      </c>
      <c r="D1406" s="28"/>
      <c r="E1406" s="28"/>
      <c r="F1406" s="28"/>
      <c r="G1406" s="28"/>
      <c r="H1406" s="28"/>
      <c r="I1406" s="29">
        <f>IFERROR(_xlfn.XLOOKUP(E1406,[1]EMPREENDIMENTO!C:C,[1]EMPREENDIMENTO!E:E),"0")</f>
        <v>0</v>
      </c>
      <c r="J1406" s="30"/>
      <c r="K1406" s="28"/>
      <c r="M1406" s="32"/>
      <c r="N1406" s="32"/>
      <c r="O1406" s="32"/>
      <c r="P1406" s="28"/>
      <c r="Q1406" s="28"/>
      <c r="R1406" s="30"/>
      <c r="S1406" s="30"/>
      <c r="T1406" s="33"/>
      <c r="U1406" s="34">
        <f>IFERROR(_xlfn.XLOOKUP(E1406,[1]EMPREENDIMENTO!C:C,[1]EMPREENDIMENTO!D:D),"")</f>
        <v>0</v>
      </c>
    </row>
    <row r="1407" spans="1:21" hidden="1" x14ac:dyDescent="0.35">
      <c r="A1407" s="28" t="str">
        <f>IFERROR(_xlfn.XLOOKUP(C1407,[1]DIRETORIA!C:C,[1]DIRETORIA!A:A),"-")</f>
        <v>-</v>
      </c>
      <c r="B1407" s="28" t="str">
        <f>IFERROR(_xlfn.XLOOKUP(C1407,[1]DIRETORIA!C:C,[1]DIRETORIA!B:B),"-")</f>
        <v>-</v>
      </c>
      <c r="C1407" s="28">
        <f>IFERROR(_xlfn.XLOOKUP(E1407,[1]EMPREENDIMENTO!C:C,[1]EMPREENDIMENTO!A:A),"-")</f>
        <v>0</v>
      </c>
      <c r="D1407" s="28"/>
      <c r="E1407" s="28"/>
      <c r="F1407" s="28"/>
      <c r="G1407" s="28"/>
      <c r="H1407" s="28"/>
      <c r="I1407" s="29">
        <f>IFERROR(_xlfn.XLOOKUP(E1407,[1]EMPREENDIMENTO!C:C,[1]EMPREENDIMENTO!E:E),"0")</f>
        <v>0</v>
      </c>
      <c r="J1407" s="30"/>
      <c r="K1407" s="28"/>
      <c r="M1407" s="32"/>
      <c r="N1407" s="32"/>
      <c r="O1407" s="32"/>
      <c r="P1407" s="28"/>
      <c r="Q1407" s="28"/>
      <c r="R1407" s="30"/>
      <c r="S1407" s="30"/>
      <c r="T1407" s="33"/>
      <c r="U1407" s="34">
        <f>IFERROR(_xlfn.XLOOKUP(E1407,[1]EMPREENDIMENTO!C:C,[1]EMPREENDIMENTO!D:D),"")</f>
        <v>0</v>
      </c>
    </row>
    <row r="1408" spans="1:21" hidden="1" x14ac:dyDescent="0.35">
      <c r="A1408" s="28" t="str">
        <f>IFERROR(_xlfn.XLOOKUP(C1408,[1]DIRETORIA!C:C,[1]DIRETORIA!A:A),"-")</f>
        <v>-</v>
      </c>
      <c r="B1408" s="28" t="str">
        <f>IFERROR(_xlfn.XLOOKUP(C1408,[1]DIRETORIA!C:C,[1]DIRETORIA!B:B),"-")</f>
        <v>-</v>
      </c>
      <c r="C1408" s="28">
        <f>IFERROR(_xlfn.XLOOKUP(E1408,[1]EMPREENDIMENTO!C:C,[1]EMPREENDIMENTO!A:A),"-")</f>
        <v>0</v>
      </c>
      <c r="D1408" s="28"/>
      <c r="E1408" s="28"/>
      <c r="F1408" s="28"/>
      <c r="G1408" s="28"/>
      <c r="H1408" s="28"/>
      <c r="I1408" s="29">
        <f>IFERROR(_xlfn.XLOOKUP(E1408,[1]EMPREENDIMENTO!C:C,[1]EMPREENDIMENTO!E:E),"0")</f>
        <v>0</v>
      </c>
      <c r="J1408" s="30"/>
      <c r="K1408" s="28"/>
      <c r="M1408" s="32"/>
      <c r="N1408" s="32"/>
      <c r="O1408" s="32"/>
      <c r="P1408" s="28"/>
      <c r="Q1408" s="28"/>
      <c r="R1408" s="30"/>
      <c r="S1408" s="30"/>
      <c r="T1408" s="33"/>
      <c r="U1408" s="34">
        <f>IFERROR(_xlfn.XLOOKUP(E1408,[1]EMPREENDIMENTO!C:C,[1]EMPREENDIMENTO!D:D),"")</f>
        <v>0</v>
      </c>
    </row>
    <row r="1409" spans="1:21" hidden="1" x14ac:dyDescent="0.35">
      <c r="A1409" s="28" t="str">
        <f>IFERROR(_xlfn.XLOOKUP(C1409,[1]DIRETORIA!C:C,[1]DIRETORIA!A:A),"-")</f>
        <v>-</v>
      </c>
      <c r="B1409" s="28" t="str">
        <f>IFERROR(_xlfn.XLOOKUP(C1409,[1]DIRETORIA!C:C,[1]DIRETORIA!B:B),"-")</f>
        <v>-</v>
      </c>
      <c r="C1409" s="28">
        <f>IFERROR(_xlfn.XLOOKUP(E1409,[1]EMPREENDIMENTO!C:C,[1]EMPREENDIMENTO!A:A),"-")</f>
        <v>0</v>
      </c>
      <c r="D1409" s="28"/>
      <c r="E1409" s="28"/>
      <c r="F1409" s="28"/>
      <c r="G1409" s="28"/>
      <c r="H1409" s="28"/>
      <c r="I1409" s="29">
        <f>IFERROR(_xlfn.XLOOKUP(E1409,[1]EMPREENDIMENTO!C:C,[1]EMPREENDIMENTO!E:E),"0")</f>
        <v>0</v>
      </c>
      <c r="J1409" s="30"/>
      <c r="K1409" s="28"/>
      <c r="M1409" s="32"/>
      <c r="N1409" s="32"/>
      <c r="O1409" s="32"/>
      <c r="P1409" s="28"/>
      <c r="Q1409" s="28"/>
      <c r="R1409" s="30"/>
      <c r="S1409" s="30"/>
      <c r="T1409" s="33"/>
      <c r="U1409" s="34">
        <f>IFERROR(_xlfn.XLOOKUP(E1409,[1]EMPREENDIMENTO!C:C,[1]EMPREENDIMENTO!D:D),"")</f>
        <v>0</v>
      </c>
    </row>
    <row r="1410" spans="1:21" hidden="1" x14ac:dyDescent="0.35">
      <c r="A1410" s="28" t="str">
        <f>IFERROR(_xlfn.XLOOKUP(C1410,[1]DIRETORIA!C:C,[1]DIRETORIA!A:A),"-")</f>
        <v>-</v>
      </c>
      <c r="B1410" s="28" t="str">
        <f>IFERROR(_xlfn.XLOOKUP(C1410,[1]DIRETORIA!C:C,[1]DIRETORIA!B:B),"-")</f>
        <v>-</v>
      </c>
      <c r="C1410" s="28">
        <f>IFERROR(_xlfn.XLOOKUP(E1410,[1]EMPREENDIMENTO!C:C,[1]EMPREENDIMENTO!A:A),"-")</f>
        <v>0</v>
      </c>
      <c r="D1410" s="28"/>
      <c r="E1410" s="28"/>
      <c r="F1410" s="28"/>
      <c r="G1410" s="28"/>
      <c r="H1410" s="28"/>
      <c r="I1410" s="29">
        <f>IFERROR(_xlfn.XLOOKUP(E1410,[1]EMPREENDIMENTO!C:C,[1]EMPREENDIMENTO!E:E),"0")</f>
        <v>0</v>
      </c>
      <c r="J1410" s="30"/>
      <c r="K1410" s="28"/>
      <c r="M1410" s="32"/>
      <c r="N1410" s="32"/>
      <c r="O1410" s="32"/>
      <c r="P1410" s="28"/>
      <c r="Q1410" s="28"/>
      <c r="R1410" s="30"/>
      <c r="S1410" s="30"/>
      <c r="T1410" s="33"/>
      <c r="U1410" s="34">
        <f>IFERROR(_xlfn.XLOOKUP(E1410,[1]EMPREENDIMENTO!C:C,[1]EMPREENDIMENTO!D:D),"")</f>
        <v>0</v>
      </c>
    </row>
    <row r="1411" spans="1:21" hidden="1" x14ac:dyDescent="0.35">
      <c r="A1411" s="28" t="str">
        <f>IFERROR(_xlfn.XLOOKUP(C1411,[1]DIRETORIA!C:C,[1]DIRETORIA!A:A),"-")</f>
        <v>-</v>
      </c>
      <c r="B1411" s="28" t="str">
        <f>IFERROR(_xlfn.XLOOKUP(C1411,[1]DIRETORIA!C:C,[1]DIRETORIA!B:B),"-")</f>
        <v>-</v>
      </c>
      <c r="C1411" s="28">
        <f>IFERROR(_xlfn.XLOOKUP(E1411,[1]EMPREENDIMENTO!C:C,[1]EMPREENDIMENTO!A:A),"-")</f>
        <v>0</v>
      </c>
      <c r="D1411" s="28"/>
      <c r="E1411" s="28"/>
      <c r="F1411" s="28"/>
      <c r="G1411" s="28"/>
      <c r="H1411" s="28"/>
      <c r="I1411" s="29">
        <f>IFERROR(_xlfn.XLOOKUP(E1411,[1]EMPREENDIMENTO!C:C,[1]EMPREENDIMENTO!E:E),"0")</f>
        <v>0</v>
      </c>
      <c r="J1411" s="30"/>
      <c r="K1411" s="28"/>
      <c r="M1411" s="32"/>
      <c r="N1411" s="32"/>
      <c r="O1411" s="32"/>
      <c r="P1411" s="28"/>
      <c r="Q1411" s="28"/>
      <c r="R1411" s="30"/>
      <c r="S1411" s="30"/>
      <c r="T1411" s="33"/>
      <c r="U1411" s="34">
        <f>IFERROR(_xlfn.XLOOKUP(E1411,[1]EMPREENDIMENTO!C:C,[1]EMPREENDIMENTO!D:D),"")</f>
        <v>0</v>
      </c>
    </row>
    <row r="1412" spans="1:21" hidden="1" x14ac:dyDescent="0.35">
      <c r="A1412" s="28" t="str">
        <f>IFERROR(_xlfn.XLOOKUP(C1412,[1]DIRETORIA!C:C,[1]DIRETORIA!A:A),"-")</f>
        <v>-</v>
      </c>
      <c r="B1412" s="28" t="str">
        <f>IFERROR(_xlfn.XLOOKUP(C1412,[1]DIRETORIA!C:C,[1]DIRETORIA!B:B),"-")</f>
        <v>-</v>
      </c>
      <c r="C1412" s="28">
        <f>IFERROR(_xlfn.XLOOKUP(E1412,[1]EMPREENDIMENTO!C:C,[1]EMPREENDIMENTO!A:A),"-")</f>
        <v>0</v>
      </c>
      <c r="D1412" s="28"/>
      <c r="E1412" s="28"/>
      <c r="F1412" s="28"/>
      <c r="G1412" s="28"/>
      <c r="H1412" s="28"/>
      <c r="I1412" s="29">
        <f>IFERROR(_xlfn.XLOOKUP(E1412,[1]EMPREENDIMENTO!C:C,[1]EMPREENDIMENTO!E:E),"0")</f>
        <v>0</v>
      </c>
      <c r="J1412" s="30"/>
      <c r="K1412" s="28"/>
      <c r="M1412" s="32"/>
      <c r="N1412" s="32"/>
      <c r="O1412" s="32"/>
      <c r="P1412" s="28"/>
      <c r="Q1412" s="28"/>
      <c r="R1412" s="30"/>
      <c r="S1412" s="30"/>
      <c r="T1412" s="33"/>
      <c r="U1412" s="34">
        <f>IFERROR(_xlfn.XLOOKUP(E1412,[1]EMPREENDIMENTO!C:C,[1]EMPREENDIMENTO!D:D),"")</f>
        <v>0</v>
      </c>
    </row>
    <row r="1413" spans="1:21" hidden="1" x14ac:dyDescent="0.35">
      <c r="A1413" s="28" t="str">
        <f>IFERROR(_xlfn.XLOOKUP(C1413,[1]DIRETORIA!C:C,[1]DIRETORIA!A:A),"-")</f>
        <v>-</v>
      </c>
      <c r="B1413" s="28" t="str">
        <f>IFERROR(_xlfn.XLOOKUP(C1413,[1]DIRETORIA!C:C,[1]DIRETORIA!B:B),"-")</f>
        <v>-</v>
      </c>
      <c r="C1413" s="28">
        <f>IFERROR(_xlfn.XLOOKUP(E1413,[1]EMPREENDIMENTO!C:C,[1]EMPREENDIMENTO!A:A),"-")</f>
        <v>0</v>
      </c>
      <c r="D1413" s="28"/>
      <c r="E1413" s="28"/>
      <c r="F1413" s="28"/>
      <c r="G1413" s="28"/>
      <c r="H1413" s="28"/>
      <c r="I1413" s="29">
        <f>IFERROR(_xlfn.XLOOKUP(E1413,[1]EMPREENDIMENTO!C:C,[1]EMPREENDIMENTO!E:E),"0")</f>
        <v>0</v>
      </c>
      <c r="J1413" s="30"/>
      <c r="K1413" s="28"/>
      <c r="M1413" s="32"/>
      <c r="N1413" s="32"/>
      <c r="O1413" s="32"/>
      <c r="P1413" s="28"/>
      <c r="Q1413" s="28"/>
      <c r="R1413" s="30"/>
      <c r="S1413" s="30"/>
      <c r="T1413" s="33"/>
      <c r="U1413" s="34">
        <f>IFERROR(_xlfn.XLOOKUP(E1413,[1]EMPREENDIMENTO!C:C,[1]EMPREENDIMENTO!D:D),"")</f>
        <v>0</v>
      </c>
    </row>
    <row r="1414" spans="1:21" hidden="1" x14ac:dyDescent="0.35">
      <c r="A1414" s="28" t="str">
        <f>IFERROR(_xlfn.XLOOKUP(C1414,[1]DIRETORIA!C:C,[1]DIRETORIA!A:A),"-")</f>
        <v>-</v>
      </c>
      <c r="B1414" s="28" t="str">
        <f>IFERROR(_xlfn.XLOOKUP(C1414,[1]DIRETORIA!C:C,[1]DIRETORIA!B:B),"-")</f>
        <v>-</v>
      </c>
      <c r="C1414" s="28">
        <f>IFERROR(_xlfn.XLOOKUP(E1414,[1]EMPREENDIMENTO!C:C,[1]EMPREENDIMENTO!A:A),"-")</f>
        <v>0</v>
      </c>
      <c r="D1414" s="28"/>
      <c r="E1414" s="28"/>
      <c r="F1414" s="28"/>
      <c r="G1414" s="28"/>
      <c r="H1414" s="28"/>
      <c r="I1414" s="29">
        <f>IFERROR(_xlfn.XLOOKUP(E1414,[1]EMPREENDIMENTO!C:C,[1]EMPREENDIMENTO!E:E),"0")</f>
        <v>0</v>
      </c>
      <c r="J1414" s="30"/>
      <c r="K1414" s="28"/>
      <c r="M1414" s="32"/>
      <c r="N1414" s="32"/>
      <c r="O1414" s="32"/>
      <c r="P1414" s="28"/>
      <c r="Q1414" s="28"/>
      <c r="R1414" s="30"/>
      <c r="S1414" s="30"/>
      <c r="T1414" s="33"/>
      <c r="U1414" s="34">
        <f>IFERROR(_xlfn.XLOOKUP(E1414,[1]EMPREENDIMENTO!C:C,[1]EMPREENDIMENTO!D:D),"")</f>
        <v>0</v>
      </c>
    </row>
    <row r="1415" spans="1:21" hidden="1" x14ac:dyDescent="0.35">
      <c r="A1415" s="28" t="str">
        <f>IFERROR(_xlfn.XLOOKUP(C1415,[1]DIRETORIA!C:C,[1]DIRETORIA!A:A),"-")</f>
        <v>-</v>
      </c>
      <c r="B1415" s="28" t="str">
        <f>IFERROR(_xlfn.XLOOKUP(C1415,[1]DIRETORIA!C:C,[1]DIRETORIA!B:B),"-")</f>
        <v>-</v>
      </c>
      <c r="C1415" s="28">
        <f>IFERROR(_xlfn.XLOOKUP(E1415,[1]EMPREENDIMENTO!C:C,[1]EMPREENDIMENTO!A:A),"-")</f>
        <v>0</v>
      </c>
      <c r="D1415" s="28"/>
      <c r="E1415" s="28"/>
      <c r="F1415" s="28"/>
      <c r="G1415" s="28"/>
      <c r="H1415" s="28"/>
      <c r="I1415" s="29">
        <f>IFERROR(_xlfn.XLOOKUP(E1415,[1]EMPREENDIMENTO!C:C,[1]EMPREENDIMENTO!E:E),"0")</f>
        <v>0</v>
      </c>
      <c r="J1415" s="30"/>
      <c r="K1415" s="28"/>
      <c r="M1415" s="32"/>
      <c r="N1415" s="32"/>
      <c r="O1415" s="32"/>
      <c r="P1415" s="28"/>
      <c r="Q1415" s="28"/>
      <c r="R1415" s="30"/>
      <c r="S1415" s="30"/>
      <c r="T1415" s="33"/>
      <c r="U1415" s="34">
        <f>IFERROR(_xlfn.XLOOKUP(E1415,[1]EMPREENDIMENTO!C:C,[1]EMPREENDIMENTO!D:D),"")</f>
        <v>0</v>
      </c>
    </row>
    <row r="1416" spans="1:21" hidden="1" x14ac:dyDescent="0.35">
      <c r="A1416" s="28" t="str">
        <f>IFERROR(_xlfn.XLOOKUP(C1416,[1]DIRETORIA!C:C,[1]DIRETORIA!A:A),"-")</f>
        <v>-</v>
      </c>
      <c r="B1416" s="28" t="str">
        <f>IFERROR(_xlfn.XLOOKUP(C1416,[1]DIRETORIA!C:C,[1]DIRETORIA!B:B),"-")</f>
        <v>-</v>
      </c>
      <c r="C1416" s="28">
        <f>IFERROR(_xlfn.XLOOKUP(E1416,[1]EMPREENDIMENTO!C:C,[1]EMPREENDIMENTO!A:A),"-")</f>
        <v>0</v>
      </c>
      <c r="D1416" s="28"/>
      <c r="E1416" s="28"/>
      <c r="F1416" s="28"/>
      <c r="G1416" s="28"/>
      <c r="H1416" s="28"/>
      <c r="I1416" s="29">
        <f>IFERROR(_xlfn.XLOOKUP(E1416,[1]EMPREENDIMENTO!C:C,[1]EMPREENDIMENTO!E:E),"0")</f>
        <v>0</v>
      </c>
      <c r="J1416" s="30"/>
      <c r="K1416" s="28"/>
      <c r="M1416" s="32"/>
      <c r="N1416" s="32"/>
      <c r="O1416" s="32"/>
      <c r="P1416" s="28"/>
      <c r="Q1416" s="28"/>
      <c r="R1416" s="30"/>
      <c r="S1416" s="30"/>
      <c r="T1416" s="33"/>
      <c r="U1416" s="34">
        <f>IFERROR(_xlfn.XLOOKUP(E1416,[1]EMPREENDIMENTO!C:C,[1]EMPREENDIMENTO!D:D),"")</f>
        <v>0</v>
      </c>
    </row>
    <row r="1417" spans="1:21" hidden="1" x14ac:dyDescent="0.35">
      <c r="A1417" s="28" t="str">
        <f>IFERROR(_xlfn.XLOOKUP(C1417,[1]DIRETORIA!C:C,[1]DIRETORIA!A:A),"-")</f>
        <v>-</v>
      </c>
      <c r="B1417" s="28" t="str">
        <f>IFERROR(_xlfn.XLOOKUP(C1417,[1]DIRETORIA!C:C,[1]DIRETORIA!B:B),"-")</f>
        <v>-</v>
      </c>
      <c r="C1417" s="28">
        <f>IFERROR(_xlfn.XLOOKUP(E1417,[1]EMPREENDIMENTO!C:C,[1]EMPREENDIMENTO!A:A),"-")</f>
        <v>0</v>
      </c>
      <c r="D1417" s="28"/>
      <c r="E1417" s="28"/>
      <c r="F1417" s="28"/>
      <c r="G1417" s="28"/>
      <c r="H1417" s="28"/>
      <c r="I1417" s="29">
        <f>IFERROR(_xlfn.XLOOKUP(E1417,[1]EMPREENDIMENTO!C:C,[1]EMPREENDIMENTO!E:E),"0")</f>
        <v>0</v>
      </c>
      <c r="J1417" s="30"/>
      <c r="K1417" s="28"/>
      <c r="M1417" s="32"/>
      <c r="N1417" s="32"/>
      <c r="O1417" s="32"/>
      <c r="P1417" s="28"/>
      <c r="Q1417" s="28"/>
      <c r="R1417" s="30"/>
      <c r="S1417" s="30"/>
      <c r="T1417" s="33"/>
      <c r="U1417" s="34">
        <f>IFERROR(_xlfn.XLOOKUP(E1417,[1]EMPREENDIMENTO!C:C,[1]EMPREENDIMENTO!D:D),"")</f>
        <v>0</v>
      </c>
    </row>
    <row r="1418" spans="1:21" hidden="1" x14ac:dyDescent="0.35">
      <c r="A1418" s="28" t="str">
        <f>IFERROR(_xlfn.XLOOKUP(C1418,[1]DIRETORIA!C:C,[1]DIRETORIA!A:A),"-")</f>
        <v>-</v>
      </c>
      <c r="B1418" s="28" t="str">
        <f>IFERROR(_xlfn.XLOOKUP(C1418,[1]DIRETORIA!C:C,[1]DIRETORIA!B:B),"-")</f>
        <v>-</v>
      </c>
      <c r="C1418" s="28">
        <f>IFERROR(_xlfn.XLOOKUP(E1418,[1]EMPREENDIMENTO!C:C,[1]EMPREENDIMENTO!A:A),"-")</f>
        <v>0</v>
      </c>
      <c r="D1418" s="28"/>
      <c r="E1418" s="28"/>
      <c r="F1418" s="28"/>
      <c r="G1418" s="28"/>
      <c r="H1418" s="28"/>
      <c r="I1418" s="29">
        <f>IFERROR(_xlfn.XLOOKUP(E1418,[1]EMPREENDIMENTO!C:C,[1]EMPREENDIMENTO!E:E),"0")</f>
        <v>0</v>
      </c>
      <c r="J1418" s="30"/>
      <c r="K1418" s="28"/>
      <c r="M1418" s="32"/>
      <c r="N1418" s="32"/>
      <c r="O1418" s="32"/>
      <c r="P1418" s="28"/>
      <c r="Q1418" s="28"/>
      <c r="R1418" s="30"/>
      <c r="S1418" s="30"/>
      <c r="T1418" s="33"/>
      <c r="U1418" s="34">
        <f>IFERROR(_xlfn.XLOOKUP(E1418,[1]EMPREENDIMENTO!C:C,[1]EMPREENDIMENTO!D:D),"")</f>
        <v>0</v>
      </c>
    </row>
    <row r="1419" spans="1:21" hidden="1" x14ac:dyDescent="0.35">
      <c r="A1419" s="28" t="str">
        <f>IFERROR(_xlfn.XLOOKUP(C1419,[1]DIRETORIA!C:C,[1]DIRETORIA!A:A),"-")</f>
        <v>-</v>
      </c>
      <c r="B1419" s="28" t="str">
        <f>IFERROR(_xlfn.XLOOKUP(C1419,[1]DIRETORIA!C:C,[1]DIRETORIA!B:B),"-")</f>
        <v>-</v>
      </c>
      <c r="C1419" s="28">
        <f>IFERROR(_xlfn.XLOOKUP(E1419,[1]EMPREENDIMENTO!C:C,[1]EMPREENDIMENTO!A:A),"-")</f>
        <v>0</v>
      </c>
      <c r="D1419" s="28"/>
      <c r="E1419" s="28"/>
      <c r="F1419" s="28"/>
      <c r="G1419" s="28"/>
      <c r="H1419" s="28"/>
      <c r="I1419" s="29">
        <f>IFERROR(_xlfn.XLOOKUP(E1419,[1]EMPREENDIMENTO!C:C,[1]EMPREENDIMENTO!E:E),"0")</f>
        <v>0</v>
      </c>
      <c r="J1419" s="30"/>
      <c r="K1419" s="28"/>
      <c r="M1419" s="32"/>
      <c r="N1419" s="32"/>
      <c r="O1419" s="32"/>
      <c r="P1419" s="28"/>
      <c r="Q1419" s="28"/>
      <c r="R1419" s="30"/>
      <c r="S1419" s="30"/>
      <c r="T1419" s="33"/>
      <c r="U1419" s="34">
        <f>IFERROR(_xlfn.XLOOKUP(E1419,[1]EMPREENDIMENTO!C:C,[1]EMPREENDIMENTO!D:D),"")</f>
        <v>0</v>
      </c>
    </row>
    <row r="1420" spans="1:21" hidden="1" x14ac:dyDescent="0.35">
      <c r="A1420" s="28" t="str">
        <f>IFERROR(_xlfn.XLOOKUP(C1420,[1]DIRETORIA!C:C,[1]DIRETORIA!A:A),"-")</f>
        <v>-</v>
      </c>
      <c r="B1420" s="28" t="str">
        <f>IFERROR(_xlfn.XLOOKUP(C1420,[1]DIRETORIA!C:C,[1]DIRETORIA!B:B),"-")</f>
        <v>-</v>
      </c>
      <c r="C1420" s="28">
        <f>IFERROR(_xlfn.XLOOKUP(E1420,[1]EMPREENDIMENTO!C:C,[1]EMPREENDIMENTO!A:A),"-")</f>
        <v>0</v>
      </c>
      <c r="D1420" s="28"/>
      <c r="E1420" s="28"/>
      <c r="F1420" s="28"/>
      <c r="G1420" s="28"/>
      <c r="H1420" s="28"/>
      <c r="I1420" s="29">
        <f>IFERROR(_xlfn.XLOOKUP(E1420,[1]EMPREENDIMENTO!C:C,[1]EMPREENDIMENTO!E:E),"0")</f>
        <v>0</v>
      </c>
      <c r="J1420" s="30"/>
      <c r="K1420" s="28"/>
      <c r="M1420" s="32"/>
      <c r="N1420" s="32"/>
      <c r="O1420" s="32"/>
      <c r="P1420" s="28"/>
      <c r="Q1420" s="28"/>
      <c r="R1420" s="30"/>
      <c r="S1420" s="30"/>
      <c r="T1420" s="33"/>
      <c r="U1420" s="34">
        <f>IFERROR(_xlfn.XLOOKUP(E1420,[1]EMPREENDIMENTO!C:C,[1]EMPREENDIMENTO!D:D),"")</f>
        <v>0</v>
      </c>
    </row>
    <row r="1421" spans="1:21" hidden="1" x14ac:dyDescent="0.35">
      <c r="A1421" s="36" t="str">
        <f>IFERROR(_xlfn.XLOOKUP(C1421,[1]DIRETORIA!C:C,[1]DIRETORIA!A:A),"-")</f>
        <v>-</v>
      </c>
      <c r="B1421" s="36" t="str">
        <f>IFERROR(_xlfn.XLOOKUP(C1421,[1]DIRETORIA!C:C,[1]DIRETORIA!B:B),"-")</f>
        <v>-</v>
      </c>
      <c r="C1421" s="36">
        <f>IFERROR(_xlfn.XLOOKUP(E1421,[1]EMPREENDIMENTO!C:C,[1]EMPREENDIMENTO!A:A),"-")</f>
        <v>0</v>
      </c>
      <c r="D1421" s="36"/>
      <c r="E1421" s="36"/>
      <c r="F1421" s="36"/>
      <c r="G1421" s="36"/>
      <c r="H1421" s="36"/>
      <c r="I1421" s="29">
        <f>IFERROR(_xlfn.XLOOKUP(E1421,[1]EMPREENDIMENTO!C:C,[1]EMPREENDIMENTO!E:E),"0")</f>
        <v>0</v>
      </c>
      <c r="J1421" s="31"/>
      <c r="K1421" s="36"/>
      <c r="M1421" s="37"/>
      <c r="N1421" s="37"/>
      <c r="O1421" s="37"/>
      <c r="P1421" s="36"/>
      <c r="Q1421" s="36"/>
      <c r="R1421" s="31"/>
      <c r="S1421" s="31"/>
      <c r="T1421" s="38"/>
      <c r="U1421" s="39">
        <f>IFERROR(_xlfn.XLOOKUP(E1421,[1]EMPREENDIMENTO!C:C,[1]EMPREENDIMENTO!D:D),"")</f>
        <v>0</v>
      </c>
    </row>
    <row r="1422" spans="1:21" hidden="1" x14ac:dyDescent="0.35">
      <c r="A1422" s="36" t="str">
        <f>IFERROR(_xlfn.XLOOKUP(C1422,[1]DIRETORIA!C:C,[1]DIRETORIA!A:A),"-")</f>
        <v>-</v>
      </c>
      <c r="B1422" s="36" t="str">
        <f>IFERROR(_xlfn.XLOOKUP(C1422,[1]DIRETORIA!C:C,[1]DIRETORIA!B:B),"-")</f>
        <v>-</v>
      </c>
      <c r="C1422" s="36">
        <f>IFERROR(_xlfn.XLOOKUP(E1422,[1]EMPREENDIMENTO!C:C,[1]EMPREENDIMENTO!A:A),"-")</f>
        <v>0</v>
      </c>
      <c r="D1422" s="36"/>
      <c r="E1422" s="36"/>
      <c r="F1422" s="36"/>
      <c r="G1422" s="36"/>
      <c r="H1422" s="36"/>
      <c r="I1422" s="29">
        <f>IFERROR(_xlfn.XLOOKUP(E1422,[1]EMPREENDIMENTO!C:C,[1]EMPREENDIMENTO!E:E),"0")</f>
        <v>0</v>
      </c>
      <c r="J1422" s="31"/>
      <c r="K1422" s="36"/>
      <c r="M1422" s="37"/>
      <c r="N1422" s="37"/>
      <c r="O1422" s="37"/>
      <c r="P1422" s="36"/>
      <c r="Q1422" s="36"/>
      <c r="R1422" s="31"/>
      <c r="S1422" s="31"/>
      <c r="T1422" s="38"/>
      <c r="U1422" s="39">
        <f>IFERROR(_xlfn.XLOOKUP(E1422,[1]EMPREENDIMENTO!C:C,[1]EMPREENDIMENTO!D:D),"")</f>
        <v>0</v>
      </c>
    </row>
    <row r="1423" spans="1:21" hidden="1" x14ac:dyDescent="0.35">
      <c r="A1423" s="36" t="str">
        <f>IFERROR(_xlfn.XLOOKUP(C1423,[1]DIRETORIA!C:C,[1]DIRETORIA!A:A),"-")</f>
        <v>-</v>
      </c>
      <c r="B1423" s="36" t="str">
        <f>IFERROR(_xlfn.XLOOKUP(C1423,[1]DIRETORIA!C:C,[1]DIRETORIA!B:B),"-")</f>
        <v>-</v>
      </c>
      <c r="C1423" s="36">
        <f>IFERROR(_xlfn.XLOOKUP(E1423,[1]EMPREENDIMENTO!C:C,[1]EMPREENDIMENTO!A:A),"-")</f>
        <v>0</v>
      </c>
      <c r="D1423" s="36"/>
      <c r="E1423" s="36"/>
      <c r="F1423" s="36"/>
      <c r="G1423" s="36"/>
      <c r="H1423" s="36"/>
      <c r="I1423" s="29">
        <f>IFERROR(_xlfn.XLOOKUP(E1423,[1]EMPREENDIMENTO!C:C,[1]EMPREENDIMENTO!E:E),"0")</f>
        <v>0</v>
      </c>
      <c r="J1423" s="31"/>
      <c r="K1423" s="36"/>
      <c r="M1423" s="37"/>
      <c r="N1423" s="37"/>
      <c r="O1423" s="37"/>
      <c r="P1423" s="36"/>
      <c r="Q1423" s="36"/>
      <c r="R1423" s="31"/>
      <c r="S1423" s="31"/>
      <c r="T1423" s="38"/>
      <c r="U1423" s="39">
        <f>IFERROR(_xlfn.XLOOKUP(E1423,[1]EMPREENDIMENTO!C:C,[1]EMPREENDIMENTO!D:D),"")</f>
        <v>0</v>
      </c>
    </row>
    <row r="1424" spans="1:21" hidden="1" x14ac:dyDescent="0.35">
      <c r="A1424" s="36" t="str">
        <f>IFERROR(_xlfn.XLOOKUP(C1424,[1]DIRETORIA!C:C,[1]DIRETORIA!A:A),"-")</f>
        <v>-</v>
      </c>
      <c r="B1424" s="36" t="str">
        <f>IFERROR(_xlfn.XLOOKUP(C1424,[1]DIRETORIA!C:C,[1]DIRETORIA!B:B),"-")</f>
        <v>-</v>
      </c>
      <c r="C1424" s="36">
        <f>IFERROR(_xlfn.XLOOKUP(E1424,[1]EMPREENDIMENTO!C:C,[1]EMPREENDIMENTO!A:A),"-")</f>
        <v>0</v>
      </c>
      <c r="D1424" s="36"/>
      <c r="E1424" s="36"/>
      <c r="F1424" s="36"/>
      <c r="G1424" s="36"/>
      <c r="H1424" s="36"/>
      <c r="I1424" s="29">
        <f>IFERROR(_xlfn.XLOOKUP(E1424,[1]EMPREENDIMENTO!C:C,[1]EMPREENDIMENTO!E:E),"0")</f>
        <v>0</v>
      </c>
      <c r="J1424" s="31"/>
      <c r="K1424" s="36"/>
      <c r="M1424" s="37"/>
      <c r="N1424" s="37"/>
      <c r="O1424" s="37"/>
      <c r="P1424" s="36"/>
      <c r="Q1424" s="36"/>
      <c r="R1424" s="31"/>
      <c r="S1424" s="31"/>
      <c r="T1424" s="38"/>
      <c r="U1424" s="39">
        <f>IFERROR(_xlfn.XLOOKUP(E1424,[1]EMPREENDIMENTO!C:C,[1]EMPREENDIMENTO!D:D),"")</f>
        <v>0</v>
      </c>
    </row>
    <row r="1425" spans="1:21" hidden="1" x14ac:dyDescent="0.35">
      <c r="A1425" s="36" t="str">
        <f>IFERROR(_xlfn.XLOOKUP(C1425,[1]DIRETORIA!C:C,[1]DIRETORIA!A:A),"-")</f>
        <v>-</v>
      </c>
      <c r="B1425" s="36" t="str">
        <f>IFERROR(_xlfn.XLOOKUP(C1425,[1]DIRETORIA!C:C,[1]DIRETORIA!B:B),"-")</f>
        <v>-</v>
      </c>
      <c r="C1425" s="36">
        <f>IFERROR(_xlfn.XLOOKUP(E1425,[1]EMPREENDIMENTO!C:C,[1]EMPREENDIMENTO!A:A),"-")</f>
        <v>0</v>
      </c>
      <c r="D1425" s="36"/>
      <c r="E1425" s="36"/>
      <c r="F1425" s="36"/>
      <c r="G1425" s="36"/>
      <c r="H1425" s="36"/>
      <c r="I1425" s="29">
        <f>IFERROR(_xlfn.XLOOKUP(E1425,[1]EMPREENDIMENTO!C:C,[1]EMPREENDIMENTO!E:E),"0")</f>
        <v>0</v>
      </c>
      <c r="J1425" s="31"/>
      <c r="K1425" s="36"/>
      <c r="M1425" s="37"/>
      <c r="N1425" s="37"/>
      <c r="O1425" s="37"/>
      <c r="P1425" s="36"/>
      <c r="Q1425" s="36"/>
      <c r="R1425" s="31"/>
      <c r="S1425" s="31"/>
      <c r="T1425" s="38"/>
      <c r="U1425" s="39">
        <f>IFERROR(_xlfn.XLOOKUP(E1425,[1]EMPREENDIMENTO!C:C,[1]EMPREENDIMENTO!D:D),"")</f>
        <v>0</v>
      </c>
    </row>
    <row r="1426" spans="1:21" hidden="1" x14ac:dyDescent="0.35">
      <c r="A1426" s="36" t="str">
        <f>IFERROR(_xlfn.XLOOKUP(C1426,[1]DIRETORIA!C:C,[1]DIRETORIA!A:A),"-")</f>
        <v>-</v>
      </c>
      <c r="B1426" s="36" t="str">
        <f>IFERROR(_xlfn.XLOOKUP(C1426,[1]DIRETORIA!C:C,[1]DIRETORIA!B:B),"-")</f>
        <v>-</v>
      </c>
      <c r="C1426" s="36">
        <f>IFERROR(_xlfn.XLOOKUP(E1426,[1]EMPREENDIMENTO!C:C,[1]EMPREENDIMENTO!A:A),"-")</f>
        <v>0</v>
      </c>
      <c r="D1426" s="36"/>
      <c r="E1426" s="36"/>
      <c r="F1426" s="36"/>
      <c r="G1426" s="36"/>
      <c r="H1426" s="36"/>
      <c r="I1426" s="29">
        <f>IFERROR(_xlfn.XLOOKUP(E1426,[1]EMPREENDIMENTO!C:C,[1]EMPREENDIMENTO!E:E),"0")</f>
        <v>0</v>
      </c>
      <c r="J1426" s="31"/>
      <c r="K1426" s="36"/>
      <c r="M1426" s="37"/>
      <c r="N1426" s="37"/>
      <c r="O1426" s="37"/>
      <c r="P1426" s="36"/>
      <c r="Q1426" s="36"/>
      <c r="R1426" s="31"/>
      <c r="S1426" s="31"/>
      <c r="T1426" s="38"/>
      <c r="U1426" s="39">
        <f>IFERROR(_xlfn.XLOOKUP(E1426,[1]EMPREENDIMENTO!C:C,[1]EMPREENDIMENTO!D:D),"")</f>
        <v>0</v>
      </c>
    </row>
    <row r="1427" spans="1:21" hidden="1" x14ac:dyDescent="0.35">
      <c r="A1427" s="36" t="str">
        <f>IFERROR(_xlfn.XLOOKUP(C1427,[1]DIRETORIA!C:C,[1]DIRETORIA!A:A),"-")</f>
        <v>-</v>
      </c>
      <c r="B1427" s="36" t="str">
        <f>IFERROR(_xlfn.XLOOKUP(C1427,[1]DIRETORIA!C:C,[1]DIRETORIA!B:B),"-")</f>
        <v>-</v>
      </c>
      <c r="C1427" s="36">
        <f>IFERROR(_xlfn.XLOOKUP(E1427,[1]EMPREENDIMENTO!C:C,[1]EMPREENDIMENTO!A:A),"-")</f>
        <v>0</v>
      </c>
      <c r="D1427" s="36"/>
      <c r="E1427" s="36"/>
      <c r="F1427" s="36"/>
      <c r="G1427" s="36"/>
      <c r="H1427" s="36"/>
      <c r="I1427" s="29">
        <f>IFERROR(_xlfn.XLOOKUP(E1427,[1]EMPREENDIMENTO!C:C,[1]EMPREENDIMENTO!E:E),"0")</f>
        <v>0</v>
      </c>
      <c r="J1427" s="31"/>
      <c r="K1427" s="36"/>
      <c r="M1427" s="37"/>
      <c r="N1427" s="37"/>
      <c r="O1427" s="37"/>
      <c r="P1427" s="36"/>
      <c r="Q1427" s="36"/>
      <c r="R1427" s="31"/>
      <c r="S1427" s="31"/>
      <c r="T1427" s="38"/>
      <c r="U1427" s="39">
        <f>IFERROR(_xlfn.XLOOKUP(E1427,[1]EMPREENDIMENTO!C:C,[1]EMPREENDIMENTO!D:D),"")</f>
        <v>0</v>
      </c>
    </row>
    <row r="1428" spans="1:21" hidden="1" x14ac:dyDescent="0.35">
      <c r="A1428" s="36" t="str">
        <f>IFERROR(_xlfn.XLOOKUP(C1428,[1]DIRETORIA!C:C,[1]DIRETORIA!A:A),"-")</f>
        <v>-</v>
      </c>
      <c r="B1428" s="36" t="str">
        <f>IFERROR(_xlfn.XLOOKUP(C1428,[1]DIRETORIA!C:C,[1]DIRETORIA!B:B),"-")</f>
        <v>-</v>
      </c>
      <c r="C1428" s="36">
        <f>IFERROR(_xlfn.XLOOKUP(E1428,[1]EMPREENDIMENTO!C:C,[1]EMPREENDIMENTO!A:A),"-")</f>
        <v>0</v>
      </c>
      <c r="D1428" s="36"/>
      <c r="E1428" s="36"/>
      <c r="F1428" s="36"/>
      <c r="G1428" s="36"/>
      <c r="H1428" s="36"/>
      <c r="I1428" s="29">
        <f>IFERROR(_xlfn.XLOOKUP(E1428,[1]EMPREENDIMENTO!C:C,[1]EMPREENDIMENTO!E:E),"0")</f>
        <v>0</v>
      </c>
      <c r="J1428" s="31"/>
      <c r="K1428" s="36"/>
      <c r="M1428" s="37"/>
      <c r="N1428" s="37"/>
      <c r="O1428" s="37"/>
      <c r="P1428" s="36"/>
      <c r="Q1428" s="36"/>
      <c r="R1428" s="31"/>
      <c r="S1428" s="31"/>
      <c r="T1428" s="38"/>
      <c r="U1428" s="39">
        <f>IFERROR(_xlfn.XLOOKUP(E1428,[1]EMPREENDIMENTO!C:C,[1]EMPREENDIMENTO!D:D),"")</f>
        <v>0</v>
      </c>
    </row>
    <row r="1429" spans="1:21" hidden="1" x14ac:dyDescent="0.35">
      <c r="A1429" s="36" t="str">
        <f>IFERROR(_xlfn.XLOOKUP(C1429,[1]DIRETORIA!C:C,[1]DIRETORIA!A:A),"-")</f>
        <v>-</v>
      </c>
      <c r="B1429" s="36" t="str">
        <f>IFERROR(_xlfn.XLOOKUP(C1429,[1]DIRETORIA!C:C,[1]DIRETORIA!B:B),"-")</f>
        <v>-</v>
      </c>
      <c r="C1429" s="36">
        <f>IFERROR(_xlfn.XLOOKUP(E1429,[1]EMPREENDIMENTO!C:C,[1]EMPREENDIMENTO!A:A),"-")</f>
        <v>0</v>
      </c>
      <c r="D1429" s="36"/>
      <c r="E1429" s="36"/>
      <c r="F1429" s="36"/>
      <c r="G1429" s="36"/>
      <c r="H1429" s="36"/>
      <c r="I1429" s="29">
        <f>IFERROR(_xlfn.XLOOKUP(E1429,[1]EMPREENDIMENTO!C:C,[1]EMPREENDIMENTO!E:E),"0")</f>
        <v>0</v>
      </c>
      <c r="J1429" s="31"/>
      <c r="K1429" s="36"/>
      <c r="M1429" s="37"/>
      <c r="N1429" s="37"/>
      <c r="O1429" s="37"/>
      <c r="P1429" s="36"/>
      <c r="Q1429" s="36"/>
      <c r="R1429" s="31"/>
      <c r="S1429" s="31"/>
      <c r="T1429" s="38"/>
      <c r="U1429" s="39">
        <f>IFERROR(_xlfn.XLOOKUP(E1429,[1]EMPREENDIMENTO!C:C,[1]EMPREENDIMENTO!D:D),"")</f>
        <v>0</v>
      </c>
    </row>
    <row r="1430" spans="1:21" hidden="1" x14ac:dyDescent="0.35">
      <c r="A1430" s="36" t="str">
        <f>IFERROR(_xlfn.XLOOKUP(C1430,[1]DIRETORIA!C:C,[1]DIRETORIA!A:A),"-")</f>
        <v>-</v>
      </c>
      <c r="B1430" s="36" t="str">
        <f>IFERROR(_xlfn.XLOOKUP(C1430,[1]DIRETORIA!C:C,[1]DIRETORIA!B:B),"-")</f>
        <v>-</v>
      </c>
      <c r="C1430" s="36">
        <f>IFERROR(_xlfn.XLOOKUP(E1430,[1]EMPREENDIMENTO!C:C,[1]EMPREENDIMENTO!A:A),"-")</f>
        <v>0</v>
      </c>
      <c r="D1430" s="36"/>
      <c r="E1430" s="36"/>
      <c r="F1430" s="36"/>
      <c r="G1430" s="36"/>
      <c r="H1430" s="36"/>
      <c r="I1430" s="29">
        <f>IFERROR(_xlfn.XLOOKUP(E1430,[1]EMPREENDIMENTO!C:C,[1]EMPREENDIMENTO!E:E),"0")</f>
        <v>0</v>
      </c>
      <c r="J1430" s="31"/>
      <c r="K1430" s="36"/>
      <c r="M1430" s="37"/>
      <c r="N1430" s="37"/>
      <c r="O1430" s="37"/>
      <c r="P1430" s="36"/>
      <c r="Q1430" s="36"/>
      <c r="R1430" s="31"/>
      <c r="S1430" s="31"/>
      <c r="T1430" s="38"/>
      <c r="U1430" s="39">
        <f>IFERROR(_xlfn.XLOOKUP(E1430,[1]EMPREENDIMENTO!C:C,[1]EMPREENDIMENTO!D:D),"")</f>
        <v>0</v>
      </c>
    </row>
    <row r="1431" spans="1:21" hidden="1" x14ac:dyDescent="0.35">
      <c r="A1431" s="36" t="str">
        <f>IFERROR(_xlfn.XLOOKUP(C1431,[1]DIRETORIA!C:C,[1]DIRETORIA!A:A),"-")</f>
        <v>-</v>
      </c>
      <c r="B1431" s="36" t="str">
        <f>IFERROR(_xlfn.XLOOKUP(C1431,[1]DIRETORIA!C:C,[1]DIRETORIA!B:B),"-")</f>
        <v>-</v>
      </c>
      <c r="C1431" s="36">
        <f>IFERROR(_xlfn.XLOOKUP(E1431,[1]EMPREENDIMENTO!C:C,[1]EMPREENDIMENTO!A:A),"-")</f>
        <v>0</v>
      </c>
      <c r="D1431" s="36"/>
      <c r="E1431" s="36"/>
      <c r="F1431" s="36"/>
      <c r="G1431" s="36"/>
      <c r="H1431" s="36"/>
      <c r="I1431" s="29">
        <f>IFERROR(_xlfn.XLOOKUP(E1431,[1]EMPREENDIMENTO!C:C,[1]EMPREENDIMENTO!E:E),"0")</f>
        <v>0</v>
      </c>
      <c r="J1431" s="31"/>
      <c r="K1431" s="36"/>
      <c r="M1431" s="37"/>
      <c r="N1431" s="37"/>
      <c r="O1431" s="37"/>
      <c r="P1431" s="36"/>
      <c r="Q1431" s="36"/>
      <c r="R1431" s="31"/>
      <c r="S1431" s="31"/>
      <c r="T1431" s="38"/>
      <c r="U1431" s="39">
        <f>IFERROR(_xlfn.XLOOKUP(E1431,[1]EMPREENDIMENTO!C:C,[1]EMPREENDIMENTO!D:D),"")</f>
        <v>0</v>
      </c>
    </row>
    <row r="1432" spans="1:21" hidden="1" x14ac:dyDescent="0.35">
      <c r="A1432" s="36" t="str">
        <f>IFERROR(_xlfn.XLOOKUP(C1432,[1]DIRETORIA!C:C,[1]DIRETORIA!A:A),"-")</f>
        <v>-</v>
      </c>
      <c r="B1432" s="36" t="str">
        <f>IFERROR(_xlfn.XLOOKUP(C1432,[1]DIRETORIA!C:C,[1]DIRETORIA!B:B),"-")</f>
        <v>-</v>
      </c>
      <c r="C1432" s="36">
        <f>IFERROR(_xlfn.XLOOKUP(E1432,[1]EMPREENDIMENTO!C:C,[1]EMPREENDIMENTO!A:A),"-")</f>
        <v>0</v>
      </c>
      <c r="D1432" s="36"/>
      <c r="E1432" s="36"/>
      <c r="F1432" s="36"/>
      <c r="G1432" s="36"/>
      <c r="H1432" s="36"/>
      <c r="I1432" s="29">
        <f>IFERROR(_xlfn.XLOOKUP(E1432,[1]EMPREENDIMENTO!C:C,[1]EMPREENDIMENTO!E:E),"0")</f>
        <v>0</v>
      </c>
      <c r="J1432" s="31"/>
      <c r="K1432" s="36"/>
      <c r="M1432" s="37"/>
      <c r="N1432" s="37"/>
      <c r="O1432" s="37"/>
      <c r="P1432" s="36"/>
      <c r="Q1432" s="36"/>
      <c r="R1432" s="31"/>
      <c r="S1432" s="31"/>
      <c r="T1432" s="38"/>
      <c r="U1432" s="39">
        <f>IFERROR(_xlfn.XLOOKUP(E1432,[1]EMPREENDIMENTO!C:C,[1]EMPREENDIMENTO!D:D),"")</f>
        <v>0</v>
      </c>
    </row>
    <row r="1433" spans="1:21" hidden="1" x14ac:dyDescent="0.35">
      <c r="A1433" s="36" t="str">
        <f>IFERROR(_xlfn.XLOOKUP(C1433,[1]DIRETORIA!C:C,[1]DIRETORIA!A:A),"-")</f>
        <v>-</v>
      </c>
      <c r="B1433" s="36" t="str">
        <f>IFERROR(_xlfn.XLOOKUP(C1433,[1]DIRETORIA!C:C,[1]DIRETORIA!B:B),"-")</f>
        <v>-</v>
      </c>
      <c r="C1433" s="36">
        <f>IFERROR(_xlfn.XLOOKUP(E1433,[1]EMPREENDIMENTO!C:C,[1]EMPREENDIMENTO!A:A),"-")</f>
        <v>0</v>
      </c>
      <c r="D1433" s="36"/>
      <c r="E1433" s="36"/>
      <c r="F1433" s="36"/>
      <c r="G1433" s="36"/>
      <c r="H1433" s="36"/>
      <c r="I1433" s="29">
        <f>IFERROR(_xlfn.XLOOKUP(E1433,[1]EMPREENDIMENTO!C:C,[1]EMPREENDIMENTO!E:E),"0")</f>
        <v>0</v>
      </c>
      <c r="J1433" s="31"/>
      <c r="K1433" s="36"/>
      <c r="M1433" s="37"/>
      <c r="N1433" s="37"/>
      <c r="O1433" s="37"/>
      <c r="P1433" s="36"/>
      <c r="Q1433" s="36"/>
      <c r="R1433" s="31"/>
      <c r="S1433" s="31"/>
      <c r="T1433" s="38"/>
      <c r="U1433" s="39">
        <f>IFERROR(_xlfn.XLOOKUP(E1433,[1]EMPREENDIMENTO!C:C,[1]EMPREENDIMENTO!D:D),"")</f>
        <v>0</v>
      </c>
    </row>
    <row r="1434" spans="1:21" hidden="1" x14ac:dyDescent="0.35">
      <c r="A1434" s="36" t="str">
        <f>IFERROR(_xlfn.XLOOKUP(C1434,[1]DIRETORIA!C:C,[1]DIRETORIA!A:A),"-")</f>
        <v>-</v>
      </c>
      <c r="B1434" s="36" t="str">
        <f>IFERROR(_xlfn.XLOOKUP(C1434,[1]DIRETORIA!C:C,[1]DIRETORIA!B:B),"-")</f>
        <v>-</v>
      </c>
      <c r="C1434" s="36">
        <f>IFERROR(_xlfn.XLOOKUP(E1434,[1]EMPREENDIMENTO!C:C,[1]EMPREENDIMENTO!A:A),"-")</f>
        <v>0</v>
      </c>
      <c r="D1434" s="36"/>
      <c r="E1434" s="36"/>
      <c r="F1434" s="36"/>
      <c r="G1434" s="36"/>
      <c r="H1434" s="36"/>
      <c r="I1434" s="29">
        <f>IFERROR(_xlfn.XLOOKUP(E1434,[1]EMPREENDIMENTO!C:C,[1]EMPREENDIMENTO!E:E),"0")</f>
        <v>0</v>
      </c>
      <c r="J1434" s="31"/>
      <c r="K1434" s="36"/>
      <c r="M1434" s="37"/>
      <c r="N1434" s="37"/>
      <c r="O1434" s="37"/>
      <c r="P1434" s="36"/>
      <c r="Q1434" s="36"/>
      <c r="R1434" s="31"/>
      <c r="S1434" s="31"/>
      <c r="T1434" s="38"/>
      <c r="U1434" s="39">
        <f>IFERROR(_xlfn.XLOOKUP(E1434,[1]EMPREENDIMENTO!C:C,[1]EMPREENDIMENTO!D:D),"")</f>
        <v>0</v>
      </c>
    </row>
    <row r="1435" spans="1:21" hidden="1" x14ac:dyDescent="0.35">
      <c r="A1435" s="36" t="str">
        <f>IFERROR(_xlfn.XLOOKUP(C1435,[1]DIRETORIA!C:C,[1]DIRETORIA!A:A),"-")</f>
        <v>-</v>
      </c>
      <c r="B1435" s="36" t="str">
        <f>IFERROR(_xlfn.XLOOKUP(C1435,[1]DIRETORIA!C:C,[1]DIRETORIA!B:B),"-")</f>
        <v>-</v>
      </c>
      <c r="C1435" s="36">
        <f>IFERROR(_xlfn.XLOOKUP(E1435,[1]EMPREENDIMENTO!C:C,[1]EMPREENDIMENTO!A:A),"-")</f>
        <v>0</v>
      </c>
      <c r="D1435" s="36"/>
      <c r="E1435" s="36"/>
      <c r="F1435" s="36"/>
      <c r="G1435" s="36"/>
      <c r="H1435" s="36"/>
      <c r="I1435" s="29">
        <f>IFERROR(_xlfn.XLOOKUP(E1435,[1]EMPREENDIMENTO!C:C,[1]EMPREENDIMENTO!E:E),"0")</f>
        <v>0</v>
      </c>
      <c r="J1435" s="31"/>
      <c r="K1435" s="36"/>
      <c r="M1435" s="37"/>
      <c r="N1435" s="37"/>
      <c r="O1435" s="37"/>
      <c r="P1435" s="36"/>
      <c r="Q1435" s="36"/>
      <c r="R1435" s="31"/>
      <c r="S1435" s="31"/>
      <c r="T1435" s="38"/>
      <c r="U1435" s="39">
        <f>IFERROR(_xlfn.XLOOKUP(E1435,[1]EMPREENDIMENTO!C:C,[1]EMPREENDIMENTO!D:D),"")</f>
        <v>0</v>
      </c>
    </row>
    <row r="1436" spans="1:21" hidden="1" x14ac:dyDescent="0.35">
      <c r="A1436" s="36" t="str">
        <f>IFERROR(_xlfn.XLOOKUP(C1436,[1]DIRETORIA!C:C,[1]DIRETORIA!A:A),"-")</f>
        <v>-</v>
      </c>
      <c r="B1436" s="36" t="str">
        <f>IFERROR(_xlfn.XLOOKUP(C1436,[1]DIRETORIA!C:C,[1]DIRETORIA!B:B),"-")</f>
        <v>-</v>
      </c>
      <c r="C1436" s="36">
        <f>IFERROR(_xlfn.XLOOKUP(E1436,[1]EMPREENDIMENTO!C:C,[1]EMPREENDIMENTO!A:A),"-")</f>
        <v>0</v>
      </c>
      <c r="D1436" s="36"/>
      <c r="E1436" s="36"/>
      <c r="F1436" s="36"/>
      <c r="G1436" s="36"/>
      <c r="H1436" s="36"/>
      <c r="I1436" s="29">
        <f>IFERROR(_xlfn.XLOOKUP(E1436,[1]EMPREENDIMENTO!C:C,[1]EMPREENDIMENTO!E:E),"0")</f>
        <v>0</v>
      </c>
      <c r="J1436" s="31"/>
      <c r="K1436" s="36"/>
      <c r="M1436" s="37"/>
      <c r="N1436" s="37"/>
      <c r="O1436" s="37"/>
      <c r="P1436" s="36"/>
      <c r="Q1436" s="36"/>
      <c r="R1436" s="31"/>
      <c r="S1436" s="31"/>
      <c r="T1436" s="38"/>
      <c r="U1436" s="39">
        <f>IFERROR(_xlfn.XLOOKUP(E1436,[1]EMPREENDIMENTO!C:C,[1]EMPREENDIMENTO!D:D),"")</f>
        <v>0</v>
      </c>
    </row>
    <row r="1437" spans="1:21" hidden="1" x14ac:dyDescent="0.35">
      <c r="A1437" s="36" t="str">
        <f>IFERROR(_xlfn.XLOOKUP(C1437,[1]DIRETORIA!C:C,[1]DIRETORIA!A:A),"-")</f>
        <v>-</v>
      </c>
      <c r="B1437" s="36" t="str">
        <f>IFERROR(_xlfn.XLOOKUP(C1437,[1]DIRETORIA!C:C,[1]DIRETORIA!B:B),"-")</f>
        <v>-</v>
      </c>
      <c r="C1437" s="36">
        <f>IFERROR(_xlfn.XLOOKUP(E1437,[1]EMPREENDIMENTO!C:C,[1]EMPREENDIMENTO!A:A),"-")</f>
        <v>0</v>
      </c>
      <c r="D1437" s="36"/>
      <c r="E1437" s="36"/>
      <c r="F1437" s="36"/>
      <c r="G1437" s="36"/>
      <c r="H1437" s="36"/>
      <c r="I1437" s="29">
        <f>IFERROR(_xlfn.XLOOKUP(E1437,[1]EMPREENDIMENTO!C:C,[1]EMPREENDIMENTO!E:E),"0")</f>
        <v>0</v>
      </c>
      <c r="J1437" s="31"/>
      <c r="K1437" s="36"/>
      <c r="M1437" s="37"/>
      <c r="N1437" s="37"/>
      <c r="O1437" s="37"/>
      <c r="P1437" s="36"/>
      <c r="Q1437" s="36"/>
      <c r="R1437" s="31"/>
      <c r="S1437" s="31"/>
      <c r="T1437" s="38"/>
      <c r="U1437" s="39">
        <f>IFERROR(_xlfn.XLOOKUP(E1437,[1]EMPREENDIMENTO!C:C,[1]EMPREENDIMENTO!D:D),"")</f>
        <v>0</v>
      </c>
    </row>
    <row r="1438" spans="1:21" hidden="1" x14ac:dyDescent="0.35">
      <c r="A1438" s="36" t="str">
        <f>IFERROR(_xlfn.XLOOKUP(C1438,[1]DIRETORIA!C:C,[1]DIRETORIA!A:A),"-")</f>
        <v>-</v>
      </c>
      <c r="B1438" s="36" t="str">
        <f>IFERROR(_xlfn.XLOOKUP(C1438,[1]DIRETORIA!C:C,[1]DIRETORIA!B:B),"-")</f>
        <v>-</v>
      </c>
      <c r="C1438" s="36">
        <f>IFERROR(_xlfn.XLOOKUP(E1438,[1]EMPREENDIMENTO!C:C,[1]EMPREENDIMENTO!A:A),"-")</f>
        <v>0</v>
      </c>
      <c r="D1438" s="36"/>
      <c r="E1438" s="36"/>
      <c r="F1438" s="36"/>
      <c r="G1438" s="36"/>
      <c r="H1438" s="36"/>
      <c r="I1438" s="29">
        <f>IFERROR(_xlfn.XLOOKUP(E1438,[1]EMPREENDIMENTO!C:C,[1]EMPREENDIMENTO!E:E),"0")</f>
        <v>0</v>
      </c>
      <c r="J1438" s="31"/>
      <c r="K1438" s="36"/>
      <c r="M1438" s="37"/>
      <c r="N1438" s="37"/>
      <c r="O1438" s="37"/>
      <c r="P1438" s="36"/>
      <c r="Q1438" s="36"/>
      <c r="R1438" s="31"/>
      <c r="S1438" s="31"/>
      <c r="T1438" s="38"/>
      <c r="U1438" s="39">
        <f>IFERROR(_xlfn.XLOOKUP(E1438,[1]EMPREENDIMENTO!C:C,[1]EMPREENDIMENTO!D:D),"")</f>
        <v>0</v>
      </c>
    </row>
    <row r="1439" spans="1:21" hidden="1" x14ac:dyDescent="0.35">
      <c r="A1439" s="36" t="str">
        <f>IFERROR(_xlfn.XLOOKUP(C1439,[1]DIRETORIA!C:C,[1]DIRETORIA!A:A),"-")</f>
        <v>-</v>
      </c>
      <c r="B1439" s="36" t="str">
        <f>IFERROR(_xlfn.XLOOKUP(C1439,[1]DIRETORIA!C:C,[1]DIRETORIA!B:B),"-")</f>
        <v>-</v>
      </c>
      <c r="C1439" s="36">
        <f>IFERROR(_xlfn.XLOOKUP(E1439,[1]EMPREENDIMENTO!C:C,[1]EMPREENDIMENTO!A:A),"-")</f>
        <v>0</v>
      </c>
      <c r="D1439" s="36"/>
      <c r="E1439" s="36"/>
      <c r="F1439" s="36"/>
      <c r="G1439" s="36"/>
      <c r="H1439" s="36"/>
      <c r="I1439" s="29">
        <f>IFERROR(_xlfn.XLOOKUP(E1439,[1]EMPREENDIMENTO!C:C,[1]EMPREENDIMENTO!E:E),"0")</f>
        <v>0</v>
      </c>
      <c r="J1439" s="31"/>
      <c r="K1439" s="36"/>
      <c r="M1439" s="37"/>
      <c r="N1439" s="37"/>
      <c r="O1439" s="37"/>
      <c r="P1439" s="36"/>
      <c r="Q1439" s="36"/>
      <c r="R1439" s="31"/>
      <c r="S1439" s="31"/>
      <c r="T1439" s="38"/>
      <c r="U1439" s="39">
        <f>IFERROR(_xlfn.XLOOKUP(E1439,[1]EMPREENDIMENTO!C:C,[1]EMPREENDIMENTO!D:D),"")</f>
        <v>0</v>
      </c>
    </row>
    <row r="1440" spans="1:21" hidden="1" x14ac:dyDescent="0.35">
      <c r="A1440" s="36" t="str">
        <f>IFERROR(_xlfn.XLOOKUP(C1440,[1]DIRETORIA!C:C,[1]DIRETORIA!A:A),"-")</f>
        <v>-</v>
      </c>
      <c r="B1440" s="36" t="str">
        <f>IFERROR(_xlfn.XLOOKUP(C1440,[1]DIRETORIA!C:C,[1]DIRETORIA!B:B),"-")</f>
        <v>-</v>
      </c>
      <c r="C1440" s="36">
        <f>IFERROR(_xlfn.XLOOKUP(E1440,[1]EMPREENDIMENTO!C:C,[1]EMPREENDIMENTO!A:A),"-")</f>
        <v>0</v>
      </c>
      <c r="D1440" s="36"/>
      <c r="E1440" s="36"/>
      <c r="F1440" s="36"/>
      <c r="G1440" s="36"/>
      <c r="H1440" s="36"/>
      <c r="I1440" s="29">
        <f>IFERROR(_xlfn.XLOOKUP(E1440,[1]EMPREENDIMENTO!C:C,[1]EMPREENDIMENTO!E:E),"0")</f>
        <v>0</v>
      </c>
      <c r="J1440" s="31"/>
      <c r="K1440" s="36"/>
      <c r="M1440" s="37"/>
      <c r="N1440" s="37"/>
      <c r="O1440" s="37"/>
      <c r="P1440" s="36"/>
      <c r="Q1440" s="36"/>
      <c r="R1440" s="31"/>
      <c r="S1440" s="31"/>
      <c r="T1440" s="38"/>
      <c r="U1440" s="39">
        <f>IFERROR(_xlfn.XLOOKUP(E1440,[1]EMPREENDIMENTO!C:C,[1]EMPREENDIMENTO!D:D),"")</f>
        <v>0</v>
      </c>
    </row>
    <row r="1441" spans="1:21" hidden="1" x14ac:dyDescent="0.35">
      <c r="A1441" s="36" t="str">
        <f>IFERROR(_xlfn.XLOOKUP(C1441,[1]DIRETORIA!C:C,[1]DIRETORIA!A:A),"-")</f>
        <v>-</v>
      </c>
      <c r="B1441" s="36" t="str">
        <f>IFERROR(_xlfn.XLOOKUP(C1441,[1]DIRETORIA!C:C,[1]DIRETORIA!B:B),"-")</f>
        <v>-</v>
      </c>
      <c r="C1441" s="36">
        <f>IFERROR(_xlfn.XLOOKUP(E1441,[1]EMPREENDIMENTO!C:C,[1]EMPREENDIMENTO!A:A),"-")</f>
        <v>0</v>
      </c>
      <c r="D1441" s="36"/>
      <c r="E1441" s="36"/>
      <c r="F1441" s="36"/>
      <c r="G1441" s="36"/>
      <c r="H1441" s="36"/>
      <c r="I1441" s="29">
        <f>IFERROR(_xlfn.XLOOKUP(E1441,[1]EMPREENDIMENTO!C:C,[1]EMPREENDIMENTO!E:E),"0")</f>
        <v>0</v>
      </c>
      <c r="J1441" s="31"/>
      <c r="K1441" s="36"/>
      <c r="M1441" s="37"/>
      <c r="N1441" s="37"/>
      <c r="O1441" s="37"/>
      <c r="P1441" s="36"/>
      <c r="Q1441" s="36"/>
      <c r="R1441" s="31"/>
      <c r="S1441" s="31"/>
      <c r="T1441" s="38"/>
      <c r="U1441" s="39">
        <f>IFERROR(_xlfn.XLOOKUP(E1441,[1]EMPREENDIMENTO!C:C,[1]EMPREENDIMENTO!D:D),"")</f>
        <v>0</v>
      </c>
    </row>
    <row r="1442" spans="1:21" hidden="1" x14ac:dyDescent="0.35">
      <c r="A1442" s="36" t="str">
        <f>IFERROR(_xlfn.XLOOKUP(C1442,[1]DIRETORIA!C:C,[1]DIRETORIA!A:A),"-")</f>
        <v>-</v>
      </c>
      <c r="B1442" s="36" t="str">
        <f>IFERROR(_xlfn.XLOOKUP(C1442,[1]DIRETORIA!C:C,[1]DIRETORIA!B:B),"-")</f>
        <v>-</v>
      </c>
      <c r="C1442" s="36">
        <f>IFERROR(_xlfn.XLOOKUP(E1442,[1]EMPREENDIMENTO!C:C,[1]EMPREENDIMENTO!A:A),"-")</f>
        <v>0</v>
      </c>
      <c r="D1442" s="36"/>
      <c r="E1442" s="36"/>
      <c r="F1442" s="36"/>
      <c r="G1442" s="36"/>
      <c r="H1442" s="36"/>
      <c r="I1442" s="29">
        <f>IFERROR(_xlfn.XLOOKUP(E1442,[1]EMPREENDIMENTO!C:C,[1]EMPREENDIMENTO!E:E),"0")</f>
        <v>0</v>
      </c>
      <c r="J1442" s="31"/>
      <c r="K1442" s="36"/>
      <c r="M1442" s="37"/>
      <c r="N1442" s="37"/>
      <c r="O1442" s="37"/>
      <c r="P1442" s="36"/>
      <c r="Q1442" s="36"/>
      <c r="R1442" s="31"/>
      <c r="S1442" s="31"/>
      <c r="T1442" s="38"/>
      <c r="U1442" s="39">
        <f>IFERROR(_xlfn.XLOOKUP(E1442,[1]EMPREENDIMENTO!C:C,[1]EMPREENDIMENTO!D:D),"")</f>
        <v>0</v>
      </c>
    </row>
    <row r="1443" spans="1:21" hidden="1" x14ac:dyDescent="0.35">
      <c r="A1443" s="36" t="str">
        <f>IFERROR(_xlfn.XLOOKUP(C1443,[1]DIRETORIA!C:C,[1]DIRETORIA!A:A),"-")</f>
        <v>-</v>
      </c>
      <c r="B1443" s="36" t="str">
        <f>IFERROR(_xlfn.XLOOKUP(C1443,[1]DIRETORIA!C:C,[1]DIRETORIA!B:B),"-")</f>
        <v>-</v>
      </c>
      <c r="C1443" s="36">
        <f>IFERROR(_xlfn.XLOOKUP(E1443,[1]EMPREENDIMENTO!C:C,[1]EMPREENDIMENTO!A:A),"-")</f>
        <v>0</v>
      </c>
      <c r="D1443" s="36"/>
      <c r="E1443" s="36"/>
      <c r="F1443" s="36"/>
      <c r="G1443" s="36"/>
      <c r="H1443" s="36"/>
      <c r="I1443" s="29">
        <f>IFERROR(_xlfn.XLOOKUP(E1443,[1]EMPREENDIMENTO!C:C,[1]EMPREENDIMENTO!E:E),"0")</f>
        <v>0</v>
      </c>
      <c r="J1443" s="31"/>
      <c r="K1443" s="36"/>
      <c r="M1443" s="37"/>
      <c r="N1443" s="37"/>
      <c r="O1443" s="37"/>
      <c r="P1443" s="36"/>
      <c r="Q1443" s="36"/>
      <c r="R1443" s="31"/>
      <c r="S1443" s="31"/>
      <c r="T1443" s="38"/>
      <c r="U1443" s="39">
        <f>IFERROR(_xlfn.XLOOKUP(E1443,[1]EMPREENDIMENTO!C:C,[1]EMPREENDIMENTO!D:D),"")</f>
        <v>0</v>
      </c>
    </row>
    <row r="1444" spans="1:21" hidden="1" x14ac:dyDescent="0.35">
      <c r="A1444" s="36" t="str">
        <f>IFERROR(_xlfn.XLOOKUP(C1444,[1]DIRETORIA!C:C,[1]DIRETORIA!A:A),"-")</f>
        <v>-</v>
      </c>
      <c r="B1444" s="36" t="str">
        <f>IFERROR(_xlfn.XLOOKUP(C1444,[1]DIRETORIA!C:C,[1]DIRETORIA!B:B),"-")</f>
        <v>-</v>
      </c>
      <c r="C1444" s="36">
        <f>IFERROR(_xlfn.XLOOKUP(E1444,[1]EMPREENDIMENTO!C:C,[1]EMPREENDIMENTO!A:A),"-")</f>
        <v>0</v>
      </c>
      <c r="D1444" s="36"/>
      <c r="E1444" s="36"/>
      <c r="F1444" s="36"/>
      <c r="G1444" s="36"/>
      <c r="H1444" s="36"/>
      <c r="I1444" s="29">
        <f>IFERROR(_xlfn.XLOOKUP(E1444,[1]EMPREENDIMENTO!C:C,[1]EMPREENDIMENTO!E:E),"0")</f>
        <v>0</v>
      </c>
      <c r="J1444" s="31"/>
      <c r="K1444" s="36"/>
      <c r="M1444" s="37"/>
      <c r="N1444" s="37"/>
      <c r="O1444" s="37"/>
      <c r="P1444" s="36"/>
      <c r="Q1444" s="36"/>
      <c r="R1444" s="31"/>
      <c r="S1444" s="31"/>
      <c r="T1444" s="38"/>
      <c r="U1444" s="39">
        <f>IFERROR(_xlfn.XLOOKUP(E1444,[1]EMPREENDIMENTO!C:C,[1]EMPREENDIMENTO!D:D),"")</f>
        <v>0</v>
      </c>
    </row>
    <row r="1445" spans="1:21" hidden="1" x14ac:dyDescent="0.35">
      <c r="A1445" s="36" t="str">
        <f>IFERROR(_xlfn.XLOOKUP(C1445,[1]DIRETORIA!C:C,[1]DIRETORIA!A:A),"-")</f>
        <v>-</v>
      </c>
      <c r="B1445" s="36" t="str">
        <f>IFERROR(_xlfn.XLOOKUP(C1445,[1]DIRETORIA!C:C,[1]DIRETORIA!B:B),"-")</f>
        <v>-</v>
      </c>
      <c r="C1445" s="36">
        <f>IFERROR(_xlfn.XLOOKUP(E1445,[1]EMPREENDIMENTO!C:C,[1]EMPREENDIMENTO!A:A),"-")</f>
        <v>0</v>
      </c>
      <c r="D1445" s="36"/>
      <c r="E1445" s="36"/>
      <c r="F1445" s="36"/>
      <c r="G1445" s="36"/>
      <c r="H1445" s="36"/>
      <c r="I1445" s="29">
        <f>IFERROR(_xlfn.XLOOKUP(E1445,[1]EMPREENDIMENTO!C:C,[1]EMPREENDIMENTO!E:E),"0")</f>
        <v>0</v>
      </c>
      <c r="J1445" s="31"/>
      <c r="K1445" s="36"/>
      <c r="M1445" s="37"/>
      <c r="N1445" s="37"/>
      <c r="O1445" s="37"/>
      <c r="P1445" s="36"/>
      <c r="Q1445" s="36"/>
      <c r="R1445" s="31"/>
      <c r="S1445" s="31"/>
      <c r="T1445" s="38"/>
      <c r="U1445" s="39">
        <f>IFERROR(_xlfn.XLOOKUP(E1445,[1]EMPREENDIMENTO!C:C,[1]EMPREENDIMENTO!D:D),"")</f>
        <v>0</v>
      </c>
    </row>
    <row r="1446" spans="1:21" hidden="1" x14ac:dyDescent="0.35">
      <c r="A1446" s="36" t="str">
        <f>IFERROR(_xlfn.XLOOKUP(C1446,[1]DIRETORIA!C:C,[1]DIRETORIA!A:A),"-")</f>
        <v>-</v>
      </c>
      <c r="B1446" s="36" t="str">
        <f>IFERROR(_xlfn.XLOOKUP(C1446,[1]DIRETORIA!C:C,[1]DIRETORIA!B:B),"-")</f>
        <v>-</v>
      </c>
      <c r="C1446" s="36">
        <f>IFERROR(_xlfn.XLOOKUP(E1446,[1]EMPREENDIMENTO!C:C,[1]EMPREENDIMENTO!A:A),"-")</f>
        <v>0</v>
      </c>
      <c r="D1446" s="36"/>
      <c r="E1446" s="36"/>
      <c r="F1446" s="36"/>
      <c r="G1446" s="36"/>
      <c r="H1446" s="36"/>
      <c r="I1446" s="29">
        <f>IFERROR(_xlfn.XLOOKUP(E1446,[1]EMPREENDIMENTO!C:C,[1]EMPREENDIMENTO!E:E),"0")</f>
        <v>0</v>
      </c>
      <c r="J1446" s="31"/>
      <c r="K1446" s="36"/>
      <c r="M1446" s="37"/>
      <c r="N1446" s="37"/>
      <c r="O1446" s="37"/>
      <c r="P1446" s="36"/>
      <c r="Q1446" s="36"/>
      <c r="R1446" s="31"/>
      <c r="S1446" s="31"/>
      <c r="T1446" s="38"/>
      <c r="U1446" s="39">
        <f>IFERROR(_xlfn.XLOOKUP(E1446,[1]EMPREENDIMENTO!C:C,[1]EMPREENDIMENTO!D:D),"")</f>
        <v>0</v>
      </c>
    </row>
    <row r="1447" spans="1:21" hidden="1" x14ac:dyDescent="0.35">
      <c r="A1447" s="36" t="str">
        <f>IFERROR(_xlfn.XLOOKUP(C1447,[1]DIRETORIA!C:C,[1]DIRETORIA!A:A),"-")</f>
        <v>-</v>
      </c>
      <c r="B1447" s="36" t="str">
        <f>IFERROR(_xlfn.XLOOKUP(C1447,[1]DIRETORIA!C:C,[1]DIRETORIA!B:B),"-")</f>
        <v>-</v>
      </c>
      <c r="C1447" s="36">
        <f>IFERROR(_xlfn.XLOOKUP(E1447,[1]EMPREENDIMENTO!C:C,[1]EMPREENDIMENTO!A:A),"-")</f>
        <v>0</v>
      </c>
      <c r="D1447" s="36"/>
      <c r="E1447" s="36"/>
      <c r="F1447" s="36"/>
      <c r="G1447" s="36"/>
      <c r="H1447" s="36"/>
      <c r="I1447" s="29">
        <f>IFERROR(_xlfn.XLOOKUP(E1447,[1]EMPREENDIMENTO!C:C,[1]EMPREENDIMENTO!E:E),"0")</f>
        <v>0</v>
      </c>
      <c r="J1447" s="31"/>
      <c r="K1447" s="36"/>
      <c r="M1447" s="37"/>
      <c r="N1447" s="37"/>
      <c r="O1447" s="37"/>
      <c r="P1447" s="36"/>
      <c r="Q1447" s="36"/>
      <c r="R1447" s="31"/>
      <c r="S1447" s="31"/>
      <c r="T1447" s="38"/>
      <c r="U1447" s="39">
        <f>IFERROR(_xlfn.XLOOKUP(E1447,[1]EMPREENDIMENTO!C:C,[1]EMPREENDIMENTO!D:D),"")</f>
        <v>0</v>
      </c>
    </row>
    <row r="1448" spans="1:21" hidden="1" x14ac:dyDescent="0.35">
      <c r="A1448" s="36" t="str">
        <f>IFERROR(_xlfn.XLOOKUP(C1448,[1]DIRETORIA!C:C,[1]DIRETORIA!A:A),"-")</f>
        <v>-</v>
      </c>
      <c r="B1448" s="36" t="str">
        <f>IFERROR(_xlfn.XLOOKUP(C1448,[1]DIRETORIA!C:C,[1]DIRETORIA!B:B),"-")</f>
        <v>-</v>
      </c>
      <c r="C1448" s="36">
        <f>IFERROR(_xlfn.XLOOKUP(E1448,[1]EMPREENDIMENTO!C:C,[1]EMPREENDIMENTO!A:A),"-")</f>
        <v>0</v>
      </c>
      <c r="D1448" s="36"/>
      <c r="E1448" s="36"/>
      <c r="F1448" s="36"/>
      <c r="G1448" s="36"/>
      <c r="H1448" s="36"/>
      <c r="I1448" s="29">
        <f>IFERROR(_xlfn.XLOOKUP(E1448,[1]EMPREENDIMENTO!C:C,[1]EMPREENDIMENTO!E:E),"0")</f>
        <v>0</v>
      </c>
      <c r="J1448" s="31"/>
      <c r="K1448" s="36"/>
      <c r="M1448" s="37"/>
      <c r="N1448" s="37"/>
      <c r="O1448" s="37"/>
      <c r="P1448" s="36"/>
      <c r="Q1448" s="36"/>
      <c r="R1448" s="31"/>
      <c r="S1448" s="31"/>
      <c r="T1448" s="38"/>
      <c r="U1448" s="39">
        <f>IFERROR(_xlfn.XLOOKUP(E1448,[1]EMPREENDIMENTO!C:C,[1]EMPREENDIMENTO!D:D),"")</f>
        <v>0</v>
      </c>
    </row>
    <row r="1449" spans="1:21" hidden="1" x14ac:dyDescent="0.35">
      <c r="A1449" s="36" t="str">
        <f>IFERROR(_xlfn.XLOOKUP(C1449,[1]DIRETORIA!C:C,[1]DIRETORIA!A:A),"-")</f>
        <v>-</v>
      </c>
      <c r="B1449" s="36" t="str">
        <f>IFERROR(_xlfn.XLOOKUP(C1449,[1]DIRETORIA!C:C,[1]DIRETORIA!B:B),"-")</f>
        <v>-</v>
      </c>
      <c r="C1449" s="36">
        <f>IFERROR(_xlfn.XLOOKUP(E1449,[1]EMPREENDIMENTO!C:C,[1]EMPREENDIMENTO!A:A),"-")</f>
        <v>0</v>
      </c>
      <c r="D1449" s="36"/>
      <c r="E1449" s="36"/>
      <c r="F1449" s="36"/>
      <c r="G1449" s="36"/>
      <c r="H1449" s="36"/>
      <c r="I1449" s="29">
        <f>IFERROR(_xlfn.XLOOKUP(E1449,[1]EMPREENDIMENTO!C:C,[1]EMPREENDIMENTO!E:E),"0")</f>
        <v>0</v>
      </c>
      <c r="J1449" s="31"/>
      <c r="K1449" s="36"/>
      <c r="M1449" s="37"/>
      <c r="N1449" s="37"/>
      <c r="O1449" s="37"/>
      <c r="P1449" s="36"/>
      <c r="Q1449" s="36"/>
      <c r="R1449" s="31"/>
      <c r="S1449" s="31"/>
      <c r="T1449" s="38"/>
      <c r="U1449" s="39">
        <f>IFERROR(_xlfn.XLOOKUP(E1449,[1]EMPREENDIMENTO!C:C,[1]EMPREENDIMENTO!D:D),"")</f>
        <v>0</v>
      </c>
    </row>
    <row r="1450" spans="1:21" hidden="1" x14ac:dyDescent="0.35">
      <c r="A1450" s="36" t="str">
        <f>IFERROR(_xlfn.XLOOKUP(C1450,[1]DIRETORIA!C:C,[1]DIRETORIA!A:A),"-")</f>
        <v>-</v>
      </c>
      <c r="B1450" s="36" t="str">
        <f>IFERROR(_xlfn.XLOOKUP(C1450,[1]DIRETORIA!C:C,[1]DIRETORIA!B:B),"-")</f>
        <v>-</v>
      </c>
      <c r="C1450" s="36">
        <f>IFERROR(_xlfn.XLOOKUP(E1450,[1]EMPREENDIMENTO!C:C,[1]EMPREENDIMENTO!A:A),"-")</f>
        <v>0</v>
      </c>
      <c r="D1450" s="36"/>
      <c r="E1450" s="36"/>
      <c r="F1450" s="36"/>
      <c r="G1450" s="36"/>
      <c r="H1450" s="36"/>
      <c r="I1450" s="29">
        <f>IFERROR(_xlfn.XLOOKUP(E1450,[1]EMPREENDIMENTO!C:C,[1]EMPREENDIMENTO!E:E),"0")</f>
        <v>0</v>
      </c>
      <c r="J1450" s="31"/>
      <c r="K1450" s="36"/>
      <c r="M1450" s="37"/>
      <c r="N1450" s="37"/>
      <c r="O1450" s="37"/>
      <c r="P1450" s="36"/>
      <c r="Q1450" s="36"/>
      <c r="R1450" s="31"/>
      <c r="S1450" s="31"/>
      <c r="T1450" s="38"/>
      <c r="U1450" s="39">
        <f>IFERROR(_xlfn.XLOOKUP(E1450,[1]EMPREENDIMENTO!C:C,[1]EMPREENDIMENTO!D:D),"")</f>
        <v>0</v>
      </c>
    </row>
    <row r="1451" spans="1:21" hidden="1" x14ac:dyDescent="0.35">
      <c r="A1451" s="36" t="str">
        <f>IFERROR(_xlfn.XLOOKUP(C1451,[1]DIRETORIA!C:C,[1]DIRETORIA!A:A),"-")</f>
        <v>-</v>
      </c>
      <c r="B1451" s="36" t="str">
        <f>IFERROR(_xlfn.XLOOKUP(C1451,[1]DIRETORIA!C:C,[1]DIRETORIA!B:B),"-")</f>
        <v>-</v>
      </c>
      <c r="C1451" s="36">
        <f>IFERROR(_xlfn.XLOOKUP(E1451,[1]EMPREENDIMENTO!C:C,[1]EMPREENDIMENTO!A:A),"-")</f>
        <v>0</v>
      </c>
      <c r="D1451" s="36"/>
      <c r="E1451" s="36"/>
      <c r="F1451" s="36"/>
      <c r="G1451" s="36"/>
      <c r="H1451" s="36"/>
      <c r="I1451" s="29">
        <f>IFERROR(_xlfn.XLOOKUP(E1451,[1]EMPREENDIMENTO!C:C,[1]EMPREENDIMENTO!E:E),"0")</f>
        <v>0</v>
      </c>
      <c r="J1451" s="31"/>
      <c r="K1451" s="36"/>
      <c r="M1451" s="37"/>
      <c r="N1451" s="37"/>
      <c r="O1451" s="37"/>
      <c r="P1451" s="36"/>
      <c r="Q1451" s="36"/>
      <c r="R1451" s="31"/>
      <c r="S1451" s="31"/>
      <c r="T1451" s="38"/>
      <c r="U1451" s="39">
        <f>IFERROR(_xlfn.XLOOKUP(E1451,[1]EMPREENDIMENTO!C:C,[1]EMPREENDIMENTO!D:D),"")</f>
        <v>0</v>
      </c>
    </row>
    <row r="1452" spans="1:21" hidden="1" x14ac:dyDescent="0.35">
      <c r="A1452" s="36" t="str">
        <f>IFERROR(_xlfn.XLOOKUP(C1452,[1]DIRETORIA!C:C,[1]DIRETORIA!A:A),"-")</f>
        <v>-</v>
      </c>
      <c r="B1452" s="36" t="str">
        <f>IFERROR(_xlfn.XLOOKUP(C1452,[1]DIRETORIA!C:C,[1]DIRETORIA!B:B),"-")</f>
        <v>-</v>
      </c>
      <c r="C1452" s="36">
        <f>IFERROR(_xlfn.XLOOKUP(E1452,[1]EMPREENDIMENTO!C:C,[1]EMPREENDIMENTO!A:A),"-")</f>
        <v>0</v>
      </c>
      <c r="D1452" s="36"/>
      <c r="E1452" s="36"/>
      <c r="F1452" s="36"/>
      <c r="G1452" s="36"/>
      <c r="H1452" s="36"/>
      <c r="I1452" s="29">
        <f>IFERROR(_xlfn.XLOOKUP(E1452,[1]EMPREENDIMENTO!C:C,[1]EMPREENDIMENTO!E:E),"0")</f>
        <v>0</v>
      </c>
      <c r="J1452" s="31"/>
      <c r="K1452" s="36"/>
      <c r="M1452" s="37"/>
      <c r="N1452" s="37"/>
      <c r="O1452" s="37"/>
      <c r="P1452" s="36"/>
      <c r="Q1452" s="36"/>
      <c r="R1452" s="31"/>
      <c r="S1452" s="31"/>
      <c r="T1452" s="38"/>
      <c r="U1452" s="39">
        <f>IFERROR(_xlfn.XLOOKUP(E1452,[1]EMPREENDIMENTO!C:C,[1]EMPREENDIMENTO!D:D),"")</f>
        <v>0</v>
      </c>
    </row>
    <row r="1453" spans="1:21" hidden="1" x14ac:dyDescent="0.35">
      <c r="A1453" s="36" t="str">
        <f>IFERROR(_xlfn.XLOOKUP(C1453,[1]DIRETORIA!C:C,[1]DIRETORIA!A:A),"-")</f>
        <v>-</v>
      </c>
      <c r="B1453" s="36" t="str">
        <f>IFERROR(_xlfn.XLOOKUP(C1453,[1]DIRETORIA!C:C,[1]DIRETORIA!B:B),"-")</f>
        <v>-</v>
      </c>
      <c r="C1453" s="36">
        <f>IFERROR(_xlfn.XLOOKUP(E1453,[1]EMPREENDIMENTO!C:C,[1]EMPREENDIMENTO!A:A),"-")</f>
        <v>0</v>
      </c>
      <c r="D1453" s="36"/>
      <c r="E1453" s="36"/>
      <c r="F1453" s="36"/>
      <c r="G1453" s="36"/>
      <c r="H1453" s="36"/>
      <c r="I1453" s="29">
        <f>IFERROR(_xlfn.XLOOKUP(E1453,[1]EMPREENDIMENTO!C:C,[1]EMPREENDIMENTO!E:E),"0")</f>
        <v>0</v>
      </c>
      <c r="J1453" s="31"/>
      <c r="K1453" s="36"/>
      <c r="M1453" s="37"/>
      <c r="N1453" s="37"/>
      <c r="O1453" s="37"/>
      <c r="P1453" s="36"/>
      <c r="Q1453" s="36"/>
      <c r="R1453" s="31"/>
      <c r="S1453" s="31"/>
      <c r="T1453" s="38"/>
      <c r="U1453" s="39">
        <f>IFERROR(_xlfn.XLOOKUP(E1453,[1]EMPREENDIMENTO!C:C,[1]EMPREENDIMENTO!D:D),"")</f>
        <v>0</v>
      </c>
    </row>
    <row r="1454" spans="1:21" hidden="1" x14ac:dyDescent="0.35">
      <c r="A1454" s="36" t="str">
        <f>IFERROR(_xlfn.XLOOKUP(C1454,[1]DIRETORIA!C:C,[1]DIRETORIA!A:A),"-")</f>
        <v>-</v>
      </c>
      <c r="B1454" s="36" t="str">
        <f>IFERROR(_xlfn.XLOOKUP(C1454,[1]DIRETORIA!C:C,[1]DIRETORIA!B:B),"-")</f>
        <v>-</v>
      </c>
      <c r="C1454" s="36">
        <f>IFERROR(_xlfn.XLOOKUP(E1454,[1]EMPREENDIMENTO!C:C,[1]EMPREENDIMENTO!A:A),"-")</f>
        <v>0</v>
      </c>
      <c r="D1454" s="36"/>
      <c r="E1454" s="36"/>
      <c r="F1454" s="36"/>
      <c r="G1454" s="36"/>
      <c r="H1454" s="36"/>
      <c r="I1454" s="29">
        <f>IFERROR(_xlfn.XLOOKUP(E1454,[1]EMPREENDIMENTO!C:C,[1]EMPREENDIMENTO!E:E),"0")</f>
        <v>0</v>
      </c>
      <c r="J1454" s="31"/>
      <c r="K1454" s="36"/>
      <c r="M1454" s="37"/>
      <c r="N1454" s="37"/>
      <c r="O1454" s="37"/>
      <c r="P1454" s="36"/>
      <c r="Q1454" s="36"/>
      <c r="R1454" s="31"/>
      <c r="S1454" s="31"/>
      <c r="T1454" s="38"/>
      <c r="U1454" s="39">
        <f>IFERROR(_xlfn.XLOOKUP(E1454,[1]EMPREENDIMENTO!C:C,[1]EMPREENDIMENTO!D:D),"")</f>
        <v>0</v>
      </c>
    </row>
    <row r="1455" spans="1:21" hidden="1" x14ac:dyDescent="0.35">
      <c r="A1455" s="36" t="str">
        <f>IFERROR(_xlfn.XLOOKUP(C1455,[1]DIRETORIA!C:C,[1]DIRETORIA!A:A),"-")</f>
        <v>-</v>
      </c>
      <c r="B1455" s="36" t="str">
        <f>IFERROR(_xlfn.XLOOKUP(C1455,[1]DIRETORIA!C:C,[1]DIRETORIA!B:B),"-")</f>
        <v>-</v>
      </c>
      <c r="C1455" s="36">
        <f>IFERROR(_xlfn.XLOOKUP(E1455,[1]EMPREENDIMENTO!C:C,[1]EMPREENDIMENTO!A:A),"-")</f>
        <v>0</v>
      </c>
      <c r="D1455" s="36"/>
      <c r="E1455" s="36"/>
      <c r="F1455" s="36"/>
      <c r="G1455" s="36"/>
      <c r="H1455" s="36"/>
      <c r="I1455" s="29">
        <f>IFERROR(_xlfn.XLOOKUP(E1455,[1]EMPREENDIMENTO!C:C,[1]EMPREENDIMENTO!E:E),"0")</f>
        <v>0</v>
      </c>
      <c r="J1455" s="31"/>
      <c r="K1455" s="36"/>
      <c r="M1455" s="37"/>
      <c r="N1455" s="37"/>
      <c r="O1455" s="37"/>
      <c r="P1455" s="36"/>
      <c r="Q1455" s="36"/>
      <c r="R1455" s="31"/>
      <c r="S1455" s="31"/>
      <c r="T1455" s="38"/>
      <c r="U1455" s="39">
        <f>IFERROR(_xlfn.XLOOKUP(E1455,[1]EMPREENDIMENTO!C:C,[1]EMPREENDIMENTO!D:D),"")</f>
        <v>0</v>
      </c>
    </row>
    <row r="1456" spans="1:21" hidden="1" x14ac:dyDescent="0.35">
      <c r="A1456" s="36" t="str">
        <f>IFERROR(_xlfn.XLOOKUP(C1456,[1]DIRETORIA!C:C,[1]DIRETORIA!A:A),"-")</f>
        <v>-</v>
      </c>
      <c r="B1456" s="36" t="str">
        <f>IFERROR(_xlfn.XLOOKUP(C1456,[1]DIRETORIA!C:C,[1]DIRETORIA!B:B),"-")</f>
        <v>-</v>
      </c>
      <c r="C1456" s="36">
        <f>IFERROR(_xlfn.XLOOKUP(E1456,[1]EMPREENDIMENTO!C:C,[1]EMPREENDIMENTO!A:A),"-")</f>
        <v>0</v>
      </c>
      <c r="D1456" s="36"/>
      <c r="E1456" s="36"/>
      <c r="F1456" s="36"/>
      <c r="G1456" s="36"/>
      <c r="H1456" s="36"/>
      <c r="I1456" s="29">
        <f>IFERROR(_xlfn.XLOOKUP(E1456,[1]EMPREENDIMENTO!C:C,[1]EMPREENDIMENTO!E:E),"0")</f>
        <v>0</v>
      </c>
      <c r="J1456" s="31"/>
      <c r="K1456" s="36"/>
      <c r="M1456" s="37"/>
      <c r="N1456" s="37"/>
      <c r="O1456" s="37"/>
      <c r="P1456" s="36"/>
      <c r="Q1456" s="36"/>
      <c r="R1456" s="31"/>
      <c r="S1456" s="31"/>
      <c r="T1456" s="38"/>
      <c r="U1456" s="39">
        <f>IFERROR(_xlfn.XLOOKUP(E1456,[1]EMPREENDIMENTO!C:C,[1]EMPREENDIMENTO!D:D),"")</f>
        <v>0</v>
      </c>
    </row>
    <row r="1457" spans="1:21" hidden="1" x14ac:dyDescent="0.35">
      <c r="A1457" s="36" t="str">
        <f>IFERROR(_xlfn.XLOOKUP(C1457,[1]DIRETORIA!C:C,[1]DIRETORIA!A:A),"-")</f>
        <v>-</v>
      </c>
      <c r="B1457" s="36" t="str">
        <f>IFERROR(_xlfn.XLOOKUP(C1457,[1]DIRETORIA!C:C,[1]DIRETORIA!B:B),"-")</f>
        <v>-</v>
      </c>
      <c r="C1457" s="36">
        <f>IFERROR(_xlfn.XLOOKUP(E1457,[1]EMPREENDIMENTO!C:C,[1]EMPREENDIMENTO!A:A),"-")</f>
        <v>0</v>
      </c>
      <c r="D1457" s="36"/>
      <c r="E1457" s="36"/>
      <c r="F1457" s="36"/>
      <c r="G1457" s="36"/>
      <c r="H1457" s="36"/>
      <c r="I1457" s="29">
        <f>IFERROR(_xlfn.XLOOKUP(E1457,[1]EMPREENDIMENTO!C:C,[1]EMPREENDIMENTO!E:E),"0")</f>
        <v>0</v>
      </c>
      <c r="J1457" s="31"/>
      <c r="K1457" s="36"/>
      <c r="M1457" s="37"/>
      <c r="N1457" s="37"/>
      <c r="O1457" s="37"/>
      <c r="P1457" s="36"/>
      <c r="Q1457" s="36"/>
      <c r="R1457" s="31"/>
      <c r="S1457" s="31"/>
      <c r="T1457" s="38"/>
      <c r="U1457" s="39">
        <f>IFERROR(_xlfn.XLOOKUP(E1457,[1]EMPREENDIMENTO!C:C,[1]EMPREENDIMENTO!D:D),"")</f>
        <v>0</v>
      </c>
    </row>
    <row r="1458" spans="1:21" hidden="1" x14ac:dyDescent="0.35">
      <c r="A1458" s="36" t="str">
        <f>IFERROR(_xlfn.XLOOKUP(C1458,[1]DIRETORIA!C:C,[1]DIRETORIA!A:A),"-")</f>
        <v>-</v>
      </c>
      <c r="B1458" s="36" t="str">
        <f>IFERROR(_xlfn.XLOOKUP(C1458,[1]DIRETORIA!C:C,[1]DIRETORIA!B:B),"-")</f>
        <v>-</v>
      </c>
      <c r="C1458" s="36">
        <f>IFERROR(_xlfn.XLOOKUP(E1458,[1]EMPREENDIMENTO!C:C,[1]EMPREENDIMENTO!A:A),"-")</f>
        <v>0</v>
      </c>
      <c r="D1458" s="36"/>
      <c r="E1458" s="36"/>
      <c r="F1458" s="36"/>
      <c r="G1458" s="36"/>
      <c r="H1458" s="36"/>
      <c r="I1458" s="29">
        <f>IFERROR(_xlfn.XLOOKUP(E1458,[1]EMPREENDIMENTO!C:C,[1]EMPREENDIMENTO!E:E),"0")</f>
        <v>0</v>
      </c>
      <c r="J1458" s="31"/>
      <c r="K1458" s="36"/>
      <c r="M1458" s="37"/>
      <c r="N1458" s="37"/>
      <c r="O1458" s="37"/>
      <c r="P1458" s="36"/>
      <c r="Q1458" s="36"/>
      <c r="R1458" s="31"/>
      <c r="S1458" s="31"/>
      <c r="T1458" s="38"/>
      <c r="U1458" s="39">
        <f>IFERROR(_xlfn.XLOOKUP(E1458,[1]EMPREENDIMENTO!C:C,[1]EMPREENDIMENTO!D:D),"")</f>
        <v>0</v>
      </c>
    </row>
    <row r="1459" spans="1:21" hidden="1" x14ac:dyDescent="0.35">
      <c r="A1459" s="36" t="str">
        <f>IFERROR(_xlfn.XLOOKUP(C1459,[1]DIRETORIA!C:C,[1]DIRETORIA!A:A),"-")</f>
        <v>-</v>
      </c>
      <c r="B1459" s="36" t="str">
        <f>IFERROR(_xlfn.XLOOKUP(C1459,[1]DIRETORIA!C:C,[1]DIRETORIA!B:B),"-")</f>
        <v>-</v>
      </c>
      <c r="C1459" s="36">
        <f>IFERROR(_xlfn.XLOOKUP(E1459,[1]EMPREENDIMENTO!C:C,[1]EMPREENDIMENTO!A:A),"-")</f>
        <v>0</v>
      </c>
      <c r="D1459" s="36"/>
      <c r="E1459" s="36"/>
      <c r="F1459" s="36"/>
      <c r="G1459" s="36"/>
      <c r="H1459" s="36"/>
      <c r="I1459" s="29">
        <f>IFERROR(_xlfn.XLOOKUP(E1459,[1]EMPREENDIMENTO!C:C,[1]EMPREENDIMENTO!E:E),"0")</f>
        <v>0</v>
      </c>
      <c r="J1459" s="31"/>
      <c r="K1459" s="36"/>
      <c r="M1459" s="37"/>
      <c r="N1459" s="37"/>
      <c r="O1459" s="37"/>
      <c r="P1459" s="36"/>
      <c r="Q1459" s="36"/>
      <c r="R1459" s="31"/>
      <c r="S1459" s="31"/>
      <c r="T1459" s="38"/>
      <c r="U1459" s="39">
        <f>IFERROR(_xlfn.XLOOKUP(E1459,[1]EMPREENDIMENTO!C:C,[1]EMPREENDIMENTO!D:D),"")</f>
        <v>0</v>
      </c>
    </row>
    <row r="1460" spans="1:21" hidden="1" x14ac:dyDescent="0.35">
      <c r="A1460" s="36" t="str">
        <f>IFERROR(_xlfn.XLOOKUP(C1460,[1]DIRETORIA!C:C,[1]DIRETORIA!A:A),"-")</f>
        <v>-</v>
      </c>
      <c r="B1460" s="36" t="str">
        <f>IFERROR(_xlfn.XLOOKUP(C1460,[1]DIRETORIA!C:C,[1]DIRETORIA!B:B),"-")</f>
        <v>-</v>
      </c>
      <c r="C1460" s="36">
        <f>IFERROR(_xlfn.XLOOKUP(E1460,[1]EMPREENDIMENTO!C:C,[1]EMPREENDIMENTO!A:A),"-")</f>
        <v>0</v>
      </c>
      <c r="D1460" s="36"/>
      <c r="E1460" s="36"/>
      <c r="F1460" s="36"/>
      <c r="G1460" s="36"/>
      <c r="H1460" s="36"/>
      <c r="I1460" s="29">
        <f>IFERROR(_xlfn.XLOOKUP(E1460,[1]EMPREENDIMENTO!C:C,[1]EMPREENDIMENTO!E:E),"0")</f>
        <v>0</v>
      </c>
      <c r="J1460" s="31"/>
      <c r="K1460" s="36"/>
      <c r="M1460" s="37"/>
      <c r="N1460" s="37"/>
      <c r="O1460" s="37"/>
      <c r="P1460" s="36"/>
      <c r="Q1460" s="36"/>
      <c r="R1460" s="31"/>
      <c r="S1460" s="31"/>
      <c r="T1460" s="38"/>
      <c r="U1460" s="39">
        <f>IFERROR(_xlfn.XLOOKUP(E1460,[1]EMPREENDIMENTO!C:C,[1]EMPREENDIMENTO!D:D),"")</f>
        <v>0</v>
      </c>
    </row>
    <row r="1461" spans="1:21" hidden="1" x14ac:dyDescent="0.35">
      <c r="A1461" s="36" t="str">
        <f>IFERROR(_xlfn.XLOOKUP(C1461,[1]DIRETORIA!C:C,[1]DIRETORIA!A:A),"-")</f>
        <v>-</v>
      </c>
      <c r="B1461" s="36" t="str">
        <f>IFERROR(_xlfn.XLOOKUP(C1461,[1]DIRETORIA!C:C,[1]DIRETORIA!B:B),"-")</f>
        <v>-</v>
      </c>
      <c r="C1461" s="36">
        <f>IFERROR(_xlfn.XLOOKUP(E1461,[1]EMPREENDIMENTO!C:C,[1]EMPREENDIMENTO!A:A),"-")</f>
        <v>0</v>
      </c>
      <c r="D1461" s="36"/>
      <c r="E1461" s="36"/>
      <c r="F1461" s="36"/>
      <c r="G1461" s="36"/>
      <c r="H1461" s="36"/>
      <c r="I1461" s="29">
        <f>IFERROR(_xlfn.XLOOKUP(E1461,[1]EMPREENDIMENTO!C:C,[1]EMPREENDIMENTO!E:E),"0")</f>
        <v>0</v>
      </c>
      <c r="J1461" s="31"/>
      <c r="K1461" s="36"/>
      <c r="M1461" s="37"/>
      <c r="N1461" s="37"/>
      <c r="O1461" s="37"/>
      <c r="P1461" s="36"/>
      <c r="Q1461" s="36"/>
      <c r="R1461" s="31"/>
      <c r="S1461" s="31"/>
      <c r="T1461" s="38"/>
      <c r="U1461" s="39">
        <f>IFERROR(_xlfn.XLOOKUP(E1461,[1]EMPREENDIMENTO!C:C,[1]EMPREENDIMENTO!D:D),"")</f>
        <v>0</v>
      </c>
    </row>
    <row r="1462" spans="1:21" hidden="1" x14ac:dyDescent="0.35">
      <c r="A1462" s="36" t="str">
        <f>IFERROR(_xlfn.XLOOKUP(C1462,[1]DIRETORIA!C:C,[1]DIRETORIA!A:A),"-")</f>
        <v>-</v>
      </c>
      <c r="B1462" s="36" t="str">
        <f>IFERROR(_xlfn.XLOOKUP(C1462,[1]DIRETORIA!C:C,[1]DIRETORIA!B:B),"-")</f>
        <v>-</v>
      </c>
      <c r="C1462" s="36">
        <f>IFERROR(_xlfn.XLOOKUP(E1462,[1]EMPREENDIMENTO!C:C,[1]EMPREENDIMENTO!A:A),"-")</f>
        <v>0</v>
      </c>
      <c r="D1462" s="36"/>
      <c r="E1462" s="36"/>
      <c r="F1462" s="36"/>
      <c r="G1462" s="36"/>
      <c r="H1462" s="36"/>
      <c r="I1462" s="29">
        <f>IFERROR(_xlfn.XLOOKUP(E1462,[1]EMPREENDIMENTO!C:C,[1]EMPREENDIMENTO!E:E),"0")</f>
        <v>0</v>
      </c>
      <c r="J1462" s="31"/>
      <c r="K1462" s="36"/>
      <c r="M1462" s="37"/>
      <c r="N1462" s="37"/>
      <c r="O1462" s="37"/>
      <c r="P1462" s="36"/>
      <c r="Q1462" s="36"/>
      <c r="R1462" s="31"/>
      <c r="S1462" s="31"/>
      <c r="T1462" s="38"/>
      <c r="U1462" s="39">
        <f>IFERROR(_xlfn.XLOOKUP(E1462,[1]EMPREENDIMENTO!C:C,[1]EMPREENDIMENTO!D:D),"")</f>
        <v>0</v>
      </c>
    </row>
    <row r="1463" spans="1:21" hidden="1" x14ac:dyDescent="0.35">
      <c r="A1463" s="36" t="str">
        <f>IFERROR(_xlfn.XLOOKUP(C1463,[1]DIRETORIA!C:C,[1]DIRETORIA!A:A),"-")</f>
        <v>-</v>
      </c>
      <c r="B1463" s="36" t="str">
        <f>IFERROR(_xlfn.XLOOKUP(C1463,[1]DIRETORIA!C:C,[1]DIRETORIA!B:B),"-")</f>
        <v>-</v>
      </c>
      <c r="C1463" s="36">
        <f>IFERROR(_xlfn.XLOOKUP(E1463,[1]EMPREENDIMENTO!C:C,[1]EMPREENDIMENTO!A:A),"-")</f>
        <v>0</v>
      </c>
      <c r="D1463" s="36"/>
      <c r="E1463" s="36"/>
      <c r="F1463" s="36"/>
      <c r="G1463" s="36"/>
      <c r="H1463" s="36"/>
      <c r="I1463" s="29">
        <f>IFERROR(_xlfn.XLOOKUP(E1463,[1]EMPREENDIMENTO!C:C,[1]EMPREENDIMENTO!E:E),"0")</f>
        <v>0</v>
      </c>
      <c r="J1463" s="31"/>
      <c r="K1463" s="36"/>
      <c r="M1463" s="37"/>
      <c r="N1463" s="37"/>
      <c r="O1463" s="37"/>
      <c r="P1463" s="36"/>
      <c r="Q1463" s="36"/>
      <c r="R1463" s="31"/>
      <c r="S1463" s="31"/>
      <c r="T1463" s="38"/>
      <c r="U1463" s="39">
        <f>IFERROR(_xlfn.XLOOKUP(E1463,[1]EMPREENDIMENTO!C:C,[1]EMPREENDIMENTO!D:D),"")</f>
        <v>0</v>
      </c>
    </row>
    <row r="1464" spans="1:21" hidden="1" x14ac:dyDescent="0.35">
      <c r="A1464" s="36" t="str">
        <f>IFERROR(_xlfn.XLOOKUP(C1464,[1]DIRETORIA!C:C,[1]DIRETORIA!A:A),"-")</f>
        <v>-</v>
      </c>
      <c r="B1464" s="36" t="str">
        <f>IFERROR(_xlfn.XLOOKUP(C1464,[1]DIRETORIA!C:C,[1]DIRETORIA!B:B),"-")</f>
        <v>-</v>
      </c>
      <c r="C1464" s="36">
        <f>IFERROR(_xlfn.XLOOKUP(E1464,[1]EMPREENDIMENTO!C:C,[1]EMPREENDIMENTO!A:A),"-")</f>
        <v>0</v>
      </c>
      <c r="D1464" s="36"/>
      <c r="E1464" s="36"/>
      <c r="F1464" s="36"/>
      <c r="G1464" s="36"/>
      <c r="H1464" s="36"/>
      <c r="I1464" s="29">
        <f>IFERROR(_xlfn.XLOOKUP(E1464,[1]EMPREENDIMENTO!C:C,[1]EMPREENDIMENTO!E:E),"0")</f>
        <v>0</v>
      </c>
      <c r="J1464" s="31"/>
      <c r="K1464" s="36"/>
      <c r="M1464" s="37"/>
      <c r="N1464" s="37"/>
      <c r="O1464" s="37"/>
      <c r="P1464" s="36"/>
      <c r="Q1464" s="36"/>
      <c r="R1464" s="31"/>
      <c r="S1464" s="31"/>
      <c r="T1464" s="38"/>
      <c r="U1464" s="39">
        <f>IFERROR(_xlfn.XLOOKUP(E1464,[1]EMPREENDIMENTO!C:C,[1]EMPREENDIMENTO!D:D),"")</f>
        <v>0</v>
      </c>
    </row>
    <row r="1465" spans="1:21" hidden="1" x14ac:dyDescent="0.35">
      <c r="A1465" s="36" t="str">
        <f>IFERROR(_xlfn.XLOOKUP(C1465,[1]DIRETORIA!C:C,[1]DIRETORIA!A:A),"-")</f>
        <v>-</v>
      </c>
      <c r="B1465" s="36" t="str">
        <f>IFERROR(_xlfn.XLOOKUP(C1465,[1]DIRETORIA!C:C,[1]DIRETORIA!B:B),"-")</f>
        <v>-</v>
      </c>
      <c r="C1465" s="36">
        <f>IFERROR(_xlfn.XLOOKUP(E1465,[1]EMPREENDIMENTO!C:C,[1]EMPREENDIMENTO!A:A),"-")</f>
        <v>0</v>
      </c>
      <c r="D1465" s="36"/>
      <c r="E1465" s="36"/>
      <c r="F1465" s="36"/>
      <c r="G1465" s="36"/>
      <c r="H1465" s="36"/>
      <c r="I1465" s="29">
        <f>IFERROR(_xlfn.XLOOKUP(E1465,[1]EMPREENDIMENTO!C:C,[1]EMPREENDIMENTO!E:E),"0")</f>
        <v>0</v>
      </c>
      <c r="J1465" s="31"/>
      <c r="K1465" s="36"/>
      <c r="M1465" s="37"/>
      <c r="N1465" s="37"/>
      <c r="O1465" s="37"/>
      <c r="P1465" s="36"/>
      <c r="Q1465" s="36"/>
      <c r="R1465" s="31"/>
      <c r="S1465" s="31"/>
      <c r="T1465" s="38"/>
      <c r="U1465" s="39">
        <f>IFERROR(_xlfn.XLOOKUP(E1465,[1]EMPREENDIMENTO!C:C,[1]EMPREENDIMENTO!D:D),"")</f>
        <v>0</v>
      </c>
    </row>
    <row r="1466" spans="1:21" hidden="1" x14ac:dyDescent="0.35">
      <c r="A1466" s="36" t="str">
        <f>IFERROR(_xlfn.XLOOKUP(C1466,[1]DIRETORIA!C:C,[1]DIRETORIA!A:A),"-")</f>
        <v>-</v>
      </c>
      <c r="B1466" s="36" t="str">
        <f>IFERROR(_xlfn.XLOOKUP(C1466,[1]DIRETORIA!C:C,[1]DIRETORIA!B:B),"-")</f>
        <v>-</v>
      </c>
      <c r="C1466" s="36">
        <f>IFERROR(_xlfn.XLOOKUP(E1466,[1]EMPREENDIMENTO!C:C,[1]EMPREENDIMENTO!A:A),"-")</f>
        <v>0</v>
      </c>
      <c r="D1466" s="36"/>
      <c r="E1466" s="36"/>
      <c r="F1466" s="36"/>
      <c r="G1466" s="36"/>
      <c r="H1466" s="36"/>
      <c r="I1466" s="29">
        <f>IFERROR(_xlfn.XLOOKUP(E1466,[1]EMPREENDIMENTO!C:C,[1]EMPREENDIMENTO!E:E),"0")</f>
        <v>0</v>
      </c>
      <c r="J1466" s="31"/>
      <c r="K1466" s="36"/>
      <c r="M1466" s="37"/>
      <c r="N1466" s="37"/>
      <c r="O1466" s="37"/>
      <c r="P1466" s="36"/>
      <c r="Q1466" s="36"/>
      <c r="R1466" s="31"/>
      <c r="S1466" s="31"/>
      <c r="T1466" s="38"/>
      <c r="U1466" s="39">
        <f>IFERROR(_xlfn.XLOOKUP(E1466,[1]EMPREENDIMENTO!C:C,[1]EMPREENDIMENTO!D:D),"")</f>
        <v>0</v>
      </c>
    </row>
    <row r="1467" spans="1:21" hidden="1" x14ac:dyDescent="0.35">
      <c r="A1467" s="36" t="str">
        <f>IFERROR(_xlfn.XLOOKUP(C1467,[1]DIRETORIA!C:C,[1]DIRETORIA!A:A),"-")</f>
        <v>-</v>
      </c>
      <c r="B1467" s="36" t="str">
        <f>IFERROR(_xlfn.XLOOKUP(C1467,[1]DIRETORIA!C:C,[1]DIRETORIA!B:B),"-")</f>
        <v>-</v>
      </c>
      <c r="C1467" s="36">
        <f>IFERROR(_xlfn.XLOOKUP(E1467,[1]EMPREENDIMENTO!C:C,[1]EMPREENDIMENTO!A:A),"-")</f>
        <v>0</v>
      </c>
      <c r="D1467" s="36"/>
      <c r="E1467" s="36"/>
      <c r="F1467" s="36"/>
      <c r="G1467" s="36"/>
      <c r="H1467" s="36"/>
      <c r="I1467" s="29">
        <f>IFERROR(_xlfn.XLOOKUP(E1467,[1]EMPREENDIMENTO!C:C,[1]EMPREENDIMENTO!E:E),"0")</f>
        <v>0</v>
      </c>
      <c r="J1467" s="31"/>
      <c r="K1467" s="36"/>
      <c r="M1467" s="37"/>
      <c r="N1467" s="37"/>
      <c r="O1467" s="37"/>
      <c r="P1467" s="36"/>
      <c r="Q1467" s="36"/>
      <c r="R1467" s="31"/>
      <c r="S1467" s="31"/>
      <c r="T1467" s="38"/>
      <c r="U1467" s="39">
        <f>IFERROR(_xlfn.XLOOKUP(E1467,[1]EMPREENDIMENTO!C:C,[1]EMPREENDIMENTO!D:D),"")</f>
        <v>0</v>
      </c>
    </row>
    <row r="1468" spans="1:21" hidden="1" x14ac:dyDescent="0.35">
      <c r="A1468" s="36" t="str">
        <f>IFERROR(_xlfn.XLOOKUP(C1468,[1]DIRETORIA!C:C,[1]DIRETORIA!A:A),"-")</f>
        <v>-</v>
      </c>
      <c r="B1468" s="36" t="str">
        <f>IFERROR(_xlfn.XLOOKUP(C1468,[1]DIRETORIA!C:C,[1]DIRETORIA!B:B),"-")</f>
        <v>-</v>
      </c>
      <c r="C1468" s="36">
        <f>IFERROR(_xlfn.XLOOKUP(E1468,[1]EMPREENDIMENTO!C:C,[1]EMPREENDIMENTO!A:A),"-")</f>
        <v>0</v>
      </c>
      <c r="D1468" s="36"/>
      <c r="E1468" s="36"/>
      <c r="F1468" s="36"/>
      <c r="G1468" s="36"/>
      <c r="H1468" s="36"/>
      <c r="I1468" s="29">
        <f>IFERROR(_xlfn.XLOOKUP(E1468,[1]EMPREENDIMENTO!C:C,[1]EMPREENDIMENTO!E:E),"0")</f>
        <v>0</v>
      </c>
      <c r="J1468" s="31"/>
      <c r="K1468" s="36"/>
      <c r="M1468" s="37"/>
      <c r="N1468" s="37"/>
      <c r="O1468" s="37"/>
      <c r="P1468" s="36"/>
      <c r="Q1468" s="36"/>
      <c r="R1468" s="31"/>
      <c r="S1468" s="31"/>
      <c r="T1468" s="38"/>
      <c r="U1468" s="39">
        <f>IFERROR(_xlfn.XLOOKUP(E1468,[1]EMPREENDIMENTO!C:C,[1]EMPREENDIMENTO!D:D),"")</f>
        <v>0</v>
      </c>
    </row>
    <row r="1469" spans="1:21" hidden="1" x14ac:dyDescent="0.35">
      <c r="A1469" s="36" t="str">
        <f>IFERROR(_xlfn.XLOOKUP(C1469,[1]DIRETORIA!C:C,[1]DIRETORIA!A:A),"-")</f>
        <v>-</v>
      </c>
      <c r="B1469" s="36" t="str">
        <f>IFERROR(_xlfn.XLOOKUP(C1469,[1]DIRETORIA!C:C,[1]DIRETORIA!B:B),"-")</f>
        <v>-</v>
      </c>
      <c r="C1469" s="36">
        <f>IFERROR(_xlfn.XLOOKUP(E1469,[1]EMPREENDIMENTO!C:C,[1]EMPREENDIMENTO!A:A),"-")</f>
        <v>0</v>
      </c>
      <c r="D1469" s="36"/>
      <c r="E1469" s="36"/>
      <c r="F1469" s="36"/>
      <c r="G1469" s="36"/>
      <c r="H1469" s="36"/>
      <c r="I1469" s="29">
        <f>IFERROR(_xlfn.XLOOKUP(E1469,[1]EMPREENDIMENTO!C:C,[1]EMPREENDIMENTO!E:E),"0")</f>
        <v>0</v>
      </c>
      <c r="J1469" s="31"/>
      <c r="K1469" s="36"/>
      <c r="M1469" s="37"/>
      <c r="N1469" s="37"/>
      <c r="O1469" s="37"/>
      <c r="P1469" s="36"/>
      <c r="Q1469" s="36"/>
      <c r="R1469" s="31"/>
      <c r="S1469" s="31"/>
      <c r="T1469" s="38"/>
      <c r="U1469" s="39">
        <f>IFERROR(_xlfn.XLOOKUP(E1469,[1]EMPREENDIMENTO!C:C,[1]EMPREENDIMENTO!D:D),"")</f>
        <v>0</v>
      </c>
    </row>
    <row r="1470" spans="1:21" hidden="1" x14ac:dyDescent="0.35">
      <c r="A1470" s="36" t="str">
        <f>IFERROR(_xlfn.XLOOKUP(C1470,[1]DIRETORIA!C:C,[1]DIRETORIA!A:A),"-")</f>
        <v>-</v>
      </c>
      <c r="B1470" s="36" t="str">
        <f>IFERROR(_xlfn.XLOOKUP(C1470,[1]DIRETORIA!C:C,[1]DIRETORIA!B:B),"-")</f>
        <v>-</v>
      </c>
      <c r="C1470" s="36">
        <f>IFERROR(_xlfn.XLOOKUP(E1470,[1]EMPREENDIMENTO!C:C,[1]EMPREENDIMENTO!A:A),"-")</f>
        <v>0</v>
      </c>
      <c r="D1470" s="36"/>
      <c r="E1470" s="36"/>
      <c r="F1470" s="36"/>
      <c r="G1470" s="36"/>
      <c r="H1470" s="36"/>
      <c r="I1470" s="29">
        <f>IFERROR(_xlfn.XLOOKUP(E1470,[1]EMPREENDIMENTO!C:C,[1]EMPREENDIMENTO!E:E),"0")</f>
        <v>0</v>
      </c>
      <c r="J1470" s="31"/>
      <c r="K1470" s="36"/>
      <c r="M1470" s="37"/>
      <c r="N1470" s="37"/>
      <c r="O1470" s="37"/>
      <c r="P1470" s="36"/>
      <c r="Q1470" s="36"/>
      <c r="R1470" s="31"/>
      <c r="S1470" s="31"/>
      <c r="T1470" s="38"/>
      <c r="U1470" s="39">
        <f>IFERROR(_xlfn.XLOOKUP(E1470,[1]EMPREENDIMENTO!C:C,[1]EMPREENDIMENTO!D:D),"")</f>
        <v>0</v>
      </c>
    </row>
    <row r="1471" spans="1:21" hidden="1" x14ac:dyDescent="0.35">
      <c r="A1471" s="36" t="str">
        <f>IFERROR(_xlfn.XLOOKUP(C1471,[1]DIRETORIA!C:C,[1]DIRETORIA!A:A),"-")</f>
        <v>-</v>
      </c>
      <c r="B1471" s="36" t="str">
        <f>IFERROR(_xlfn.XLOOKUP(C1471,[1]DIRETORIA!C:C,[1]DIRETORIA!B:B),"-")</f>
        <v>-</v>
      </c>
      <c r="C1471" s="36">
        <f>IFERROR(_xlfn.XLOOKUP(E1471,[1]EMPREENDIMENTO!C:C,[1]EMPREENDIMENTO!A:A),"-")</f>
        <v>0</v>
      </c>
      <c r="D1471" s="36"/>
      <c r="E1471" s="36"/>
      <c r="F1471" s="36"/>
      <c r="G1471" s="36"/>
      <c r="H1471" s="36"/>
      <c r="I1471" s="29">
        <f>IFERROR(_xlfn.XLOOKUP(E1471,[1]EMPREENDIMENTO!C:C,[1]EMPREENDIMENTO!E:E),"0")</f>
        <v>0</v>
      </c>
      <c r="J1471" s="31"/>
      <c r="K1471" s="36"/>
      <c r="M1471" s="37"/>
      <c r="N1471" s="37"/>
      <c r="O1471" s="37"/>
      <c r="P1471" s="36"/>
      <c r="Q1471" s="36"/>
      <c r="R1471" s="31"/>
      <c r="S1471" s="31"/>
      <c r="T1471" s="38"/>
      <c r="U1471" s="39">
        <f>IFERROR(_xlfn.XLOOKUP(E1471,[1]EMPREENDIMENTO!C:C,[1]EMPREENDIMENTO!D:D),"")</f>
        <v>0</v>
      </c>
    </row>
    <row r="1472" spans="1:21" hidden="1" x14ac:dyDescent="0.35">
      <c r="A1472" s="36" t="str">
        <f>IFERROR(_xlfn.XLOOKUP(C1472,[1]DIRETORIA!C:C,[1]DIRETORIA!A:A),"-")</f>
        <v>-</v>
      </c>
      <c r="B1472" s="36" t="str">
        <f>IFERROR(_xlfn.XLOOKUP(C1472,[1]DIRETORIA!C:C,[1]DIRETORIA!B:B),"-")</f>
        <v>-</v>
      </c>
      <c r="C1472" s="36">
        <f>IFERROR(_xlfn.XLOOKUP(E1472,[1]EMPREENDIMENTO!C:C,[1]EMPREENDIMENTO!A:A),"-")</f>
        <v>0</v>
      </c>
      <c r="D1472" s="36"/>
      <c r="E1472" s="36"/>
      <c r="F1472" s="36"/>
      <c r="G1472" s="36"/>
      <c r="H1472" s="36"/>
      <c r="I1472" s="29">
        <f>IFERROR(_xlfn.XLOOKUP(E1472,[1]EMPREENDIMENTO!C:C,[1]EMPREENDIMENTO!E:E),"0")</f>
        <v>0</v>
      </c>
      <c r="J1472" s="31"/>
      <c r="K1472" s="36"/>
      <c r="M1472" s="37"/>
      <c r="N1472" s="37"/>
      <c r="O1472" s="37"/>
      <c r="P1472" s="36"/>
      <c r="Q1472" s="36"/>
      <c r="R1472" s="31"/>
      <c r="S1472" s="31"/>
      <c r="T1472" s="38"/>
      <c r="U1472" s="39">
        <f>IFERROR(_xlfn.XLOOKUP(E1472,[1]EMPREENDIMENTO!C:C,[1]EMPREENDIMENTO!D:D),"")</f>
        <v>0</v>
      </c>
    </row>
    <row r="1473" spans="1:21" hidden="1" x14ac:dyDescent="0.35">
      <c r="A1473" s="36" t="str">
        <f>IFERROR(_xlfn.XLOOKUP(C1473,[1]DIRETORIA!C:C,[1]DIRETORIA!A:A),"-")</f>
        <v>-</v>
      </c>
      <c r="B1473" s="36" t="str">
        <f>IFERROR(_xlfn.XLOOKUP(C1473,[1]DIRETORIA!C:C,[1]DIRETORIA!B:B),"-")</f>
        <v>-</v>
      </c>
      <c r="C1473" s="36">
        <f>IFERROR(_xlfn.XLOOKUP(E1473,[1]EMPREENDIMENTO!C:C,[1]EMPREENDIMENTO!A:A),"-")</f>
        <v>0</v>
      </c>
      <c r="D1473" s="36"/>
      <c r="E1473" s="36"/>
      <c r="F1473" s="36"/>
      <c r="G1473" s="36"/>
      <c r="H1473" s="36"/>
      <c r="I1473" s="29">
        <f>IFERROR(_xlfn.XLOOKUP(E1473,[1]EMPREENDIMENTO!C:C,[1]EMPREENDIMENTO!E:E),"0")</f>
        <v>0</v>
      </c>
      <c r="J1473" s="31"/>
      <c r="K1473" s="36"/>
      <c r="M1473" s="37"/>
      <c r="N1473" s="37"/>
      <c r="O1473" s="37"/>
      <c r="P1473" s="36"/>
      <c r="Q1473" s="36"/>
      <c r="R1473" s="31"/>
      <c r="S1473" s="31"/>
      <c r="T1473" s="38"/>
      <c r="U1473" s="39">
        <f>IFERROR(_xlfn.XLOOKUP(E1473,[1]EMPREENDIMENTO!C:C,[1]EMPREENDIMENTO!D:D),"")</f>
        <v>0</v>
      </c>
    </row>
    <row r="1474" spans="1:21" hidden="1" x14ac:dyDescent="0.35">
      <c r="A1474" s="36" t="str">
        <f>IFERROR(_xlfn.XLOOKUP(C1474,[1]DIRETORIA!C:C,[1]DIRETORIA!A:A),"-")</f>
        <v>-</v>
      </c>
      <c r="B1474" s="36" t="str">
        <f>IFERROR(_xlfn.XLOOKUP(C1474,[1]DIRETORIA!C:C,[1]DIRETORIA!B:B),"-")</f>
        <v>-</v>
      </c>
      <c r="C1474" s="36">
        <f>IFERROR(_xlfn.XLOOKUP(E1474,[1]EMPREENDIMENTO!C:C,[1]EMPREENDIMENTO!A:A),"-")</f>
        <v>0</v>
      </c>
      <c r="D1474" s="36"/>
      <c r="E1474" s="36"/>
      <c r="F1474" s="36"/>
      <c r="G1474" s="36"/>
      <c r="H1474" s="36"/>
      <c r="I1474" s="29">
        <f>IFERROR(_xlfn.XLOOKUP(E1474,[1]EMPREENDIMENTO!C:C,[1]EMPREENDIMENTO!E:E),"0")</f>
        <v>0</v>
      </c>
      <c r="J1474" s="31"/>
      <c r="K1474" s="36"/>
      <c r="M1474" s="37"/>
      <c r="N1474" s="37"/>
      <c r="O1474" s="37"/>
      <c r="P1474" s="36"/>
      <c r="Q1474" s="36"/>
      <c r="R1474" s="31"/>
      <c r="S1474" s="31"/>
      <c r="T1474" s="38"/>
      <c r="U1474" s="39">
        <f>IFERROR(_xlfn.XLOOKUP(E1474,[1]EMPREENDIMENTO!C:C,[1]EMPREENDIMENTO!D:D),"")</f>
        <v>0</v>
      </c>
    </row>
    <row r="1475" spans="1:21" hidden="1" x14ac:dyDescent="0.35">
      <c r="A1475" s="36" t="str">
        <f>IFERROR(_xlfn.XLOOKUP(C1475,[1]DIRETORIA!C:C,[1]DIRETORIA!A:A),"-")</f>
        <v>-</v>
      </c>
      <c r="B1475" s="36" t="str">
        <f>IFERROR(_xlfn.XLOOKUP(C1475,[1]DIRETORIA!C:C,[1]DIRETORIA!B:B),"-")</f>
        <v>-</v>
      </c>
      <c r="C1475" s="36">
        <f>IFERROR(_xlfn.XLOOKUP(E1475,[1]EMPREENDIMENTO!C:C,[1]EMPREENDIMENTO!A:A),"-")</f>
        <v>0</v>
      </c>
      <c r="D1475" s="36"/>
      <c r="E1475" s="36"/>
      <c r="F1475" s="36"/>
      <c r="G1475" s="36"/>
      <c r="H1475" s="36"/>
      <c r="I1475" s="29">
        <f>IFERROR(_xlfn.XLOOKUP(E1475,[1]EMPREENDIMENTO!C:C,[1]EMPREENDIMENTO!E:E),"0")</f>
        <v>0</v>
      </c>
      <c r="J1475" s="31"/>
      <c r="K1475" s="36"/>
      <c r="M1475" s="37"/>
      <c r="N1475" s="37"/>
      <c r="O1475" s="37"/>
      <c r="P1475" s="36"/>
      <c r="Q1475" s="36"/>
      <c r="R1475" s="31"/>
      <c r="S1475" s="31"/>
      <c r="T1475" s="38"/>
      <c r="U1475" s="39">
        <f>IFERROR(_xlfn.XLOOKUP(E1475,[1]EMPREENDIMENTO!C:C,[1]EMPREENDIMENTO!D:D),"")</f>
        <v>0</v>
      </c>
    </row>
    <row r="1476" spans="1:21" hidden="1" x14ac:dyDescent="0.35">
      <c r="A1476" s="36" t="str">
        <f>IFERROR(_xlfn.XLOOKUP(C1476,[1]DIRETORIA!C:C,[1]DIRETORIA!A:A),"-")</f>
        <v>-</v>
      </c>
      <c r="B1476" s="36" t="str">
        <f>IFERROR(_xlfn.XLOOKUP(C1476,[1]DIRETORIA!C:C,[1]DIRETORIA!B:B),"-")</f>
        <v>-</v>
      </c>
      <c r="C1476" s="36">
        <f>IFERROR(_xlfn.XLOOKUP(E1476,[1]EMPREENDIMENTO!C:C,[1]EMPREENDIMENTO!A:A),"-")</f>
        <v>0</v>
      </c>
      <c r="D1476" s="36"/>
      <c r="E1476" s="36"/>
      <c r="F1476" s="36"/>
      <c r="G1476" s="36"/>
      <c r="H1476" s="36"/>
      <c r="I1476" s="29">
        <f>IFERROR(_xlfn.XLOOKUP(E1476,[1]EMPREENDIMENTO!C:C,[1]EMPREENDIMENTO!E:E),"0")</f>
        <v>0</v>
      </c>
      <c r="J1476" s="31"/>
      <c r="K1476" s="36"/>
      <c r="M1476" s="37"/>
      <c r="N1476" s="37"/>
      <c r="O1476" s="37"/>
      <c r="P1476" s="36"/>
      <c r="Q1476" s="36"/>
      <c r="R1476" s="31"/>
      <c r="S1476" s="31"/>
      <c r="T1476" s="38"/>
      <c r="U1476" s="39">
        <f>IFERROR(_xlfn.XLOOKUP(E1476,[1]EMPREENDIMENTO!C:C,[1]EMPREENDIMENTO!D:D),"")</f>
        <v>0</v>
      </c>
    </row>
    <row r="1477" spans="1:21" hidden="1" x14ac:dyDescent="0.35">
      <c r="A1477" s="36" t="str">
        <f>IFERROR(_xlfn.XLOOKUP(C1477,[1]DIRETORIA!C:C,[1]DIRETORIA!A:A),"-")</f>
        <v>-</v>
      </c>
      <c r="B1477" s="36" t="str">
        <f>IFERROR(_xlfn.XLOOKUP(C1477,[1]DIRETORIA!C:C,[1]DIRETORIA!B:B),"-")</f>
        <v>-</v>
      </c>
      <c r="C1477" s="36">
        <f>IFERROR(_xlfn.XLOOKUP(E1477,[1]EMPREENDIMENTO!C:C,[1]EMPREENDIMENTO!A:A),"-")</f>
        <v>0</v>
      </c>
      <c r="D1477" s="36"/>
      <c r="E1477" s="36"/>
      <c r="F1477" s="36"/>
      <c r="G1477" s="36"/>
      <c r="H1477" s="36"/>
      <c r="I1477" s="29">
        <f>IFERROR(_xlfn.XLOOKUP(E1477,[1]EMPREENDIMENTO!C:C,[1]EMPREENDIMENTO!E:E),"0")</f>
        <v>0</v>
      </c>
      <c r="J1477" s="31"/>
      <c r="K1477" s="36"/>
      <c r="M1477" s="37"/>
      <c r="N1477" s="37"/>
      <c r="O1477" s="37"/>
      <c r="P1477" s="36"/>
      <c r="Q1477" s="36"/>
      <c r="R1477" s="31"/>
      <c r="S1477" s="31"/>
      <c r="T1477" s="38"/>
      <c r="U1477" s="39">
        <f>IFERROR(_xlfn.XLOOKUP(E1477,[1]EMPREENDIMENTO!C:C,[1]EMPREENDIMENTO!D:D),"")</f>
        <v>0</v>
      </c>
    </row>
    <row r="1478" spans="1:21" hidden="1" x14ac:dyDescent="0.35">
      <c r="A1478" s="36" t="str">
        <f>IFERROR(_xlfn.XLOOKUP(C1478,[1]DIRETORIA!C:C,[1]DIRETORIA!A:A),"-")</f>
        <v>-</v>
      </c>
      <c r="B1478" s="36" t="str">
        <f>IFERROR(_xlfn.XLOOKUP(C1478,[1]DIRETORIA!C:C,[1]DIRETORIA!B:B),"-")</f>
        <v>-</v>
      </c>
      <c r="C1478" s="36">
        <f>IFERROR(_xlfn.XLOOKUP(E1478,[1]EMPREENDIMENTO!C:C,[1]EMPREENDIMENTO!A:A),"-")</f>
        <v>0</v>
      </c>
      <c r="D1478" s="36"/>
      <c r="E1478" s="36"/>
      <c r="F1478" s="36"/>
      <c r="G1478" s="36"/>
      <c r="H1478" s="36"/>
      <c r="I1478" s="29">
        <f>IFERROR(_xlfn.XLOOKUP(E1478,[1]EMPREENDIMENTO!C:C,[1]EMPREENDIMENTO!E:E),"0")</f>
        <v>0</v>
      </c>
      <c r="J1478" s="31"/>
      <c r="K1478" s="36"/>
      <c r="M1478" s="37"/>
      <c r="N1478" s="37"/>
      <c r="O1478" s="37"/>
      <c r="P1478" s="36"/>
      <c r="Q1478" s="36"/>
      <c r="R1478" s="31"/>
      <c r="S1478" s="31"/>
      <c r="T1478" s="38"/>
      <c r="U1478" s="39">
        <f>IFERROR(_xlfn.XLOOKUP(E1478,[1]EMPREENDIMENTO!C:C,[1]EMPREENDIMENTO!D:D),"")</f>
        <v>0</v>
      </c>
    </row>
    <row r="1479" spans="1:21" hidden="1" x14ac:dyDescent="0.35">
      <c r="A1479" s="36" t="str">
        <f>IFERROR(_xlfn.XLOOKUP(C1479,[1]DIRETORIA!C:C,[1]DIRETORIA!A:A),"-")</f>
        <v>-</v>
      </c>
      <c r="B1479" s="36" t="str">
        <f>IFERROR(_xlfn.XLOOKUP(C1479,[1]DIRETORIA!C:C,[1]DIRETORIA!B:B),"-")</f>
        <v>-</v>
      </c>
      <c r="C1479" s="36">
        <f>IFERROR(_xlfn.XLOOKUP(E1479,[1]EMPREENDIMENTO!C:C,[1]EMPREENDIMENTO!A:A),"-")</f>
        <v>0</v>
      </c>
      <c r="D1479" s="36"/>
      <c r="E1479" s="36"/>
      <c r="F1479" s="36"/>
      <c r="G1479" s="36"/>
      <c r="H1479" s="36"/>
      <c r="I1479" s="29">
        <f>IFERROR(_xlfn.XLOOKUP(E1479,[1]EMPREENDIMENTO!C:C,[1]EMPREENDIMENTO!E:E),"0")</f>
        <v>0</v>
      </c>
      <c r="J1479" s="31"/>
      <c r="K1479" s="36"/>
      <c r="M1479" s="37"/>
      <c r="N1479" s="37"/>
      <c r="O1479" s="37"/>
      <c r="P1479" s="36"/>
      <c r="Q1479" s="36"/>
      <c r="R1479" s="31"/>
      <c r="S1479" s="31"/>
      <c r="T1479" s="38"/>
      <c r="U1479" s="39">
        <f>IFERROR(_xlfn.XLOOKUP(E1479,[1]EMPREENDIMENTO!C:C,[1]EMPREENDIMENTO!D:D),"")</f>
        <v>0</v>
      </c>
    </row>
    <row r="1480" spans="1:21" hidden="1" x14ac:dyDescent="0.35">
      <c r="A1480" s="36" t="str">
        <f>IFERROR(_xlfn.XLOOKUP(C1480,[1]DIRETORIA!C:C,[1]DIRETORIA!A:A),"-")</f>
        <v>-</v>
      </c>
      <c r="B1480" s="36" t="str">
        <f>IFERROR(_xlfn.XLOOKUP(C1480,[1]DIRETORIA!C:C,[1]DIRETORIA!B:B),"-")</f>
        <v>-</v>
      </c>
      <c r="C1480" s="36">
        <f>IFERROR(_xlfn.XLOOKUP(E1480,[1]EMPREENDIMENTO!C:C,[1]EMPREENDIMENTO!A:A),"-")</f>
        <v>0</v>
      </c>
      <c r="D1480" s="36"/>
      <c r="E1480" s="36"/>
      <c r="F1480" s="36"/>
      <c r="G1480" s="36"/>
      <c r="H1480" s="36"/>
      <c r="I1480" s="29">
        <f>IFERROR(_xlfn.XLOOKUP(E1480,[1]EMPREENDIMENTO!C:C,[1]EMPREENDIMENTO!E:E),"0")</f>
        <v>0</v>
      </c>
      <c r="J1480" s="31"/>
      <c r="K1480" s="36"/>
      <c r="M1480" s="37"/>
      <c r="N1480" s="37"/>
      <c r="O1480" s="37"/>
      <c r="P1480" s="36"/>
      <c r="Q1480" s="36"/>
      <c r="R1480" s="31"/>
      <c r="S1480" s="31"/>
      <c r="T1480" s="38"/>
      <c r="U1480" s="39">
        <f>IFERROR(_xlfn.XLOOKUP(E1480,[1]EMPREENDIMENTO!C:C,[1]EMPREENDIMENTO!D:D),"")</f>
        <v>0</v>
      </c>
    </row>
    <row r="1481" spans="1:21" hidden="1" x14ac:dyDescent="0.35">
      <c r="A1481" s="36" t="str">
        <f>IFERROR(_xlfn.XLOOKUP(C1481,[1]DIRETORIA!C:C,[1]DIRETORIA!A:A),"-")</f>
        <v>-</v>
      </c>
      <c r="B1481" s="36" t="str">
        <f>IFERROR(_xlfn.XLOOKUP(C1481,[1]DIRETORIA!C:C,[1]DIRETORIA!B:B),"-")</f>
        <v>-</v>
      </c>
      <c r="C1481" s="36">
        <f>IFERROR(_xlfn.XLOOKUP(E1481,[1]EMPREENDIMENTO!C:C,[1]EMPREENDIMENTO!A:A),"-")</f>
        <v>0</v>
      </c>
      <c r="D1481" s="36"/>
      <c r="E1481" s="36"/>
      <c r="F1481" s="36"/>
      <c r="G1481" s="36"/>
      <c r="H1481" s="36"/>
      <c r="I1481" s="29">
        <f>IFERROR(_xlfn.XLOOKUP(E1481,[1]EMPREENDIMENTO!C:C,[1]EMPREENDIMENTO!E:E),"0")</f>
        <v>0</v>
      </c>
      <c r="J1481" s="31"/>
      <c r="K1481" s="36"/>
      <c r="M1481" s="37"/>
      <c r="N1481" s="37"/>
      <c r="O1481" s="37"/>
      <c r="P1481" s="36"/>
      <c r="Q1481" s="36"/>
      <c r="R1481" s="31"/>
      <c r="S1481" s="31"/>
      <c r="T1481" s="38"/>
      <c r="U1481" s="39">
        <f>IFERROR(_xlfn.XLOOKUP(E1481,[1]EMPREENDIMENTO!C:C,[1]EMPREENDIMENTO!D:D),"")</f>
        <v>0</v>
      </c>
    </row>
    <row r="1482" spans="1:21" hidden="1" x14ac:dyDescent="0.35">
      <c r="A1482" s="36" t="str">
        <f>IFERROR(_xlfn.XLOOKUP(C1482,[1]DIRETORIA!C:C,[1]DIRETORIA!A:A),"-")</f>
        <v>-</v>
      </c>
      <c r="B1482" s="36" t="str">
        <f>IFERROR(_xlfn.XLOOKUP(C1482,[1]DIRETORIA!C:C,[1]DIRETORIA!B:B),"-")</f>
        <v>-</v>
      </c>
      <c r="C1482" s="36">
        <f>IFERROR(_xlfn.XLOOKUP(E1482,[1]EMPREENDIMENTO!C:C,[1]EMPREENDIMENTO!A:A),"-")</f>
        <v>0</v>
      </c>
      <c r="D1482" s="36"/>
      <c r="E1482" s="36"/>
      <c r="F1482" s="36"/>
      <c r="G1482" s="36"/>
      <c r="H1482" s="36"/>
      <c r="I1482" s="29">
        <f>IFERROR(_xlfn.XLOOKUP(E1482,[1]EMPREENDIMENTO!C:C,[1]EMPREENDIMENTO!E:E),"0")</f>
        <v>0</v>
      </c>
      <c r="J1482" s="31"/>
      <c r="K1482" s="36"/>
      <c r="M1482" s="37"/>
      <c r="N1482" s="37"/>
      <c r="O1482" s="37"/>
      <c r="P1482" s="36"/>
      <c r="Q1482" s="36"/>
      <c r="R1482" s="31"/>
      <c r="S1482" s="31"/>
      <c r="T1482" s="38"/>
      <c r="U1482" s="39">
        <f>IFERROR(_xlfn.XLOOKUP(E1482,[1]EMPREENDIMENTO!C:C,[1]EMPREENDIMENTO!D:D),"")</f>
        <v>0</v>
      </c>
    </row>
    <row r="1483" spans="1:21" hidden="1" x14ac:dyDescent="0.35">
      <c r="A1483" s="36" t="str">
        <f>IFERROR(_xlfn.XLOOKUP(C1483,[1]DIRETORIA!C:C,[1]DIRETORIA!A:A),"-")</f>
        <v>-</v>
      </c>
      <c r="B1483" s="36" t="str">
        <f>IFERROR(_xlfn.XLOOKUP(C1483,[1]DIRETORIA!C:C,[1]DIRETORIA!B:B),"-")</f>
        <v>-</v>
      </c>
      <c r="C1483" s="36">
        <f>IFERROR(_xlfn.XLOOKUP(E1483,[1]EMPREENDIMENTO!C:C,[1]EMPREENDIMENTO!A:A),"-")</f>
        <v>0</v>
      </c>
      <c r="D1483" s="36"/>
      <c r="E1483" s="36"/>
      <c r="F1483" s="36"/>
      <c r="G1483" s="36"/>
      <c r="H1483" s="36"/>
      <c r="I1483" s="29">
        <f>IFERROR(_xlfn.XLOOKUP(E1483,[1]EMPREENDIMENTO!C:C,[1]EMPREENDIMENTO!E:E),"0")</f>
        <v>0</v>
      </c>
      <c r="J1483" s="31"/>
      <c r="K1483" s="36"/>
      <c r="M1483" s="37"/>
      <c r="N1483" s="37"/>
      <c r="O1483" s="37"/>
      <c r="P1483" s="36"/>
      <c r="Q1483" s="36"/>
      <c r="R1483" s="31"/>
      <c r="S1483" s="31"/>
      <c r="T1483" s="38"/>
      <c r="U1483" s="39">
        <f>IFERROR(_xlfn.XLOOKUP(E1483,[1]EMPREENDIMENTO!C:C,[1]EMPREENDIMENTO!D:D),"")</f>
        <v>0</v>
      </c>
    </row>
    <row r="1484" spans="1:21" hidden="1" x14ac:dyDescent="0.35">
      <c r="A1484" s="36" t="str">
        <f>IFERROR(_xlfn.XLOOKUP(C1484,[1]DIRETORIA!C:C,[1]DIRETORIA!A:A),"-")</f>
        <v>-</v>
      </c>
      <c r="B1484" s="36" t="str">
        <f>IFERROR(_xlfn.XLOOKUP(C1484,[1]DIRETORIA!C:C,[1]DIRETORIA!B:B),"-")</f>
        <v>-</v>
      </c>
      <c r="C1484" s="36">
        <f>IFERROR(_xlfn.XLOOKUP(E1484,[1]EMPREENDIMENTO!C:C,[1]EMPREENDIMENTO!A:A),"-")</f>
        <v>0</v>
      </c>
      <c r="D1484" s="36"/>
      <c r="E1484" s="36"/>
      <c r="F1484" s="36"/>
      <c r="G1484" s="36"/>
      <c r="H1484" s="36"/>
      <c r="I1484" s="29">
        <f>IFERROR(_xlfn.XLOOKUP(E1484,[1]EMPREENDIMENTO!C:C,[1]EMPREENDIMENTO!E:E),"0")</f>
        <v>0</v>
      </c>
      <c r="J1484" s="31"/>
      <c r="K1484" s="36"/>
      <c r="M1484" s="37"/>
      <c r="N1484" s="37"/>
      <c r="O1484" s="37"/>
      <c r="P1484" s="36"/>
      <c r="Q1484" s="36"/>
      <c r="R1484" s="31"/>
      <c r="S1484" s="31"/>
      <c r="T1484" s="38"/>
      <c r="U1484" s="39">
        <f>IFERROR(_xlfn.XLOOKUP(E1484,[1]EMPREENDIMENTO!C:C,[1]EMPREENDIMENTO!D:D),"")</f>
        <v>0</v>
      </c>
    </row>
    <row r="1485" spans="1:21" hidden="1" x14ac:dyDescent="0.35">
      <c r="A1485" s="36" t="str">
        <f>IFERROR(_xlfn.XLOOKUP(C1485,[1]DIRETORIA!C:C,[1]DIRETORIA!A:A),"-")</f>
        <v>-</v>
      </c>
      <c r="B1485" s="36" t="str">
        <f>IFERROR(_xlfn.XLOOKUP(C1485,[1]DIRETORIA!C:C,[1]DIRETORIA!B:B),"-")</f>
        <v>-</v>
      </c>
      <c r="C1485" s="36">
        <f>IFERROR(_xlfn.XLOOKUP(E1485,[1]EMPREENDIMENTO!C:C,[1]EMPREENDIMENTO!A:A),"-")</f>
        <v>0</v>
      </c>
      <c r="D1485" s="36"/>
      <c r="E1485" s="36"/>
      <c r="F1485" s="36"/>
      <c r="G1485" s="36"/>
      <c r="H1485" s="36"/>
      <c r="I1485" s="29">
        <f>IFERROR(_xlfn.XLOOKUP(E1485,[1]EMPREENDIMENTO!C:C,[1]EMPREENDIMENTO!E:E),"0")</f>
        <v>0</v>
      </c>
      <c r="J1485" s="31"/>
      <c r="K1485" s="36"/>
      <c r="M1485" s="37"/>
      <c r="N1485" s="37"/>
      <c r="O1485" s="37"/>
      <c r="P1485" s="36"/>
      <c r="Q1485" s="36"/>
      <c r="R1485" s="31"/>
      <c r="S1485" s="31"/>
      <c r="T1485" s="38"/>
      <c r="U1485" s="39">
        <f>IFERROR(_xlfn.XLOOKUP(E1485,[1]EMPREENDIMENTO!C:C,[1]EMPREENDIMENTO!D:D),"")</f>
        <v>0</v>
      </c>
    </row>
    <row r="1486" spans="1:21" hidden="1" x14ac:dyDescent="0.35">
      <c r="A1486" s="36" t="str">
        <f>IFERROR(_xlfn.XLOOKUP(C1486,[1]DIRETORIA!C:C,[1]DIRETORIA!A:A),"-")</f>
        <v>-</v>
      </c>
      <c r="B1486" s="36" t="str">
        <f>IFERROR(_xlfn.XLOOKUP(C1486,[1]DIRETORIA!C:C,[1]DIRETORIA!B:B),"-")</f>
        <v>-</v>
      </c>
      <c r="C1486" s="36">
        <f>IFERROR(_xlfn.XLOOKUP(E1486,[1]EMPREENDIMENTO!C:C,[1]EMPREENDIMENTO!A:A),"-")</f>
        <v>0</v>
      </c>
      <c r="D1486" s="36"/>
      <c r="E1486" s="36"/>
      <c r="F1486" s="36"/>
      <c r="G1486" s="36"/>
      <c r="H1486" s="36"/>
      <c r="I1486" s="29">
        <f>IFERROR(_xlfn.XLOOKUP(E1486,[1]EMPREENDIMENTO!C:C,[1]EMPREENDIMENTO!E:E),"0")</f>
        <v>0</v>
      </c>
      <c r="J1486" s="31"/>
      <c r="K1486" s="36"/>
      <c r="M1486" s="37"/>
      <c r="N1486" s="37"/>
      <c r="O1486" s="37"/>
      <c r="P1486" s="36"/>
      <c r="Q1486" s="36"/>
      <c r="R1486" s="31"/>
      <c r="S1486" s="31"/>
      <c r="T1486" s="38"/>
      <c r="U1486" s="39">
        <f>IFERROR(_xlfn.XLOOKUP(E1486,[1]EMPREENDIMENTO!C:C,[1]EMPREENDIMENTO!D:D),"")</f>
        <v>0</v>
      </c>
    </row>
    <row r="1487" spans="1:21" hidden="1" x14ac:dyDescent="0.35">
      <c r="A1487" s="36" t="str">
        <f>IFERROR(_xlfn.XLOOKUP(C1487,[1]DIRETORIA!C:C,[1]DIRETORIA!A:A),"-")</f>
        <v>-</v>
      </c>
      <c r="B1487" s="36" t="str">
        <f>IFERROR(_xlfn.XLOOKUP(C1487,[1]DIRETORIA!C:C,[1]DIRETORIA!B:B),"-")</f>
        <v>-</v>
      </c>
      <c r="C1487" s="36">
        <f>IFERROR(_xlfn.XLOOKUP(E1487,[1]EMPREENDIMENTO!C:C,[1]EMPREENDIMENTO!A:A),"-")</f>
        <v>0</v>
      </c>
      <c r="D1487" s="36"/>
      <c r="E1487" s="36"/>
      <c r="F1487" s="36"/>
      <c r="G1487" s="36"/>
      <c r="H1487" s="36"/>
      <c r="I1487" s="29">
        <f>IFERROR(_xlfn.XLOOKUP(E1487,[1]EMPREENDIMENTO!C:C,[1]EMPREENDIMENTO!E:E),"0")</f>
        <v>0</v>
      </c>
      <c r="J1487" s="31"/>
      <c r="K1487" s="36"/>
      <c r="M1487" s="37"/>
      <c r="N1487" s="37"/>
      <c r="O1487" s="37"/>
      <c r="P1487" s="36"/>
      <c r="Q1487" s="36"/>
      <c r="R1487" s="31"/>
      <c r="S1487" s="31"/>
      <c r="T1487" s="38"/>
      <c r="U1487" s="39">
        <f>IFERROR(_xlfn.XLOOKUP(E1487,[1]EMPREENDIMENTO!C:C,[1]EMPREENDIMENTO!D:D),"")</f>
        <v>0</v>
      </c>
    </row>
    <row r="1488" spans="1:21" hidden="1" x14ac:dyDescent="0.35">
      <c r="A1488" s="36" t="str">
        <f>IFERROR(_xlfn.XLOOKUP(C1488,[1]DIRETORIA!C:C,[1]DIRETORIA!A:A),"-")</f>
        <v>-</v>
      </c>
      <c r="B1488" s="36" t="str">
        <f>IFERROR(_xlfn.XLOOKUP(C1488,[1]DIRETORIA!C:C,[1]DIRETORIA!B:B),"-")</f>
        <v>-</v>
      </c>
      <c r="C1488" s="36">
        <f>IFERROR(_xlfn.XLOOKUP(E1488,[1]EMPREENDIMENTO!C:C,[1]EMPREENDIMENTO!A:A),"-")</f>
        <v>0</v>
      </c>
      <c r="D1488" s="36"/>
      <c r="E1488" s="36"/>
      <c r="F1488" s="36"/>
      <c r="G1488" s="36"/>
      <c r="H1488" s="36"/>
      <c r="I1488" s="29">
        <f>IFERROR(_xlfn.XLOOKUP(E1488,[1]EMPREENDIMENTO!C:C,[1]EMPREENDIMENTO!E:E),"0")</f>
        <v>0</v>
      </c>
      <c r="J1488" s="31"/>
      <c r="K1488" s="36"/>
      <c r="M1488" s="37"/>
      <c r="N1488" s="37"/>
      <c r="O1488" s="37"/>
      <c r="P1488" s="36"/>
      <c r="Q1488" s="36"/>
      <c r="R1488" s="31"/>
      <c r="S1488" s="31"/>
      <c r="T1488" s="38"/>
      <c r="U1488" s="39">
        <f>IFERROR(_xlfn.XLOOKUP(E1488,[1]EMPREENDIMENTO!C:C,[1]EMPREENDIMENTO!D:D),"")</f>
        <v>0</v>
      </c>
    </row>
    <row r="1489" spans="1:21" hidden="1" x14ac:dyDescent="0.35">
      <c r="A1489" s="36" t="str">
        <f>IFERROR(_xlfn.XLOOKUP(C1489,[1]DIRETORIA!C:C,[1]DIRETORIA!A:A),"-")</f>
        <v>-</v>
      </c>
      <c r="B1489" s="36" t="str">
        <f>IFERROR(_xlfn.XLOOKUP(C1489,[1]DIRETORIA!C:C,[1]DIRETORIA!B:B),"-")</f>
        <v>-</v>
      </c>
      <c r="C1489" s="36">
        <f>IFERROR(_xlfn.XLOOKUP(E1489,[1]EMPREENDIMENTO!C:C,[1]EMPREENDIMENTO!A:A),"-")</f>
        <v>0</v>
      </c>
      <c r="D1489" s="36"/>
      <c r="E1489" s="36"/>
      <c r="F1489" s="36"/>
      <c r="G1489" s="36"/>
      <c r="H1489" s="36"/>
      <c r="I1489" s="29">
        <f>IFERROR(_xlfn.XLOOKUP(E1489,[1]EMPREENDIMENTO!C:C,[1]EMPREENDIMENTO!E:E),"0")</f>
        <v>0</v>
      </c>
      <c r="J1489" s="31"/>
      <c r="K1489" s="36"/>
      <c r="M1489" s="37"/>
      <c r="N1489" s="37"/>
      <c r="O1489" s="37"/>
      <c r="P1489" s="36"/>
      <c r="Q1489" s="36"/>
      <c r="R1489" s="31"/>
      <c r="S1489" s="31"/>
      <c r="T1489" s="38"/>
      <c r="U1489" s="39">
        <f>IFERROR(_xlfn.XLOOKUP(E1489,[1]EMPREENDIMENTO!C:C,[1]EMPREENDIMENTO!D:D),"")</f>
        <v>0</v>
      </c>
    </row>
    <row r="1490" spans="1:21" hidden="1" x14ac:dyDescent="0.35">
      <c r="A1490" s="36" t="str">
        <f>IFERROR(_xlfn.XLOOKUP(C1490,[1]DIRETORIA!C:C,[1]DIRETORIA!A:A),"-")</f>
        <v>-</v>
      </c>
      <c r="B1490" s="36" t="str">
        <f>IFERROR(_xlfn.XLOOKUP(C1490,[1]DIRETORIA!C:C,[1]DIRETORIA!B:B),"-")</f>
        <v>-</v>
      </c>
      <c r="C1490" s="36">
        <f>IFERROR(_xlfn.XLOOKUP(E1490,[1]EMPREENDIMENTO!C:C,[1]EMPREENDIMENTO!A:A),"-")</f>
        <v>0</v>
      </c>
      <c r="D1490" s="36"/>
      <c r="E1490" s="36"/>
      <c r="F1490" s="36"/>
      <c r="G1490" s="36"/>
      <c r="H1490" s="36"/>
      <c r="I1490" s="29">
        <f>IFERROR(_xlfn.XLOOKUP(E1490,[1]EMPREENDIMENTO!C:C,[1]EMPREENDIMENTO!E:E),"0")</f>
        <v>0</v>
      </c>
      <c r="J1490" s="31"/>
      <c r="K1490" s="36"/>
      <c r="M1490" s="37"/>
      <c r="N1490" s="37"/>
      <c r="O1490" s="37"/>
      <c r="P1490" s="36"/>
      <c r="Q1490" s="36"/>
      <c r="R1490" s="31"/>
      <c r="S1490" s="31"/>
      <c r="T1490" s="38"/>
      <c r="U1490" s="39">
        <f>IFERROR(_xlfn.XLOOKUP(E1490,[1]EMPREENDIMENTO!C:C,[1]EMPREENDIMENTO!D:D),"")</f>
        <v>0</v>
      </c>
    </row>
    <row r="1491" spans="1:21" hidden="1" x14ac:dyDescent="0.35">
      <c r="A1491" s="36" t="str">
        <f>IFERROR(_xlfn.XLOOKUP(C1491,[1]DIRETORIA!C:C,[1]DIRETORIA!A:A),"-")</f>
        <v>-</v>
      </c>
      <c r="B1491" s="36" t="str">
        <f>IFERROR(_xlfn.XLOOKUP(C1491,[1]DIRETORIA!C:C,[1]DIRETORIA!B:B),"-")</f>
        <v>-</v>
      </c>
      <c r="C1491" s="36">
        <f>IFERROR(_xlfn.XLOOKUP(E1491,[1]EMPREENDIMENTO!C:C,[1]EMPREENDIMENTO!A:A),"-")</f>
        <v>0</v>
      </c>
      <c r="D1491" s="36"/>
      <c r="E1491" s="36"/>
      <c r="F1491" s="36"/>
      <c r="G1491" s="36"/>
      <c r="H1491" s="36"/>
      <c r="I1491" s="29">
        <f>IFERROR(_xlfn.XLOOKUP(E1491,[1]EMPREENDIMENTO!C:C,[1]EMPREENDIMENTO!E:E),"0")</f>
        <v>0</v>
      </c>
      <c r="J1491" s="31"/>
      <c r="K1491" s="36"/>
      <c r="M1491" s="37"/>
      <c r="N1491" s="37"/>
      <c r="O1491" s="37"/>
      <c r="P1491" s="36"/>
      <c r="Q1491" s="36"/>
      <c r="R1491" s="31"/>
      <c r="S1491" s="31"/>
      <c r="T1491" s="38"/>
      <c r="U1491" s="39">
        <f>IFERROR(_xlfn.XLOOKUP(E1491,[1]EMPREENDIMENTO!C:C,[1]EMPREENDIMENTO!D:D),"")</f>
        <v>0</v>
      </c>
    </row>
    <row r="1492" spans="1:21" hidden="1" x14ac:dyDescent="0.35">
      <c r="A1492" s="36" t="str">
        <f>IFERROR(_xlfn.XLOOKUP(C1492,[1]DIRETORIA!C:C,[1]DIRETORIA!A:A),"-")</f>
        <v>-</v>
      </c>
      <c r="B1492" s="36" t="str">
        <f>IFERROR(_xlfn.XLOOKUP(C1492,[1]DIRETORIA!C:C,[1]DIRETORIA!B:B),"-")</f>
        <v>-</v>
      </c>
      <c r="C1492" s="36">
        <f>IFERROR(_xlfn.XLOOKUP(E1492,[1]EMPREENDIMENTO!C:C,[1]EMPREENDIMENTO!A:A),"-")</f>
        <v>0</v>
      </c>
      <c r="D1492" s="36"/>
      <c r="E1492" s="36"/>
      <c r="F1492" s="36"/>
      <c r="G1492" s="36"/>
      <c r="H1492" s="36"/>
      <c r="I1492" s="29">
        <f>IFERROR(_xlfn.XLOOKUP(E1492,[1]EMPREENDIMENTO!C:C,[1]EMPREENDIMENTO!E:E),"0")</f>
        <v>0</v>
      </c>
      <c r="J1492" s="31"/>
      <c r="K1492" s="36"/>
      <c r="M1492" s="37"/>
      <c r="N1492" s="37"/>
      <c r="O1492" s="37"/>
      <c r="P1492" s="36"/>
      <c r="Q1492" s="36"/>
      <c r="R1492" s="31"/>
      <c r="S1492" s="31"/>
      <c r="T1492" s="38"/>
      <c r="U1492" s="39">
        <f>IFERROR(_xlfn.XLOOKUP(E1492,[1]EMPREENDIMENTO!C:C,[1]EMPREENDIMENTO!D:D),"")</f>
        <v>0</v>
      </c>
    </row>
    <row r="1493" spans="1:21" hidden="1" x14ac:dyDescent="0.35">
      <c r="A1493" s="36" t="str">
        <f>IFERROR(_xlfn.XLOOKUP(C1493,[1]DIRETORIA!C:C,[1]DIRETORIA!A:A),"-")</f>
        <v>-</v>
      </c>
      <c r="B1493" s="36" t="str">
        <f>IFERROR(_xlfn.XLOOKUP(C1493,[1]DIRETORIA!C:C,[1]DIRETORIA!B:B),"-")</f>
        <v>-</v>
      </c>
      <c r="C1493" s="36">
        <f>IFERROR(_xlfn.XLOOKUP(E1493,[1]EMPREENDIMENTO!C:C,[1]EMPREENDIMENTO!A:A),"-")</f>
        <v>0</v>
      </c>
      <c r="D1493" s="36"/>
      <c r="E1493" s="36"/>
      <c r="F1493" s="36"/>
      <c r="G1493" s="36"/>
      <c r="H1493" s="36"/>
      <c r="I1493" s="29">
        <f>IFERROR(_xlfn.XLOOKUP(E1493,[1]EMPREENDIMENTO!C:C,[1]EMPREENDIMENTO!E:E),"0")</f>
        <v>0</v>
      </c>
      <c r="J1493" s="31"/>
      <c r="K1493" s="36"/>
      <c r="M1493" s="37"/>
      <c r="N1493" s="37"/>
      <c r="O1493" s="37"/>
      <c r="P1493" s="36"/>
      <c r="Q1493" s="36"/>
      <c r="R1493" s="31"/>
      <c r="S1493" s="31"/>
      <c r="T1493" s="38"/>
      <c r="U1493" s="39">
        <f>IFERROR(_xlfn.XLOOKUP(E1493,[1]EMPREENDIMENTO!C:C,[1]EMPREENDIMENTO!D:D),"")</f>
        <v>0</v>
      </c>
    </row>
    <row r="1494" spans="1:21" hidden="1" x14ac:dyDescent="0.35">
      <c r="A1494" s="36" t="str">
        <f>IFERROR(_xlfn.XLOOKUP(C1494,[1]DIRETORIA!C:C,[1]DIRETORIA!A:A),"-")</f>
        <v>-</v>
      </c>
      <c r="B1494" s="36" t="str">
        <f>IFERROR(_xlfn.XLOOKUP(C1494,[1]DIRETORIA!C:C,[1]DIRETORIA!B:B),"-")</f>
        <v>-</v>
      </c>
      <c r="C1494" s="36">
        <f>IFERROR(_xlfn.XLOOKUP(E1494,[1]EMPREENDIMENTO!C:C,[1]EMPREENDIMENTO!A:A),"-")</f>
        <v>0</v>
      </c>
      <c r="D1494" s="36"/>
      <c r="E1494" s="36"/>
      <c r="F1494" s="36"/>
      <c r="G1494" s="36"/>
      <c r="H1494" s="36"/>
      <c r="I1494" s="29">
        <f>IFERROR(_xlfn.XLOOKUP(E1494,[1]EMPREENDIMENTO!C:C,[1]EMPREENDIMENTO!E:E),"0")</f>
        <v>0</v>
      </c>
      <c r="J1494" s="31"/>
      <c r="K1494" s="36"/>
      <c r="M1494" s="37"/>
      <c r="N1494" s="37"/>
      <c r="O1494" s="37"/>
      <c r="P1494" s="36"/>
      <c r="Q1494" s="36"/>
      <c r="R1494" s="31"/>
      <c r="S1494" s="31"/>
      <c r="T1494" s="38"/>
      <c r="U1494" s="39">
        <f>IFERROR(_xlfn.XLOOKUP(E1494,[1]EMPREENDIMENTO!C:C,[1]EMPREENDIMENTO!D:D),"")</f>
        <v>0</v>
      </c>
    </row>
    <row r="1495" spans="1:21" hidden="1" x14ac:dyDescent="0.35">
      <c r="A1495" s="36" t="str">
        <f>IFERROR(_xlfn.XLOOKUP(C1495,[1]DIRETORIA!C:C,[1]DIRETORIA!A:A),"-")</f>
        <v>-</v>
      </c>
      <c r="B1495" s="36" t="str">
        <f>IFERROR(_xlfn.XLOOKUP(C1495,[1]DIRETORIA!C:C,[1]DIRETORIA!B:B),"-")</f>
        <v>-</v>
      </c>
      <c r="C1495" s="36">
        <f>IFERROR(_xlfn.XLOOKUP(E1495,[1]EMPREENDIMENTO!C:C,[1]EMPREENDIMENTO!A:A),"-")</f>
        <v>0</v>
      </c>
      <c r="D1495" s="36"/>
      <c r="E1495" s="36"/>
      <c r="F1495" s="36"/>
      <c r="G1495" s="36"/>
      <c r="H1495" s="36"/>
      <c r="I1495" s="29">
        <f>IFERROR(_xlfn.XLOOKUP(E1495,[1]EMPREENDIMENTO!C:C,[1]EMPREENDIMENTO!E:E),"0")</f>
        <v>0</v>
      </c>
      <c r="J1495" s="31"/>
      <c r="K1495" s="36"/>
      <c r="M1495" s="37"/>
      <c r="N1495" s="37"/>
      <c r="O1495" s="37"/>
      <c r="P1495" s="36"/>
      <c r="Q1495" s="36"/>
      <c r="R1495" s="31"/>
      <c r="S1495" s="31"/>
      <c r="T1495" s="38"/>
      <c r="U1495" s="39">
        <f>IFERROR(_xlfn.XLOOKUP(E1495,[1]EMPREENDIMENTO!C:C,[1]EMPREENDIMENTO!D:D),"")</f>
        <v>0</v>
      </c>
    </row>
    <row r="1496" spans="1:21" hidden="1" x14ac:dyDescent="0.35">
      <c r="A1496" s="36" t="str">
        <f>IFERROR(_xlfn.XLOOKUP(C1496,[1]DIRETORIA!C:C,[1]DIRETORIA!A:A),"-")</f>
        <v>-</v>
      </c>
      <c r="B1496" s="36" t="str">
        <f>IFERROR(_xlfn.XLOOKUP(C1496,[1]DIRETORIA!C:C,[1]DIRETORIA!B:B),"-")</f>
        <v>-</v>
      </c>
      <c r="C1496" s="36">
        <f>IFERROR(_xlfn.XLOOKUP(E1496,[1]EMPREENDIMENTO!C:C,[1]EMPREENDIMENTO!A:A),"-")</f>
        <v>0</v>
      </c>
      <c r="D1496" s="36"/>
      <c r="E1496" s="36"/>
      <c r="F1496" s="36"/>
      <c r="G1496" s="36"/>
      <c r="H1496" s="36"/>
      <c r="I1496" s="29">
        <f>IFERROR(_xlfn.XLOOKUP(E1496,[1]EMPREENDIMENTO!C:C,[1]EMPREENDIMENTO!E:E),"0")</f>
        <v>0</v>
      </c>
      <c r="J1496" s="31"/>
      <c r="K1496" s="36"/>
      <c r="M1496" s="37"/>
      <c r="N1496" s="37"/>
      <c r="O1496" s="37"/>
      <c r="P1496" s="36"/>
      <c r="Q1496" s="36"/>
      <c r="R1496" s="31"/>
      <c r="S1496" s="31"/>
      <c r="T1496" s="38"/>
      <c r="U1496" s="39">
        <f>IFERROR(_xlfn.XLOOKUP(E1496,[1]EMPREENDIMENTO!C:C,[1]EMPREENDIMENTO!D:D),"")</f>
        <v>0</v>
      </c>
    </row>
    <row r="1497" spans="1:21" hidden="1" x14ac:dyDescent="0.35">
      <c r="A1497" s="36" t="str">
        <f>IFERROR(_xlfn.XLOOKUP(C1497,[1]DIRETORIA!C:C,[1]DIRETORIA!A:A),"-")</f>
        <v>-</v>
      </c>
      <c r="B1497" s="36" t="str">
        <f>IFERROR(_xlfn.XLOOKUP(C1497,[1]DIRETORIA!C:C,[1]DIRETORIA!B:B),"-")</f>
        <v>-</v>
      </c>
      <c r="C1497" s="36">
        <f>IFERROR(_xlfn.XLOOKUP(E1497,[1]EMPREENDIMENTO!C:C,[1]EMPREENDIMENTO!A:A),"-")</f>
        <v>0</v>
      </c>
      <c r="D1497" s="36"/>
      <c r="E1497" s="36"/>
      <c r="F1497" s="36"/>
      <c r="G1497" s="36"/>
      <c r="H1497" s="36"/>
      <c r="I1497" s="29">
        <f>IFERROR(_xlfn.XLOOKUP(E1497,[1]EMPREENDIMENTO!C:C,[1]EMPREENDIMENTO!E:E),"0")</f>
        <v>0</v>
      </c>
      <c r="J1497" s="31"/>
      <c r="K1497" s="36"/>
      <c r="M1497" s="37"/>
      <c r="N1497" s="37"/>
      <c r="O1497" s="37"/>
      <c r="P1497" s="36"/>
      <c r="Q1497" s="36"/>
      <c r="R1497" s="31"/>
      <c r="S1497" s="31"/>
      <c r="T1497" s="38"/>
      <c r="U1497" s="39">
        <f>IFERROR(_xlfn.XLOOKUP(E1497,[1]EMPREENDIMENTO!C:C,[1]EMPREENDIMENTO!D:D),"")</f>
        <v>0</v>
      </c>
    </row>
    <row r="1498" spans="1:21" hidden="1" x14ac:dyDescent="0.35">
      <c r="A1498" s="36" t="str">
        <f>IFERROR(_xlfn.XLOOKUP(C1498,[1]DIRETORIA!C:C,[1]DIRETORIA!A:A),"-")</f>
        <v>-</v>
      </c>
      <c r="B1498" s="36" t="str">
        <f>IFERROR(_xlfn.XLOOKUP(C1498,[1]DIRETORIA!C:C,[1]DIRETORIA!B:B),"-")</f>
        <v>-</v>
      </c>
      <c r="C1498" s="36">
        <f>IFERROR(_xlfn.XLOOKUP(E1498,[1]EMPREENDIMENTO!C:C,[1]EMPREENDIMENTO!A:A),"-")</f>
        <v>0</v>
      </c>
      <c r="D1498" s="36"/>
      <c r="E1498" s="36"/>
      <c r="F1498" s="36"/>
      <c r="G1498" s="36"/>
      <c r="H1498" s="36"/>
      <c r="I1498" s="29">
        <f>IFERROR(_xlfn.XLOOKUP(E1498,[1]EMPREENDIMENTO!C:C,[1]EMPREENDIMENTO!E:E),"0")</f>
        <v>0</v>
      </c>
      <c r="J1498" s="31"/>
      <c r="K1498" s="36"/>
      <c r="M1498" s="37"/>
      <c r="N1498" s="37"/>
      <c r="O1498" s="37"/>
      <c r="P1498" s="36"/>
      <c r="Q1498" s="36"/>
      <c r="R1498" s="31"/>
      <c r="S1498" s="31"/>
      <c r="T1498" s="38"/>
      <c r="U1498" s="39">
        <f>IFERROR(_xlfn.XLOOKUP(E1498,[1]EMPREENDIMENTO!C:C,[1]EMPREENDIMENTO!D:D),"")</f>
        <v>0</v>
      </c>
    </row>
    <row r="1499" spans="1:21" hidden="1" x14ac:dyDescent="0.35">
      <c r="A1499" s="36" t="str">
        <f>IFERROR(_xlfn.XLOOKUP(C1499,[1]DIRETORIA!C:C,[1]DIRETORIA!A:A),"-")</f>
        <v>-</v>
      </c>
      <c r="B1499" s="36" t="str">
        <f>IFERROR(_xlfn.XLOOKUP(C1499,[1]DIRETORIA!C:C,[1]DIRETORIA!B:B),"-")</f>
        <v>-</v>
      </c>
      <c r="C1499" s="36">
        <f>IFERROR(_xlfn.XLOOKUP(E1499,[1]EMPREENDIMENTO!C:C,[1]EMPREENDIMENTO!A:A),"-")</f>
        <v>0</v>
      </c>
      <c r="D1499" s="36"/>
      <c r="E1499" s="36"/>
      <c r="F1499" s="36"/>
      <c r="G1499" s="36"/>
      <c r="H1499" s="36"/>
      <c r="I1499" s="29">
        <f>IFERROR(_xlfn.XLOOKUP(E1499,[1]EMPREENDIMENTO!C:C,[1]EMPREENDIMENTO!E:E),"0")</f>
        <v>0</v>
      </c>
      <c r="J1499" s="31"/>
      <c r="K1499" s="36"/>
      <c r="M1499" s="37"/>
      <c r="N1499" s="37"/>
      <c r="O1499" s="37"/>
      <c r="P1499" s="36"/>
      <c r="Q1499" s="36"/>
      <c r="R1499" s="31"/>
      <c r="S1499" s="31"/>
      <c r="T1499" s="38"/>
      <c r="U1499" s="39">
        <f>IFERROR(_xlfn.XLOOKUP(E1499,[1]EMPREENDIMENTO!C:C,[1]EMPREENDIMENTO!D:D),"")</f>
        <v>0</v>
      </c>
    </row>
    <row r="1500" spans="1:21" hidden="1" x14ac:dyDescent="0.35">
      <c r="A1500" s="36" t="str">
        <f>IFERROR(_xlfn.XLOOKUP(C1500,[1]DIRETORIA!C:C,[1]DIRETORIA!A:A),"-")</f>
        <v>-</v>
      </c>
      <c r="B1500" s="36" t="str">
        <f>IFERROR(_xlfn.XLOOKUP(C1500,[1]DIRETORIA!C:C,[1]DIRETORIA!B:B),"-")</f>
        <v>-</v>
      </c>
      <c r="C1500" s="36">
        <f>IFERROR(_xlfn.XLOOKUP(E1500,[1]EMPREENDIMENTO!C:C,[1]EMPREENDIMENTO!A:A),"-")</f>
        <v>0</v>
      </c>
      <c r="D1500" s="36"/>
      <c r="E1500" s="36"/>
      <c r="F1500" s="36"/>
      <c r="G1500" s="36"/>
      <c r="H1500" s="36"/>
      <c r="I1500" s="29">
        <f>IFERROR(_xlfn.XLOOKUP(E1500,[1]EMPREENDIMENTO!C:C,[1]EMPREENDIMENTO!E:E),"0")</f>
        <v>0</v>
      </c>
      <c r="J1500" s="31"/>
      <c r="K1500" s="36"/>
      <c r="M1500" s="37"/>
      <c r="N1500" s="37"/>
      <c r="O1500" s="37"/>
      <c r="P1500" s="36"/>
      <c r="Q1500" s="36"/>
      <c r="R1500" s="31"/>
      <c r="S1500" s="31"/>
      <c r="T1500" s="38"/>
      <c r="U1500" s="39">
        <f>IFERROR(_xlfn.XLOOKUP(E1500,[1]EMPREENDIMENTO!C:C,[1]EMPREENDIMENTO!D:D),"")</f>
        <v>0</v>
      </c>
    </row>
    <row r="1501" spans="1:21" hidden="1" x14ac:dyDescent="0.35">
      <c r="A1501" s="36" t="str">
        <f>IFERROR(_xlfn.XLOOKUP(C1501,[1]DIRETORIA!C:C,[1]DIRETORIA!A:A),"-")</f>
        <v>-</v>
      </c>
      <c r="B1501" s="36" t="str">
        <f>IFERROR(_xlfn.XLOOKUP(C1501,[1]DIRETORIA!C:C,[1]DIRETORIA!B:B),"-")</f>
        <v>-</v>
      </c>
      <c r="C1501" s="36">
        <f>IFERROR(_xlfn.XLOOKUP(E1501,[1]EMPREENDIMENTO!C:C,[1]EMPREENDIMENTO!A:A),"-")</f>
        <v>0</v>
      </c>
      <c r="D1501" s="36"/>
      <c r="E1501" s="36"/>
      <c r="F1501" s="36"/>
      <c r="G1501" s="36"/>
      <c r="H1501" s="36"/>
      <c r="I1501" s="29">
        <f>IFERROR(_xlfn.XLOOKUP(E1501,[1]EMPREENDIMENTO!C:C,[1]EMPREENDIMENTO!E:E),"0")</f>
        <v>0</v>
      </c>
      <c r="J1501" s="31"/>
      <c r="K1501" s="36"/>
      <c r="M1501" s="37"/>
      <c r="N1501" s="37"/>
      <c r="O1501" s="37"/>
      <c r="P1501" s="36"/>
      <c r="Q1501" s="36"/>
      <c r="R1501" s="31"/>
      <c r="S1501" s="31"/>
      <c r="T1501" s="38"/>
      <c r="U1501" s="39">
        <f>IFERROR(_xlfn.XLOOKUP(E1501,[1]EMPREENDIMENTO!C:C,[1]EMPREENDIMENTO!D:D),"")</f>
        <v>0</v>
      </c>
    </row>
    <row r="1502" spans="1:21" hidden="1" x14ac:dyDescent="0.35">
      <c r="A1502" s="36" t="str">
        <f>IFERROR(_xlfn.XLOOKUP(C1502,[1]DIRETORIA!C:C,[1]DIRETORIA!A:A),"-")</f>
        <v>-</v>
      </c>
      <c r="B1502" s="36" t="str">
        <f>IFERROR(_xlfn.XLOOKUP(C1502,[1]DIRETORIA!C:C,[1]DIRETORIA!B:B),"-")</f>
        <v>-</v>
      </c>
      <c r="C1502" s="36">
        <f>IFERROR(_xlfn.XLOOKUP(E1502,[1]EMPREENDIMENTO!C:C,[1]EMPREENDIMENTO!A:A),"-")</f>
        <v>0</v>
      </c>
      <c r="D1502" s="36"/>
      <c r="E1502" s="36"/>
      <c r="F1502" s="36"/>
      <c r="G1502" s="36"/>
      <c r="H1502" s="36"/>
      <c r="I1502" s="29">
        <f>IFERROR(_xlfn.XLOOKUP(E1502,[1]EMPREENDIMENTO!C:C,[1]EMPREENDIMENTO!E:E),"0")</f>
        <v>0</v>
      </c>
      <c r="J1502" s="31"/>
      <c r="K1502" s="36"/>
      <c r="M1502" s="37"/>
      <c r="N1502" s="37"/>
      <c r="O1502" s="37"/>
      <c r="P1502" s="36"/>
      <c r="Q1502" s="36"/>
      <c r="R1502" s="31"/>
      <c r="S1502" s="31"/>
      <c r="T1502" s="38"/>
      <c r="U1502" s="39">
        <f>IFERROR(_xlfn.XLOOKUP(E1502,[1]EMPREENDIMENTO!C:C,[1]EMPREENDIMENTO!D:D),"")</f>
        <v>0</v>
      </c>
    </row>
    <row r="1503" spans="1:21" hidden="1" x14ac:dyDescent="0.35">
      <c r="A1503" s="36" t="str">
        <f>IFERROR(_xlfn.XLOOKUP(C1503,[1]DIRETORIA!C:C,[1]DIRETORIA!A:A),"-")</f>
        <v>-</v>
      </c>
      <c r="B1503" s="36" t="str">
        <f>IFERROR(_xlfn.XLOOKUP(C1503,[1]DIRETORIA!C:C,[1]DIRETORIA!B:B),"-")</f>
        <v>-</v>
      </c>
      <c r="C1503" s="36">
        <f>IFERROR(_xlfn.XLOOKUP(E1503,[1]EMPREENDIMENTO!C:C,[1]EMPREENDIMENTO!A:A),"-")</f>
        <v>0</v>
      </c>
      <c r="D1503" s="36"/>
      <c r="E1503" s="36"/>
      <c r="F1503" s="36"/>
      <c r="G1503" s="36"/>
      <c r="H1503" s="36"/>
      <c r="I1503" s="29">
        <f>IFERROR(_xlfn.XLOOKUP(E1503,[1]EMPREENDIMENTO!C:C,[1]EMPREENDIMENTO!E:E),"0")</f>
        <v>0</v>
      </c>
      <c r="J1503" s="31"/>
      <c r="K1503" s="36"/>
      <c r="M1503" s="37"/>
      <c r="N1503" s="37"/>
      <c r="O1503" s="37"/>
      <c r="P1503" s="36"/>
      <c r="Q1503" s="36"/>
      <c r="R1503" s="31"/>
      <c r="S1503" s="31"/>
      <c r="T1503" s="38"/>
      <c r="U1503" s="39">
        <f>IFERROR(_xlfn.XLOOKUP(E1503,[1]EMPREENDIMENTO!C:C,[1]EMPREENDIMENTO!D:D),"")</f>
        <v>0</v>
      </c>
    </row>
    <row r="1504" spans="1:21" hidden="1" x14ac:dyDescent="0.35">
      <c r="A1504" s="36" t="str">
        <f>IFERROR(_xlfn.XLOOKUP(C1504,[1]DIRETORIA!C:C,[1]DIRETORIA!A:A),"-")</f>
        <v>-</v>
      </c>
      <c r="B1504" s="36" t="str">
        <f>IFERROR(_xlfn.XLOOKUP(C1504,[1]DIRETORIA!C:C,[1]DIRETORIA!B:B),"-")</f>
        <v>-</v>
      </c>
      <c r="C1504" s="36">
        <f>IFERROR(_xlfn.XLOOKUP(E1504,[1]EMPREENDIMENTO!C:C,[1]EMPREENDIMENTO!A:A),"-")</f>
        <v>0</v>
      </c>
      <c r="D1504" s="36"/>
      <c r="E1504" s="36"/>
      <c r="F1504" s="36"/>
      <c r="G1504" s="36"/>
      <c r="H1504" s="36"/>
      <c r="I1504" s="29">
        <f>IFERROR(_xlfn.XLOOKUP(E1504,[1]EMPREENDIMENTO!C:C,[1]EMPREENDIMENTO!E:E),"0")</f>
        <v>0</v>
      </c>
      <c r="J1504" s="31"/>
      <c r="K1504" s="36"/>
      <c r="M1504" s="37"/>
      <c r="N1504" s="37"/>
      <c r="O1504" s="37"/>
      <c r="P1504" s="36"/>
      <c r="Q1504" s="36"/>
      <c r="R1504" s="31"/>
      <c r="S1504" s="31"/>
      <c r="T1504" s="38"/>
      <c r="U1504" s="39">
        <f>IFERROR(_xlfn.XLOOKUP(E1504,[1]EMPREENDIMENTO!C:C,[1]EMPREENDIMENTO!D:D),"")</f>
        <v>0</v>
      </c>
    </row>
    <row r="1505" spans="1:21" hidden="1" x14ac:dyDescent="0.35">
      <c r="A1505" s="36" t="str">
        <f>IFERROR(_xlfn.XLOOKUP(C1505,[1]DIRETORIA!C:C,[1]DIRETORIA!A:A),"-")</f>
        <v>-</v>
      </c>
      <c r="B1505" s="36" t="str">
        <f>IFERROR(_xlfn.XLOOKUP(C1505,[1]DIRETORIA!C:C,[1]DIRETORIA!B:B),"-")</f>
        <v>-</v>
      </c>
      <c r="C1505" s="36">
        <f>IFERROR(_xlfn.XLOOKUP(E1505,[1]EMPREENDIMENTO!C:C,[1]EMPREENDIMENTO!A:A),"-")</f>
        <v>0</v>
      </c>
      <c r="D1505" s="36"/>
      <c r="E1505" s="36"/>
      <c r="F1505" s="36"/>
      <c r="G1505" s="36"/>
      <c r="H1505" s="36"/>
      <c r="I1505" s="29">
        <f>IFERROR(_xlfn.XLOOKUP(E1505,[1]EMPREENDIMENTO!C:C,[1]EMPREENDIMENTO!E:E),"0")</f>
        <v>0</v>
      </c>
      <c r="J1505" s="31"/>
      <c r="K1505" s="36"/>
      <c r="M1505" s="37"/>
      <c r="N1505" s="37"/>
      <c r="O1505" s="37"/>
      <c r="P1505" s="36"/>
      <c r="Q1505" s="36"/>
      <c r="R1505" s="31"/>
      <c r="S1505" s="31"/>
      <c r="T1505" s="38"/>
      <c r="U1505" s="39">
        <f>IFERROR(_xlfn.XLOOKUP(E1505,[1]EMPREENDIMENTO!C:C,[1]EMPREENDIMENTO!D:D),"")</f>
        <v>0</v>
      </c>
    </row>
    <row r="1506" spans="1:21" hidden="1" x14ac:dyDescent="0.35">
      <c r="A1506" s="36" t="str">
        <f>IFERROR(_xlfn.XLOOKUP(C1506,[1]DIRETORIA!C:C,[1]DIRETORIA!A:A),"-")</f>
        <v>-</v>
      </c>
      <c r="B1506" s="36" t="str">
        <f>IFERROR(_xlfn.XLOOKUP(C1506,[1]DIRETORIA!C:C,[1]DIRETORIA!B:B),"-")</f>
        <v>-</v>
      </c>
      <c r="C1506" s="36">
        <f>IFERROR(_xlfn.XLOOKUP(E1506,[1]EMPREENDIMENTO!C:C,[1]EMPREENDIMENTO!A:A),"-")</f>
        <v>0</v>
      </c>
      <c r="D1506" s="36"/>
      <c r="E1506" s="36"/>
      <c r="F1506" s="36"/>
      <c r="G1506" s="36"/>
      <c r="H1506" s="36"/>
      <c r="I1506" s="29">
        <f>IFERROR(_xlfn.XLOOKUP(E1506,[1]EMPREENDIMENTO!C:C,[1]EMPREENDIMENTO!E:E),"0")</f>
        <v>0</v>
      </c>
      <c r="J1506" s="31"/>
      <c r="K1506" s="36"/>
      <c r="M1506" s="37"/>
      <c r="N1506" s="37"/>
      <c r="O1506" s="37"/>
      <c r="P1506" s="36"/>
      <c r="Q1506" s="36"/>
      <c r="R1506" s="31"/>
      <c r="S1506" s="31"/>
      <c r="T1506" s="38"/>
      <c r="U1506" s="39">
        <f>IFERROR(_xlfn.XLOOKUP(E1506,[1]EMPREENDIMENTO!C:C,[1]EMPREENDIMENTO!D:D),"")</f>
        <v>0</v>
      </c>
    </row>
    <row r="1507" spans="1:21" hidden="1" x14ac:dyDescent="0.35">
      <c r="A1507" s="36" t="str">
        <f>IFERROR(_xlfn.XLOOKUP(C1507,[1]DIRETORIA!C:C,[1]DIRETORIA!A:A),"-")</f>
        <v>-</v>
      </c>
      <c r="B1507" s="36" t="str">
        <f>IFERROR(_xlfn.XLOOKUP(C1507,[1]DIRETORIA!C:C,[1]DIRETORIA!B:B),"-")</f>
        <v>-</v>
      </c>
      <c r="C1507" s="36">
        <f>IFERROR(_xlfn.XLOOKUP(E1507,[1]EMPREENDIMENTO!C:C,[1]EMPREENDIMENTO!A:A),"-")</f>
        <v>0</v>
      </c>
      <c r="D1507" s="36"/>
      <c r="E1507" s="36"/>
      <c r="F1507" s="36"/>
      <c r="G1507" s="36"/>
      <c r="H1507" s="36"/>
      <c r="I1507" s="29">
        <f>IFERROR(_xlfn.XLOOKUP(E1507,[1]EMPREENDIMENTO!C:C,[1]EMPREENDIMENTO!E:E),"0")</f>
        <v>0</v>
      </c>
      <c r="J1507" s="31"/>
      <c r="K1507" s="36"/>
      <c r="M1507" s="37"/>
      <c r="N1507" s="37"/>
      <c r="O1507" s="37"/>
      <c r="P1507" s="36"/>
      <c r="Q1507" s="36"/>
      <c r="R1507" s="31"/>
      <c r="S1507" s="31"/>
      <c r="T1507" s="38"/>
      <c r="U1507" s="39">
        <f>IFERROR(_xlfn.XLOOKUP(E1507,[1]EMPREENDIMENTO!C:C,[1]EMPREENDIMENTO!D:D),"")</f>
        <v>0</v>
      </c>
    </row>
    <row r="1508" spans="1:21" hidden="1" x14ac:dyDescent="0.35">
      <c r="A1508" s="36" t="str">
        <f>IFERROR(_xlfn.XLOOKUP(C1508,[1]DIRETORIA!C:C,[1]DIRETORIA!A:A),"-")</f>
        <v>-</v>
      </c>
      <c r="B1508" s="36" t="str">
        <f>IFERROR(_xlfn.XLOOKUP(C1508,[1]DIRETORIA!C:C,[1]DIRETORIA!B:B),"-")</f>
        <v>-</v>
      </c>
      <c r="C1508" s="36">
        <f>IFERROR(_xlfn.XLOOKUP(E1508,[1]EMPREENDIMENTO!C:C,[1]EMPREENDIMENTO!A:A),"-")</f>
        <v>0</v>
      </c>
      <c r="D1508" s="36"/>
      <c r="E1508" s="36"/>
      <c r="F1508" s="36"/>
      <c r="G1508" s="36"/>
      <c r="H1508" s="36"/>
      <c r="I1508" s="29">
        <f>IFERROR(_xlfn.XLOOKUP(E1508,[1]EMPREENDIMENTO!C:C,[1]EMPREENDIMENTO!E:E),"0")</f>
        <v>0</v>
      </c>
      <c r="J1508" s="31"/>
      <c r="K1508" s="36"/>
      <c r="M1508" s="37"/>
      <c r="N1508" s="37"/>
      <c r="O1508" s="37"/>
      <c r="P1508" s="36"/>
      <c r="Q1508" s="36"/>
      <c r="R1508" s="31"/>
      <c r="S1508" s="31"/>
      <c r="T1508" s="38"/>
      <c r="U1508" s="39">
        <f>IFERROR(_xlfn.XLOOKUP(E1508,[1]EMPREENDIMENTO!C:C,[1]EMPREENDIMENTO!D:D),"")</f>
        <v>0</v>
      </c>
    </row>
    <row r="1509" spans="1:21" hidden="1" x14ac:dyDescent="0.35">
      <c r="A1509" s="36" t="str">
        <f>IFERROR(_xlfn.XLOOKUP(C1509,[1]DIRETORIA!C:C,[1]DIRETORIA!A:A),"-")</f>
        <v>-</v>
      </c>
      <c r="B1509" s="36" t="str">
        <f>IFERROR(_xlfn.XLOOKUP(C1509,[1]DIRETORIA!C:C,[1]DIRETORIA!B:B),"-")</f>
        <v>-</v>
      </c>
      <c r="C1509" s="36">
        <f>IFERROR(_xlfn.XLOOKUP(E1509,[1]EMPREENDIMENTO!C:C,[1]EMPREENDIMENTO!A:A),"-")</f>
        <v>0</v>
      </c>
      <c r="D1509" s="36"/>
      <c r="E1509" s="36"/>
      <c r="F1509" s="36"/>
      <c r="G1509" s="36"/>
      <c r="H1509" s="36"/>
      <c r="I1509" s="29">
        <f>IFERROR(_xlfn.XLOOKUP(E1509,[1]EMPREENDIMENTO!C:C,[1]EMPREENDIMENTO!E:E),"0")</f>
        <v>0</v>
      </c>
      <c r="J1509" s="31"/>
      <c r="K1509" s="36"/>
      <c r="M1509" s="37"/>
      <c r="N1509" s="37"/>
      <c r="O1509" s="37"/>
      <c r="P1509" s="36"/>
      <c r="Q1509" s="36"/>
      <c r="R1509" s="31"/>
      <c r="S1509" s="31"/>
      <c r="T1509" s="38"/>
      <c r="U1509" s="39">
        <f>IFERROR(_xlfn.XLOOKUP(E1509,[1]EMPREENDIMENTO!C:C,[1]EMPREENDIMENTO!D:D),"")</f>
        <v>0</v>
      </c>
    </row>
    <row r="1510" spans="1:21" hidden="1" x14ac:dyDescent="0.35">
      <c r="A1510" s="36" t="str">
        <f>IFERROR(_xlfn.XLOOKUP(C1510,[1]DIRETORIA!C:C,[1]DIRETORIA!A:A),"-")</f>
        <v>-</v>
      </c>
      <c r="B1510" s="36" t="str">
        <f>IFERROR(_xlfn.XLOOKUP(C1510,[1]DIRETORIA!C:C,[1]DIRETORIA!B:B),"-")</f>
        <v>-</v>
      </c>
      <c r="C1510" s="36">
        <f>IFERROR(_xlfn.XLOOKUP(E1510,[1]EMPREENDIMENTO!C:C,[1]EMPREENDIMENTO!A:A),"-")</f>
        <v>0</v>
      </c>
      <c r="D1510" s="36"/>
      <c r="E1510" s="36"/>
      <c r="F1510" s="36"/>
      <c r="G1510" s="36"/>
      <c r="H1510" s="36"/>
      <c r="I1510" s="29">
        <f>IFERROR(_xlfn.XLOOKUP(E1510,[1]EMPREENDIMENTO!C:C,[1]EMPREENDIMENTO!E:E),"0")</f>
        <v>0</v>
      </c>
      <c r="J1510" s="31"/>
      <c r="K1510" s="36"/>
      <c r="M1510" s="37"/>
      <c r="N1510" s="37"/>
      <c r="O1510" s="37"/>
      <c r="P1510" s="36"/>
      <c r="Q1510" s="36"/>
      <c r="R1510" s="31"/>
      <c r="S1510" s="31"/>
      <c r="T1510" s="38"/>
      <c r="U1510" s="39">
        <f>IFERROR(_xlfn.XLOOKUP(E1510,[1]EMPREENDIMENTO!C:C,[1]EMPREENDIMENTO!D:D),"")</f>
        <v>0</v>
      </c>
    </row>
    <row r="1511" spans="1:21" hidden="1" x14ac:dyDescent="0.35">
      <c r="A1511" s="36" t="str">
        <f>IFERROR(_xlfn.XLOOKUP(C1511,[1]DIRETORIA!C:C,[1]DIRETORIA!A:A),"-")</f>
        <v>-</v>
      </c>
      <c r="B1511" s="36" t="str">
        <f>IFERROR(_xlfn.XLOOKUP(C1511,[1]DIRETORIA!C:C,[1]DIRETORIA!B:B),"-")</f>
        <v>-</v>
      </c>
      <c r="C1511" s="36">
        <f>IFERROR(_xlfn.XLOOKUP(E1511,[1]EMPREENDIMENTO!C:C,[1]EMPREENDIMENTO!A:A),"-")</f>
        <v>0</v>
      </c>
      <c r="D1511" s="36"/>
      <c r="E1511" s="36"/>
      <c r="F1511" s="36"/>
      <c r="G1511" s="36"/>
      <c r="H1511" s="36"/>
      <c r="I1511" s="29">
        <f>IFERROR(_xlfn.XLOOKUP(E1511,[1]EMPREENDIMENTO!C:C,[1]EMPREENDIMENTO!E:E),"0")</f>
        <v>0</v>
      </c>
      <c r="J1511" s="31"/>
      <c r="K1511" s="36"/>
      <c r="M1511" s="37"/>
      <c r="N1511" s="37"/>
      <c r="O1511" s="37"/>
      <c r="P1511" s="36"/>
      <c r="Q1511" s="36"/>
      <c r="R1511" s="31"/>
      <c r="S1511" s="31"/>
      <c r="T1511" s="38"/>
      <c r="U1511" s="39">
        <f>IFERROR(_xlfn.XLOOKUP(E1511,[1]EMPREENDIMENTO!C:C,[1]EMPREENDIMENTO!D:D),"")</f>
        <v>0</v>
      </c>
    </row>
    <row r="1512" spans="1:21" hidden="1" x14ac:dyDescent="0.35">
      <c r="A1512" s="36" t="str">
        <f>IFERROR(_xlfn.XLOOKUP(C1512,[1]DIRETORIA!C:C,[1]DIRETORIA!A:A),"-")</f>
        <v>-</v>
      </c>
      <c r="B1512" s="36" t="str">
        <f>IFERROR(_xlfn.XLOOKUP(C1512,[1]DIRETORIA!C:C,[1]DIRETORIA!B:B),"-")</f>
        <v>-</v>
      </c>
      <c r="C1512" s="36">
        <f>IFERROR(_xlfn.XLOOKUP(E1512,[1]EMPREENDIMENTO!C:C,[1]EMPREENDIMENTO!A:A),"-")</f>
        <v>0</v>
      </c>
      <c r="D1512" s="36"/>
      <c r="E1512" s="36"/>
      <c r="F1512" s="36"/>
      <c r="G1512" s="36"/>
      <c r="H1512" s="36"/>
      <c r="I1512" s="29">
        <f>IFERROR(_xlfn.XLOOKUP(E1512,[1]EMPREENDIMENTO!C:C,[1]EMPREENDIMENTO!E:E),"0")</f>
        <v>0</v>
      </c>
      <c r="J1512" s="31"/>
      <c r="K1512" s="36"/>
      <c r="M1512" s="37"/>
      <c r="N1512" s="37"/>
      <c r="O1512" s="37"/>
      <c r="P1512" s="36"/>
      <c r="Q1512" s="36"/>
      <c r="R1512" s="31"/>
      <c r="S1512" s="31"/>
      <c r="T1512" s="38"/>
      <c r="U1512" s="39">
        <f>IFERROR(_xlfn.XLOOKUP(E1512,[1]EMPREENDIMENTO!C:C,[1]EMPREENDIMENTO!D:D),"")</f>
        <v>0</v>
      </c>
    </row>
    <row r="1513" spans="1:21" hidden="1" x14ac:dyDescent="0.35">
      <c r="A1513" s="36" t="str">
        <f>IFERROR(_xlfn.XLOOKUP(C1513,[1]DIRETORIA!C:C,[1]DIRETORIA!A:A),"-")</f>
        <v>-</v>
      </c>
      <c r="B1513" s="36" t="str">
        <f>IFERROR(_xlfn.XLOOKUP(C1513,[1]DIRETORIA!C:C,[1]DIRETORIA!B:B),"-")</f>
        <v>-</v>
      </c>
      <c r="C1513" s="36">
        <f>IFERROR(_xlfn.XLOOKUP(E1513,[1]EMPREENDIMENTO!C:C,[1]EMPREENDIMENTO!A:A),"-")</f>
        <v>0</v>
      </c>
      <c r="D1513" s="36"/>
      <c r="E1513" s="36"/>
      <c r="F1513" s="36"/>
      <c r="G1513" s="36"/>
      <c r="H1513" s="36"/>
      <c r="I1513" s="29">
        <f>IFERROR(_xlfn.XLOOKUP(E1513,[1]EMPREENDIMENTO!C:C,[1]EMPREENDIMENTO!E:E),"0")</f>
        <v>0</v>
      </c>
      <c r="J1513" s="31"/>
      <c r="K1513" s="36"/>
      <c r="M1513" s="37"/>
      <c r="N1513" s="37"/>
      <c r="O1513" s="37"/>
      <c r="P1513" s="36"/>
      <c r="Q1513" s="36"/>
      <c r="R1513" s="31"/>
      <c r="S1513" s="31"/>
      <c r="T1513" s="38"/>
      <c r="U1513" s="39">
        <f>IFERROR(_xlfn.XLOOKUP(E1513,[1]EMPREENDIMENTO!C:C,[1]EMPREENDIMENTO!D:D),"")</f>
        <v>0</v>
      </c>
    </row>
    <row r="1514" spans="1:21" hidden="1" x14ac:dyDescent="0.35">
      <c r="A1514" s="36" t="str">
        <f>IFERROR(_xlfn.XLOOKUP(C1514,[1]DIRETORIA!C:C,[1]DIRETORIA!A:A),"-")</f>
        <v>-</v>
      </c>
      <c r="B1514" s="36" t="str">
        <f>IFERROR(_xlfn.XLOOKUP(C1514,[1]DIRETORIA!C:C,[1]DIRETORIA!B:B),"-")</f>
        <v>-</v>
      </c>
      <c r="C1514" s="36">
        <f>IFERROR(_xlfn.XLOOKUP(E1514,[1]EMPREENDIMENTO!C:C,[1]EMPREENDIMENTO!A:A),"-")</f>
        <v>0</v>
      </c>
      <c r="D1514" s="36"/>
      <c r="E1514" s="36"/>
      <c r="F1514" s="36"/>
      <c r="G1514" s="36"/>
      <c r="H1514" s="36"/>
      <c r="I1514" s="29">
        <f>IFERROR(_xlfn.XLOOKUP(E1514,[1]EMPREENDIMENTO!C:C,[1]EMPREENDIMENTO!E:E),"0")</f>
        <v>0</v>
      </c>
      <c r="J1514" s="31"/>
      <c r="K1514" s="36"/>
      <c r="M1514" s="37"/>
      <c r="N1514" s="37"/>
      <c r="O1514" s="37"/>
      <c r="P1514" s="36"/>
      <c r="Q1514" s="36"/>
      <c r="R1514" s="31"/>
      <c r="S1514" s="31"/>
      <c r="T1514" s="38"/>
      <c r="U1514" s="39">
        <f>IFERROR(_xlfn.XLOOKUP(E1514,[1]EMPREENDIMENTO!C:C,[1]EMPREENDIMENTO!D:D),"")</f>
        <v>0</v>
      </c>
    </row>
    <row r="1515" spans="1:21" hidden="1" x14ac:dyDescent="0.35">
      <c r="A1515" s="36" t="str">
        <f>IFERROR(_xlfn.XLOOKUP(C1515,[1]DIRETORIA!C:C,[1]DIRETORIA!A:A),"-")</f>
        <v>-</v>
      </c>
      <c r="B1515" s="36" t="str">
        <f>IFERROR(_xlfn.XLOOKUP(C1515,[1]DIRETORIA!C:C,[1]DIRETORIA!B:B),"-")</f>
        <v>-</v>
      </c>
      <c r="C1515" s="36">
        <f>IFERROR(_xlfn.XLOOKUP(E1515,[1]EMPREENDIMENTO!C:C,[1]EMPREENDIMENTO!A:A),"-")</f>
        <v>0</v>
      </c>
      <c r="D1515" s="36"/>
      <c r="E1515" s="36"/>
      <c r="F1515" s="36"/>
      <c r="G1515" s="36"/>
      <c r="H1515" s="36"/>
      <c r="I1515" s="29">
        <f>IFERROR(_xlfn.XLOOKUP(E1515,[1]EMPREENDIMENTO!C:C,[1]EMPREENDIMENTO!E:E),"0")</f>
        <v>0</v>
      </c>
      <c r="J1515" s="31"/>
      <c r="K1515" s="36"/>
      <c r="M1515" s="37"/>
      <c r="N1515" s="37"/>
      <c r="O1515" s="37"/>
      <c r="P1515" s="36"/>
      <c r="Q1515" s="36"/>
      <c r="R1515" s="31"/>
      <c r="S1515" s="31"/>
      <c r="T1515" s="38"/>
      <c r="U1515" s="39">
        <f>IFERROR(_xlfn.XLOOKUP(E1515,[1]EMPREENDIMENTO!C:C,[1]EMPREENDIMENTO!D:D),"")</f>
        <v>0</v>
      </c>
    </row>
    <row r="1516" spans="1:21" hidden="1" x14ac:dyDescent="0.35">
      <c r="A1516" s="36" t="str">
        <f>IFERROR(_xlfn.XLOOKUP(C1516,[1]DIRETORIA!C:C,[1]DIRETORIA!A:A),"-")</f>
        <v>-</v>
      </c>
      <c r="B1516" s="36" t="str">
        <f>IFERROR(_xlfn.XLOOKUP(C1516,[1]DIRETORIA!C:C,[1]DIRETORIA!B:B),"-")</f>
        <v>-</v>
      </c>
      <c r="C1516" s="36">
        <f>IFERROR(_xlfn.XLOOKUP(E1516,[1]EMPREENDIMENTO!C:C,[1]EMPREENDIMENTO!A:A),"-")</f>
        <v>0</v>
      </c>
      <c r="D1516" s="36"/>
      <c r="E1516" s="36"/>
      <c r="F1516" s="36"/>
      <c r="G1516" s="36"/>
      <c r="H1516" s="36"/>
      <c r="I1516" s="29">
        <f>IFERROR(_xlfn.XLOOKUP(E1516,[1]EMPREENDIMENTO!C:C,[1]EMPREENDIMENTO!E:E),"0")</f>
        <v>0</v>
      </c>
      <c r="J1516" s="31"/>
      <c r="K1516" s="36"/>
      <c r="M1516" s="37"/>
      <c r="N1516" s="37"/>
      <c r="O1516" s="37"/>
      <c r="P1516" s="36"/>
      <c r="Q1516" s="36"/>
      <c r="R1516" s="31"/>
      <c r="S1516" s="31"/>
      <c r="T1516" s="38"/>
      <c r="U1516" s="39">
        <f>IFERROR(_xlfn.XLOOKUP(E1516,[1]EMPREENDIMENTO!C:C,[1]EMPREENDIMENTO!D:D),"")</f>
        <v>0</v>
      </c>
    </row>
    <row r="1517" spans="1:21" hidden="1" x14ac:dyDescent="0.35">
      <c r="A1517" s="36" t="str">
        <f>IFERROR(_xlfn.XLOOKUP(C1517,[1]DIRETORIA!C:C,[1]DIRETORIA!A:A),"-")</f>
        <v>-</v>
      </c>
      <c r="B1517" s="36" t="str">
        <f>IFERROR(_xlfn.XLOOKUP(C1517,[1]DIRETORIA!C:C,[1]DIRETORIA!B:B),"-")</f>
        <v>-</v>
      </c>
      <c r="C1517" s="36">
        <f>IFERROR(_xlfn.XLOOKUP(E1517,[1]EMPREENDIMENTO!C:C,[1]EMPREENDIMENTO!A:A),"-")</f>
        <v>0</v>
      </c>
      <c r="D1517" s="36"/>
      <c r="E1517" s="36"/>
      <c r="F1517" s="36"/>
      <c r="G1517" s="36"/>
      <c r="H1517" s="36"/>
      <c r="I1517" s="29">
        <f>IFERROR(_xlfn.XLOOKUP(E1517,[1]EMPREENDIMENTO!C:C,[1]EMPREENDIMENTO!E:E),"0")</f>
        <v>0</v>
      </c>
      <c r="J1517" s="31"/>
      <c r="K1517" s="36"/>
      <c r="M1517" s="37"/>
      <c r="N1517" s="37"/>
      <c r="O1517" s="37"/>
      <c r="P1517" s="36"/>
      <c r="Q1517" s="36"/>
      <c r="R1517" s="31"/>
      <c r="S1517" s="31"/>
      <c r="T1517" s="38"/>
      <c r="U1517" s="39">
        <f>IFERROR(_xlfn.XLOOKUP(E1517,[1]EMPREENDIMENTO!C:C,[1]EMPREENDIMENTO!D:D),"")</f>
        <v>0</v>
      </c>
    </row>
    <row r="1518" spans="1:21" hidden="1" x14ac:dyDescent="0.35">
      <c r="A1518" s="36" t="str">
        <f>IFERROR(_xlfn.XLOOKUP(C1518,[1]DIRETORIA!C:C,[1]DIRETORIA!A:A),"-")</f>
        <v>-</v>
      </c>
      <c r="B1518" s="36" t="str">
        <f>IFERROR(_xlfn.XLOOKUP(C1518,[1]DIRETORIA!C:C,[1]DIRETORIA!B:B),"-")</f>
        <v>-</v>
      </c>
      <c r="C1518" s="36">
        <f>IFERROR(_xlfn.XLOOKUP(E1518,[1]EMPREENDIMENTO!C:C,[1]EMPREENDIMENTO!A:A),"-")</f>
        <v>0</v>
      </c>
      <c r="D1518" s="36"/>
      <c r="E1518" s="36"/>
      <c r="F1518" s="36"/>
      <c r="G1518" s="36"/>
      <c r="H1518" s="36"/>
      <c r="I1518" s="29">
        <f>IFERROR(_xlfn.XLOOKUP(E1518,[1]EMPREENDIMENTO!C:C,[1]EMPREENDIMENTO!E:E),"0")</f>
        <v>0</v>
      </c>
      <c r="J1518" s="31"/>
      <c r="K1518" s="36"/>
      <c r="M1518" s="37"/>
      <c r="N1518" s="37"/>
      <c r="O1518" s="37"/>
      <c r="P1518" s="36"/>
      <c r="Q1518" s="36"/>
      <c r="R1518" s="31"/>
      <c r="S1518" s="31"/>
      <c r="T1518" s="38"/>
      <c r="U1518" s="39">
        <f>IFERROR(_xlfn.XLOOKUP(E1518,[1]EMPREENDIMENTO!C:C,[1]EMPREENDIMENTO!D:D),"")</f>
        <v>0</v>
      </c>
    </row>
    <row r="1519" spans="1:21" hidden="1" x14ac:dyDescent="0.35">
      <c r="A1519" s="36" t="str">
        <f>IFERROR(_xlfn.XLOOKUP(C1519,[1]DIRETORIA!C:C,[1]DIRETORIA!A:A),"-")</f>
        <v>-</v>
      </c>
      <c r="B1519" s="36" t="str">
        <f>IFERROR(_xlfn.XLOOKUP(C1519,[1]DIRETORIA!C:C,[1]DIRETORIA!B:B),"-")</f>
        <v>-</v>
      </c>
      <c r="C1519" s="36">
        <f>IFERROR(_xlfn.XLOOKUP(E1519,[1]EMPREENDIMENTO!C:C,[1]EMPREENDIMENTO!A:A),"-")</f>
        <v>0</v>
      </c>
      <c r="D1519" s="36"/>
      <c r="E1519" s="36"/>
      <c r="F1519" s="36"/>
      <c r="G1519" s="36"/>
      <c r="H1519" s="36"/>
      <c r="I1519" s="29">
        <f>IFERROR(_xlfn.XLOOKUP(E1519,[1]EMPREENDIMENTO!C:C,[1]EMPREENDIMENTO!E:E),"0")</f>
        <v>0</v>
      </c>
      <c r="J1519" s="31"/>
      <c r="K1519" s="36"/>
      <c r="M1519" s="37"/>
      <c r="N1519" s="37"/>
      <c r="O1519" s="37"/>
      <c r="P1519" s="36"/>
      <c r="Q1519" s="36"/>
      <c r="R1519" s="31"/>
      <c r="S1519" s="31"/>
      <c r="T1519" s="38"/>
      <c r="U1519" s="39">
        <f>IFERROR(_xlfn.XLOOKUP(E1519,[1]EMPREENDIMENTO!C:C,[1]EMPREENDIMENTO!D:D),"")</f>
        <v>0</v>
      </c>
    </row>
    <row r="1520" spans="1:21" hidden="1" x14ac:dyDescent="0.35">
      <c r="A1520" s="36" t="str">
        <f>IFERROR(_xlfn.XLOOKUP(C1520,[1]DIRETORIA!C:C,[1]DIRETORIA!A:A),"-")</f>
        <v>-</v>
      </c>
      <c r="B1520" s="36" t="str">
        <f>IFERROR(_xlfn.XLOOKUP(C1520,[1]DIRETORIA!C:C,[1]DIRETORIA!B:B),"-")</f>
        <v>-</v>
      </c>
      <c r="C1520" s="36">
        <f>IFERROR(_xlfn.XLOOKUP(E1520,[1]EMPREENDIMENTO!C:C,[1]EMPREENDIMENTO!A:A),"-")</f>
        <v>0</v>
      </c>
      <c r="D1520" s="36"/>
      <c r="E1520" s="36"/>
      <c r="F1520" s="36"/>
      <c r="G1520" s="36"/>
      <c r="H1520" s="36"/>
      <c r="I1520" s="29">
        <f>IFERROR(_xlfn.XLOOKUP(E1520,[1]EMPREENDIMENTO!C:C,[1]EMPREENDIMENTO!E:E),"0")</f>
        <v>0</v>
      </c>
      <c r="J1520" s="31"/>
      <c r="K1520" s="36"/>
      <c r="M1520" s="37"/>
      <c r="N1520" s="37"/>
      <c r="O1520" s="37"/>
      <c r="P1520" s="36"/>
      <c r="Q1520" s="36"/>
      <c r="R1520" s="31"/>
      <c r="S1520" s="31"/>
      <c r="T1520" s="38"/>
      <c r="U1520" s="39">
        <f>IFERROR(_xlfn.XLOOKUP(E1520,[1]EMPREENDIMENTO!C:C,[1]EMPREENDIMENTO!D:D),"")</f>
        <v>0</v>
      </c>
    </row>
    <row r="1521" spans="1:21" hidden="1" x14ac:dyDescent="0.35">
      <c r="A1521" s="36" t="str">
        <f>IFERROR(_xlfn.XLOOKUP(C1521,[1]DIRETORIA!C:C,[1]DIRETORIA!A:A),"-")</f>
        <v>-</v>
      </c>
      <c r="B1521" s="36" t="str">
        <f>IFERROR(_xlfn.XLOOKUP(C1521,[1]DIRETORIA!C:C,[1]DIRETORIA!B:B),"-")</f>
        <v>-</v>
      </c>
      <c r="C1521" s="36">
        <f>IFERROR(_xlfn.XLOOKUP(E1521,[1]EMPREENDIMENTO!C:C,[1]EMPREENDIMENTO!A:A),"-")</f>
        <v>0</v>
      </c>
      <c r="D1521" s="36"/>
      <c r="E1521" s="36"/>
      <c r="F1521" s="36"/>
      <c r="G1521" s="36"/>
      <c r="H1521" s="36"/>
      <c r="I1521" s="29">
        <f>IFERROR(_xlfn.XLOOKUP(E1521,[1]EMPREENDIMENTO!C:C,[1]EMPREENDIMENTO!E:E),"0")</f>
        <v>0</v>
      </c>
      <c r="J1521" s="31"/>
      <c r="K1521" s="36"/>
      <c r="M1521" s="37"/>
      <c r="N1521" s="37"/>
      <c r="O1521" s="37"/>
      <c r="P1521" s="36"/>
      <c r="Q1521" s="36"/>
      <c r="R1521" s="31"/>
      <c r="S1521" s="31"/>
      <c r="T1521" s="38"/>
      <c r="U1521" s="39">
        <f>IFERROR(_xlfn.XLOOKUP(E1521,[1]EMPREENDIMENTO!C:C,[1]EMPREENDIMENTO!D:D),"")</f>
        <v>0</v>
      </c>
    </row>
    <row r="1522" spans="1:21" hidden="1" x14ac:dyDescent="0.35">
      <c r="A1522" s="36" t="str">
        <f>IFERROR(_xlfn.XLOOKUP(C1522,[1]DIRETORIA!C:C,[1]DIRETORIA!A:A),"-")</f>
        <v>-</v>
      </c>
      <c r="B1522" s="36" t="str">
        <f>IFERROR(_xlfn.XLOOKUP(C1522,[1]DIRETORIA!C:C,[1]DIRETORIA!B:B),"-")</f>
        <v>-</v>
      </c>
      <c r="C1522" s="36">
        <f>IFERROR(_xlfn.XLOOKUP(E1522,[1]EMPREENDIMENTO!C:C,[1]EMPREENDIMENTO!A:A),"-")</f>
        <v>0</v>
      </c>
      <c r="D1522" s="36"/>
      <c r="E1522" s="36"/>
      <c r="F1522" s="36"/>
      <c r="G1522" s="36"/>
      <c r="H1522" s="36"/>
      <c r="I1522" s="29">
        <f>IFERROR(_xlfn.XLOOKUP(E1522,[1]EMPREENDIMENTO!C:C,[1]EMPREENDIMENTO!E:E),"0")</f>
        <v>0</v>
      </c>
      <c r="J1522" s="31"/>
      <c r="K1522" s="36"/>
      <c r="M1522" s="37"/>
      <c r="N1522" s="37"/>
      <c r="O1522" s="37"/>
      <c r="P1522" s="36"/>
      <c r="Q1522" s="36"/>
      <c r="R1522" s="31"/>
      <c r="S1522" s="31"/>
      <c r="T1522" s="38"/>
      <c r="U1522" s="39">
        <f>IFERROR(_xlfn.XLOOKUP(E1522,[1]EMPREENDIMENTO!C:C,[1]EMPREENDIMENTO!D:D),"")</f>
        <v>0</v>
      </c>
    </row>
    <row r="1523" spans="1:21" hidden="1" x14ac:dyDescent="0.35">
      <c r="A1523" s="36" t="str">
        <f>IFERROR(_xlfn.XLOOKUP(C1523,[1]DIRETORIA!C:C,[1]DIRETORIA!A:A),"-")</f>
        <v>-</v>
      </c>
      <c r="B1523" s="36" t="str">
        <f>IFERROR(_xlfn.XLOOKUP(C1523,[1]DIRETORIA!C:C,[1]DIRETORIA!B:B),"-")</f>
        <v>-</v>
      </c>
      <c r="C1523" s="36">
        <f>IFERROR(_xlfn.XLOOKUP(E1523,[1]EMPREENDIMENTO!C:C,[1]EMPREENDIMENTO!A:A),"-")</f>
        <v>0</v>
      </c>
      <c r="D1523" s="36"/>
      <c r="E1523" s="36"/>
      <c r="F1523" s="36"/>
      <c r="G1523" s="36"/>
      <c r="H1523" s="36"/>
      <c r="I1523" s="29">
        <f>IFERROR(_xlfn.XLOOKUP(E1523,[1]EMPREENDIMENTO!C:C,[1]EMPREENDIMENTO!E:E),"0")</f>
        <v>0</v>
      </c>
      <c r="J1523" s="31"/>
      <c r="K1523" s="36"/>
      <c r="M1523" s="37"/>
      <c r="N1523" s="37"/>
      <c r="O1523" s="37"/>
      <c r="P1523" s="36"/>
      <c r="Q1523" s="36"/>
      <c r="R1523" s="31"/>
      <c r="S1523" s="31"/>
      <c r="T1523" s="38"/>
      <c r="U1523" s="39">
        <f>IFERROR(_xlfn.XLOOKUP(E1523,[1]EMPREENDIMENTO!C:C,[1]EMPREENDIMENTO!D:D),"")</f>
        <v>0</v>
      </c>
    </row>
    <row r="1524" spans="1:21" hidden="1" x14ac:dyDescent="0.35">
      <c r="A1524" s="36" t="str">
        <f>IFERROR(_xlfn.XLOOKUP(C1524,[1]DIRETORIA!C:C,[1]DIRETORIA!A:A),"-")</f>
        <v>-</v>
      </c>
      <c r="B1524" s="36" t="str">
        <f>IFERROR(_xlfn.XLOOKUP(C1524,[1]DIRETORIA!C:C,[1]DIRETORIA!B:B),"-")</f>
        <v>-</v>
      </c>
      <c r="C1524" s="36">
        <f>IFERROR(_xlfn.XLOOKUP(E1524,[1]EMPREENDIMENTO!C:C,[1]EMPREENDIMENTO!A:A),"-")</f>
        <v>0</v>
      </c>
      <c r="D1524" s="36"/>
      <c r="E1524" s="36"/>
      <c r="F1524" s="36"/>
      <c r="G1524" s="36"/>
      <c r="H1524" s="36"/>
      <c r="I1524" s="29">
        <f>IFERROR(_xlfn.XLOOKUP(E1524,[1]EMPREENDIMENTO!C:C,[1]EMPREENDIMENTO!E:E),"0")</f>
        <v>0</v>
      </c>
      <c r="J1524" s="31"/>
      <c r="K1524" s="36"/>
      <c r="M1524" s="37"/>
      <c r="N1524" s="37"/>
      <c r="O1524" s="37"/>
      <c r="P1524" s="36"/>
      <c r="Q1524" s="36"/>
      <c r="R1524" s="31"/>
      <c r="S1524" s="31"/>
      <c r="T1524" s="38"/>
      <c r="U1524" s="39">
        <f>IFERROR(_xlfn.XLOOKUP(E1524,[1]EMPREENDIMENTO!C:C,[1]EMPREENDIMENTO!D:D),"")</f>
        <v>0</v>
      </c>
    </row>
    <row r="1525" spans="1:21" hidden="1" x14ac:dyDescent="0.35">
      <c r="A1525" s="36" t="str">
        <f>IFERROR(_xlfn.XLOOKUP(C1525,[1]DIRETORIA!C:C,[1]DIRETORIA!A:A),"-")</f>
        <v>-</v>
      </c>
      <c r="B1525" s="36" t="str">
        <f>IFERROR(_xlfn.XLOOKUP(C1525,[1]DIRETORIA!C:C,[1]DIRETORIA!B:B),"-")</f>
        <v>-</v>
      </c>
      <c r="C1525" s="36">
        <f>IFERROR(_xlfn.XLOOKUP(E1525,[1]EMPREENDIMENTO!C:C,[1]EMPREENDIMENTO!A:A),"-")</f>
        <v>0</v>
      </c>
      <c r="D1525" s="36"/>
      <c r="E1525" s="36"/>
      <c r="F1525" s="36"/>
      <c r="G1525" s="36"/>
      <c r="H1525" s="36"/>
      <c r="I1525" s="29">
        <f>IFERROR(_xlfn.XLOOKUP(E1525,[1]EMPREENDIMENTO!C:C,[1]EMPREENDIMENTO!E:E),"0")</f>
        <v>0</v>
      </c>
      <c r="J1525" s="31"/>
      <c r="K1525" s="36"/>
      <c r="M1525" s="37"/>
      <c r="N1525" s="37"/>
      <c r="O1525" s="37"/>
      <c r="P1525" s="36"/>
      <c r="Q1525" s="36"/>
      <c r="R1525" s="31"/>
      <c r="S1525" s="31"/>
      <c r="T1525" s="38"/>
      <c r="U1525" s="39">
        <f>IFERROR(_xlfn.XLOOKUP(E1525,[1]EMPREENDIMENTO!C:C,[1]EMPREENDIMENTO!D:D),"")</f>
        <v>0</v>
      </c>
    </row>
    <row r="1526" spans="1:21" hidden="1" x14ac:dyDescent="0.35">
      <c r="A1526" s="36" t="str">
        <f>IFERROR(_xlfn.XLOOKUP(C1526,[1]DIRETORIA!C:C,[1]DIRETORIA!A:A),"-")</f>
        <v>-</v>
      </c>
      <c r="B1526" s="36" t="str">
        <f>IFERROR(_xlfn.XLOOKUP(C1526,[1]DIRETORIA!C:C,[1]DIRETORIA!B:B),"-")</f>
        <v>-</v>
      </c>
      <c r="C1526" s="36">
        <f>IFERROR(_xlfn.XLOOKUP(E1526,[1]EMPREENDIMENTO!C:C,[1]EMPREENDIMENTO!A:A),"-")</f>
        <v>0</v>
      </c>
      <c r="D1526" s="36"/>
      <c r="E1526" s="36"/>
      <c r="F1526" s="36"/>
      <c r="G1526" s="36"/>
      <c r="H1526" s="36"/>
      <c r="I1526" s="29">
        <f>IFERROR(_xlfn.XLOOKUP(E1526,[1]EMPREENDIMENTO!C:C,[1]EMPREENDIMENTO!E:E),"0")</f>
        <v>0</v>
      </c>
      <c r="J1526" s="31"/>
      <c r="K1526" s="36"/>
      <c r="M1526" s="37"/>
      <c r="N1526" s="37"/>
      <c r="O1526" s="37"/>
      <c r="P1526" s="36"/>
      <c r="Q1526" s="36"/>
      <c r="R1526" s="31"/>
      <c r="S1526" s="31"/>
      <c r="T1526" s="38"/>
      <c r="U1526" s="39">
        <f>IFERROR(_xlfn.XLOOKUP(E1526,[1]EMPREENDIMENTO!C:C,[1]EMPREENDIMENTO!D:D),"")</f>
        <v>0</v>
      </c>
    </row>
    <row r="1527" spans="1:21" hidden="1" x14ac:dyDescent="0.35">
      <c r="A1527" s="36" t="str">
        <f>IFERROR(_xlfn.XLOOKUP(C1527,[1]DIRETORIA!C:C,[1]DIRETORIA!A:A),"-")</f>
        <v>-</v>
      </c>
      <c r="B1527" s="36" t="str">
        <f>IFERROR(_xlfn.XLOOKUP(C1527,[1]DIRETORIA!C:C,[1]DIRETORIA!B:B),"-")</f>
        <v>-</v>
      </c>
      <c r="C1527" s="36">
        <f>IFERROR(_xlfn.XLOOKUP(E1527,[1]EMPREENDIMENTO!C:C,[1]EMPREENDIMENTO!A:A),"-")</f>
        <v>0</v>
      </c>
      <c r="D1527" s="36"/>
      <c r="E1527" s="36"/>
      <c r="F1527" s="36"/>
      <c r="G1527" s="36"/>
      <c r="H1527" s="36"/>
      <c r="I1527" s="29">
        <f>IFERROR(_xlfn.XLOOKUP(E1527,[1]EMPREENDIMENTO!C:C,[1]EMPREENDIMENTO!E:E),"0")</f>
        <v>0</v>
      </c>
      <c r="J1527" s="31"/>
      <c r="K1527" s="36"/>
      <c r="M1527" s="37"/>
      <c r="N1527" s="37"/>
      <c r="O1527" s="37"/>
      <c r="P1527" s="36"/>
      <c r="Q1527" s="36"/>
      <c r="R1527" s="31"/>
      <c r="S1527" s="31"/>
      <c r="T1527" s="38"/>
      <c r="U1527" s="39">
        <f>IFERROR(_xlfn.XLOOKUP(E1527,[1]EMPREENDIMENTO!C:C,[1]EMPREENDIMENTO!D:D),"")</f>
        <v>0</v>
      </c>
    </row>
    <row r="1528" spans="1:21" hidden="1" x14ac:dyDescent="0.35">
      <c r="A1528" s="36" t="str">
        <f>IFERROR(_xlfn.XLOOKUP(C1528,[1]DIRETORIA!C:C,[1]DIRETORIA!A:A),"-")</f>
        <v>-</v>
      </c>
      <c r="B1528" s="36" t="str">
        <f>IFERROR(_xlfn.XLOOKUP(C1528,[1]DIRETORIA!C:C,[1]DIRETORIA!B:B),"-")</f>
        <v>-</v>
      </c>
      <c r="C1528" s="36">
        <f>IFERROR(_xlfn.XLOOKUP(E1528,[1]EMPREENDIMENTO!C:C,[1]EMPREENDIMENTO!A:A),"-")</f>
        <v>0</v>
      </c>
      <c r="D1528" s="36"/>
      <c r="E1528" s="36"/>
      <c r="F1528" s="36"/>
      <c r="G1528" s="36"/>
      <c r="H1528" s="36"/>
      <c r="I1528" s="29">
        <f>IFERROR(_xlfn.XLOOKUP(E1528,[1]EMPREENDIMENTO!C:C,[1]EMPREENDIMENTO!E:E),"0")</f>
        <v>0</v>
      </c>
      <c r="J1528" s="31"/>
      <c r="K1528" s="36"/>
      <c r="M1528" s="37"/>
      <c r="N1528" s="37"/>
      <c r="O1528" s="37"/>
      <c r="P1528" s="36"/>
      <c r="Q1528" s="36"/>
      <c r="R1528" s="31"/>
      <c r="S1528" s="31"/>
      <c r="T1528" s="38"/>
      <c r="U1528" s="39">
        <f>IFERROR(_xlfn.XLOOKUP(E1528,[1]EMPREENDIMENTO!C:C,[1]EMPREENDIMENTO!D:D),"")</f>
        <v>0</v>
      </c>
    </row>
    <row r="1529" spans="1:21" hidden="1" x14ac:dyDescent="0.35">
      <c r="A1529" s="36" t="str">
        <f>IFERROR(_xlfn.XLOOKUP(C1529,[1]DIRETORIA!C:C,[1]DIRETORIA!A:A),"-")</f>
        <v>-</v>
      </c>
      <c r="B1529" s="36" t="str">
        <f>IFERROR(_xlfn.XLOOKUP(C1529,[1]DIRETORIA!C:C,[1]DIRETORIA!B:B),"-")</f>
        <v>-</v>
      </c>
      <c r="C1529" s="36">
        <f>IFERROR(_xlfn.XLOOKUP(E1529,[1]EMPREENDIMENTO!C:C,[1]EMPREENDIMENTO!A:A),"-")</f>
        <v>0</v>
      </c>
      <c r="D1529" s="36"/>
      <c r="E1529" s="36"/>
      <c r="F1529" s="36"/>
      <c r="G1529" s="36"/>
      <c r="H1529" s="36"/>
      <c r="I1529" s="29">
        <f>IFERROR(_xlfn.XLOOKUP(E1529,[1]EMPREENDIMENTO!C:C,[1]EMPREENDIMENTO!E:E),"0")</f>
        <v>0</v>
      </c>
      <c r="J1529" s="31"/>
      <c r="K1529" s="36"/>
      <c r="M1529" s="37"/>
      <c r="N1529" s="37"/>
      <c r="O1529" s="37"/>
      <c r="P1529" s="36"/>
      <c r="Q1529" s="36"/>
      <c r="R1529" s="31"/>
      <c r="S1529" s="31"/>
      <c r="T1529" s="38"/>
      <c r="U1529" s="39">
        <f>IFERROR(_xlfn.XLOOKUP(E1529,[1]EMPREENDIMENTO!C:C,[1]EMPREENDIMENTO!D:D),"")</f>
        <v>0</v>
      </c>
    </row>
    <row r="1530" spans="1:21" hidden="1" x14ac:dyDescent="0.35">
      <c r="A1530" s="36" t="str">
        <f>IFERROR(_xlfn.XLOOKUP(C1530,[1]DIRETORIA!C:C,[1]DIRETORIA!A:A),"-")</f>
        <v>-</v>
      </c>
      <c r="B1530" s="36" t="str">
        <f>IFERROR(_xlfn.XLOOKUP(C1530,[1]DIRETORIA!C:C,[1]DIRETORIA!B:B),"-")</f>
        <v>-</v>
      </c>
      <c r="C1530" s="36">
        <f>IFERROR(_xlfn.XLOOKUP(E1530,[1]EMPREENDIMENTO!C:C,[1]EMPREENDIMENTO!A:A),"-")</f>
        <v>0</v>
      </c>
      <c r="D1530" s="36"/>
      <c r="E1530" s="36"/>
      <c r="F1530" s="36"/>
      <c r="G1530" s="36"/>
      <c r="H1530" s="36"/>
      <c r="I1530" s="29">
        <f>IFERROR(_xlfn.XLOOKUP(E1530,[1]EMPREENDIMENTO!C:C,[1]EMPREENDIMENTO!E:E),"0")</f>
        <v>0</v>
      </c>
      <c r="J1530" s="31"/>
      <c r="K1530" s="36"/>
      <c r="M1530" s="37"/>
      <c r="N1530" s="37"/>
      <c r="O1530" s="37"/>
      <c r="P1530" s="36"/>
      <c r="Q1530" s="36"/>
      <c r="R1530" s="31"/>
      <c r="S1530" s="31"/>
      <c r="T1530" s="38"/>
      <c r="U1530" s="39">
        <f>IFERROR(_xlfn.XLOOKUP(E1530,[1]EMPREENDIMENTO!C:C,[1]EMPREENDIMENTO!D:D),"")</f>
        <v>0</v>
      </c>
    </row>
    <row r="1531" spans="1:21" hidden="1" x14ac:dyDescent="0.35">
      <c r="A1531" s="36" t="str">
        <f>IFERROR(_xlfn.XLOOKUP(C1531,[1]DIRETORIA!C:C,[1]DIRETORIA!A:A),"-")</f>
        <v>-</v>
      </c>
      <c r="B1531" s="36" t="str">
        <f>IFERROR(_xlfn.XLOOKUP(C1531,[1]DIRETORIA!C:C,[1]DIRETORIA!B:B),"-")</f>
        <v>-</v>
      </c>
      <c r="C1531" s="36">
        <f>IFERROR(_xlfn.XLOOKUP(E1531,[1]EMPREENDIMENTO!C:C,[1]EMPREENDIMENTO!A:A),"-")</f>
        <v>0</v>
      </c>
      <c r="D1531" s="36"/>
      <c r="E1531" s="36"/>
      <c r="F1531" s="36"/>
      <c r="G1531" s="36"/>
      <c r="H1531" s="36"/>
      <c r="I1531" s="29">
        <f>IFERROR(_xlfn.XLOOKUP(E1531,[1]EMPREENDIMENTO!C:C,[1]EMPREENDIMENTO!E:E),"0")</f>
        <v>0</v>
      </c>
      <c r="J1531" s="31"/>
      <c r="K1531" s="36"/>
      <c r="M1531" s="37"/>
      <c r="N1531" s="37"/>
      <c r="O1531" s="37"/>
      <c r="P1531" s="36"/>
      <c r="Q1531" s="36"/>
      <c r="R1531" s="31"/>
      <c r="S1531" s="31"/>
      <c r="T1531" s="38"/>
      <c r="U1531" s="39">
        <f>IFERROR(_xlfn.XLOOKUP(E1531,[1]EMPREENDIMENTO!C:C,[1]EMPREENDIMENTO!D:D),"")</f>
        <v>0</v>
      </c>
    </row>
    <row r="1532" spans="1:21" hidden="1" x14ac:dyDescent="0.35">
      <c r="A1532" s="36" t="str">
        <f>IFERROR(_xlfn.XLOOKUP(C1532,[1]DIRETORIA!C:C,[1]DIRETORIA!A:A),"-")</f>
        <v>-</v>
      </c>
      <c r="B1532" s="36" t="str">
        <f>IFERROR(_xlfn.XLOOKUP(C1532,[1]DIRETORIA!C:C,[1]DIRETORIA!B:B),"-")</f>
        <v>-</v>
      </c>
      <c r="C1532" s="36">
        <f>IFERROR(_xlfn.XLOOKUP(E1532,[1]EMPREENDIMENTO!C:C,[1]EMPREENDIMENTO!A:A),"-")</f>
        <v>0</v>
      </c>
      <c r="D1532" s="36"/>
      <c r="E1532" s="36"/>
      <c r="F1532" s="36"/>
      <c r="G1532" s="36"/>
      <c r="H1532" s="36"/>
      <c r="I1532" s="29">
        <f>IFERROR(_xlfn.XLOOKUP(E1532,[1]EMPREENDIMENTO!C:C,[1]EMPREENDIMENTO!E:E),"0")</f>
        <v>0</v>
      </c>
      <c r="J1532" s="31"/>
      <c r="K1532" s="36"/>
      <c r="M1532" s="37"/>
      <c r="N1532" s="37"/>
      <c r="O1532" s="37"/>
      <c r="P1532" s="36"/>
      <c r="Q1532" s="36"/>
      <c r="R1532" s="31"/>
      <c r="S1532" s="31"/>
      <c r="T1532" s="38"/>
      <c r="U1532" s="39">
        <f>IFERROR(_xlfn.XLOOKUP(E1532,[1]EMPREENDIMENTO!C:C,[1]EMPREENDIMENTO!D:D),"")</f>
        <v>0</v>
      </c>
    </row>
    <row r="1533" spans="1:21" hidden="1" x14ac:dyDescent="0.35">
      <c r="A1533" s="36" t="str">
        <f>IFERROR(_xlfn.XLOOKUP(C1533,[1]DIRETORIA!C:C,[1]DIRETORIA!A:A),"-")</f>
        <v>-</v>
      </c>
      <c r="B1533" s="36" t="str">
        <f>IFERROR(_xlfn.XLOOKUP(C1533,[1]DIRETORIA!C:C,[1]DIRETORIA!B:B),"-")</f>
        <v>-</v>
      </c>
      <c r="C1533" s="36">
        <f>IFERROR(_xlfn.XLOOKUP(E1533,[1]EMPREENDIMENTO!C:C,[1]EMPREENDIMENTO!A:A),"-")</f>
        <v>0</v>
      </c>
      <c r="D1533" s="36"/>
      <c r="E1533" s="36"/>
      <c r="F1533" s="36"/>
      <c r="G1533" s="36"/>
      <c r="H1533" s="36"/>
      <c r="I1533" s="29">
        <f>IFERROR(_xlfn.XLOOKUP(E1533,[1]EMPREENDIMENTO!C:C,[1]EMPREENDIMENTO!E:E),"0")</f>
        <v>0</v>
      </c>
      <c r="J1533" s="31"/>
      <c r="K1533" s="36"/>
      <c r="M1533" s="37"/>
      <c r="N1533" s="37"/>
      <c r="O1533" s="37"/>
      <c r="P1533" s="36"/>
      <c r="Q1533" s="36"/>
      <c r="R1533" s="31"/>
      <c r="S1533" s="31"/>
      <c r="T1533" s="38"/>
      <c r="U1533" s="39">
        <f>IFERROR(_xlfn.XLOOKUP(E1533,[1]EMPREENDIMENTO!C:C,[1]EMPREENDIMENTO!D:D),"")</f>
        <v>0</v>
      </c>
    </row>
    <row r="1534" spans="1:21" hidden="1" x14ac:dyDescent="0.35">
      <c r="A1534" s="36" t="str">
        <f>IFERROR(_xlfn.XLOOKUP(C1534,[1]DIRETORIA!C:C,[1]DIRETORIA!A:A),"-")</f>
        <v>-</v>
      </c>
      <c r="B1534" s="36" t="str">
        <f>IFERROR(_xlfn.XLOOKUP(C1534,[1]DIRETORIA!C:C,[1]DIRETORIA!B:B),"-")</f>
        <v>-</v>
      </c>
      <c r="C1534" s="36">
        <f>IFERROR(_xlfn.XLOOKUP(E1534,[1]EMPREENDIMENTO!C:C,[1]EMPREENDIMENTO!A:A),"-")</f>
        <v>0</v>
      </c>
      <c r="D1534" s="36"/>
      <c r="E1534" s="36"/>
      <c r="F1534" s="36"/>
      <c r="G1534" s="36"/>
      <c r="H1534" s="36"/>
      <c r="I1534" s="29">
        <f>IFERROR(_xlfn.XLOOKUP(E1534,[1]EMPREENDIMENTO!C:C,[1]EMPREENDIMENTO!E:E),"0")</f>
        <v>0</v>
      </c>
      <c r="J1534" s="31"/>
      <c r="K1534" s="36"/>
      <c r="M1534" s="37"/>
      <c r="N1534" s="37"/>
      <c r="O1534" s="37"/>
      <c r="P1534" s="36"/>
      <c r="Q1534" s="36"/>
      <c r="R1534" s="31"/>
      <c r="S1534" s="31"/>
      <c r="T1534" s="38"/>
      <c r="U1534" s="39">
        <f>IFERROR(_xlfn.XLOOKUP(E1534,[1]EMPREENDIMENTO!C:C,[1]EMPREENDIMENTO!D:D),"")</f>
        <v>0</v>
      </c>
    </row>
    <row r="1535" spans="1:21" hidden="1" x14ac:dyDescent="0.35">
      <c r="A1535" s="36" t="str">
        <f>IFERROR(_xlfn.XLOOKUP(C1535,[1]DIRETORIA!C:C,[1]DIRETORIA!A:A),"-")</f>
        <v>-</v>
      </c>
      <c r="B1535" s="36" t="str">
        <f>IFERROR(_xlfn.XLOOKUP(C1535,[1]DIRETORIA!C:C,[1]DIRETORIA!B:B),"-")</f>
        <v>-</v>
      </c>
      <c r="C1535" s="36">
        <f>IFERROR(_xlfn.XLOOKUP(E1535,[1]EMPREENDIMENTO!C:C,[1]EMPREENDIMENTO!A:A),"-")</f>
        <v>0</v>
      </c>
      <c r="D1535" s="36"/>
      <c r="E1535" s="36"/>
      <c r="F1535" s="36"/>
      <c r="G1535" s="36"/>
      <c r="H1535" s="36"/>
      <c r="I1535" s="29">
        <f>IFERROR(_xlfn.XLOOKUP(E1535,[1]EMPREENDIMENTO!C:C,[1]EMPREENDIMENTO!E:E),"0")</f>
        <v>0</v>
      </c>
      <c r="J1535" s="31"/>
      <c r="K1535" s="36"/>
      <c r="M1535" s="37"/>
      <c r="N1535" s="37"/>
      <c r="O1535" s="37"/>
      <c r="P1535" s="36"/>
      <c r="Q1535" s="36"/>
      <c r="R1535" s="31"/>
      <c r="S1535" s="31"/>
      <c r="T1535" s="38"/>
      <c r="U1535" s="39">
        <f>IFERROR(_xlfn.XLOOKUP(E1535,[1]EMPREENDIMENTO!C:C,[1]EMPREENDIMENTO!D:D),"")</f>
        <v>0</v>
      </c>
    </row>
    <row r="1536" spans="1:21" hidden="1" x14ac:dyDescent="0.35">
      <c r="A1536" s="36" t="str">
        <f>IFERROR(_xlfn.XLOOKUP(C1536,[1]DIRETORIA!C:C,[1]DIRETORIA!A:A),"-")</f>
        <v>-</v>
      </c>
      <c r="B1536" s="36" t="str">
        <f>IFERROR(_xlfn.XLOOKUP(C1536,[1]DIRETORIA!C:C,[1]DIRETORIA!B:B),"-")</f>
        <v>-</v>
      </c>
      <c r="C1536" s="36">
        <f>IFERROR(_xlfn.XLOOKUP(E1536,[1]EMPREENDIMENTO!C:C,[1]EMPREENDIMENTO!A:A),"-")</f>
        <v>0</v>
      </c>
      <c r="D1536" s="36"/>
      <c r="E1536" s="36"/>
      <c r="F1536" s="36"/>
      <c r="G1536" s="36"/>
      <c r="H1536" s="36"/>
      <c r="I1536" s="29">
        <f>IFERROR(_xlfn.XLOOKUP(E1536,[1]EMPREENDIMENTO!C:C,[1]EMPREENDIMENTO!E:E),"0")</f>
        <v>0</v>
      </c>
      <c r="J1536" s="31"/>
      <c r="K1536" s="36"/>
      <c r="M1536" s="37"/>
      <c r="N1536" s="37"/>
      <c r="O1536" s="37"/>
      <c r="P1536" s="36"/>
      <c r="Q1536" s="36"/>
      <c r="R1536" s="31"/>
      <c r="S1536" s="31"/>
      <c r="T1536" s="38"/>
      <c r="U1536" s="39">
        <f>IFERROR(_xlfn.XLOOKUP(E1536,[1]EMPREENDIMENTO!C:C,[1]EMPREENDIMENTO!D:D),"")</f>
        <v>0</v>
      </c>
    </row>
    <row r="1537" spans="1:21" hidden="1" x14ac:dyDescent="0.35">
      <c r="A1537" s="36" t="str">
        <f>IFERROR(_xlfn.XLOOKUP(C1537,[1]DIRETORIA!C:C,[1]DIRETORIA!A:A),"-")</f>
        <v>-</v>
      </c>
      <c r="B1537" s="36" t="str">
        <f>IFERROR(_xlfn.XLOOKUP(C1537,[1]DIRETORIA!C:C,[1]DIRETORIA!B:B),"-")</f>
        <v>-</v>
      </c>
      <c r="C1537" s="36">
        <f>IFERROR(_xlfn.XLOOKUP(E1537,[1]EMPREENDIMENTO!C:C,[1]EMPREENDIMENTO!A:A),"-")</f>
        <v>0</v>
      </c>
      <c r="D1537" s="36"/>
      <c r="E1537" s="36"/>
      <c r="F1537" s="36"/>
      <c r="G1537" s="36"/>
      <c r="H1537" s="36"/>
      <c r="I1537" s="29">
        <f>IFERROR(_xlfn.XLOOKUP(E1537,[1]EMPREENDIMENTO!C:C,[1]EMPREENDIMENTO!E:E),"0")</f>
        <v>0</v>
      </c>
      <c r="J1537" s="31"/>
      <c r="K1537" s="36"/>
      <c r="M1537" s="37"/>
      <c r="N1537" s="37"/>
      <c r="O1537" s="37"/>
      <c r="P1537" s="36"/>
      <c r="Q1537" s="36"/>
      <c r="R1537" s="31"/>
      <c r="S1537" s="31"/>
      <c r="T1537" s="38"/>
      <c r="U1537" s="39">
        <f>IFERROR(_xlfn.XLOOKUP(E1537,[1]EMPREENDIMENTO!C:C,[1]EMPREENDIMENTO!D:D),"")</f>
        <v>0</v>
      </c>
    </row>
    <row r="1538" spans="1:21" hidden="1" x14ac:dyDescent="0.35">
      <c r="A1538" s="36" t="str">
        <f>IFERROR(_xlfn.XLOOKUP(C1538,[1]DIRETORIA!C:C,[1]DIRETORIA!A:A),"-")</f>
        <v>-</v>
      </c>
      <c r="B1538" s="36" t="str">
        <f>IFERROR(_xlfn.XLOOKUP(C1538,[1]DIRETORIA!C:C,[1]DIRETORIA!B:B),"-")</f>
        <v>-</v>
      </c>
      <c r="C1538" s="36">
        <f>IFERROR(_xlfn.XLOOKUP(E1538,[1]EMPREENDIMENTO!C:C,[1]EMPREENDIMENTO!A:A),"-")</f>
        <v>0</v>
      </c>
      <c r="D1538" s="36"/>
      <c r="E1538" s="36"/>
      <c r="F1538" s="36"/>
      <c r="G1538" s="36"/>
      <c r="H1538" s="36"/>
      <c r="I1538" s="29">
        <f>IFERROR(_xlfn.XLOOKUP(E1538,[1]EMPREENDIMENTO!C:C,[1]EMPREENDIMENTO!E:E),"0")</f>
        <v>0</v>
      </c>
      <c r="J1538" s="31"/>
      <c r="K1538" s="36"/>
      <c r="M1538" s="37"/>
      <c r="N1538" s="37"/>
      <c r="O1538" s="37"/>
      <c r="P1538" s="36"/>
      <c r="Q1538" s="36"/>
      <c r="R1538" s="31"/>
      <c r="S1538" s="31"/>
      <c r="T1538" s="38"/>
      <c r="U1538" s="39">
        <f>IFERROR(_xlfn.XLOOKUP(E1538,[1]EMPREENDIMENTO!C:C,[1]EMPREENDIMENTO!D:D),"")</f>
        <v>0</v>
      </c>
    </row>
    <row r="1539" spans="1:21" hidden="1" x14ac:dyDescent="0.35">
      <c r="A1539" s="36" t="str">
        <f>IFERROR(_xlfn.XLOOKUP(C1539,[1]DIRETORIA!C:C,[1]DIRETORIA!A:A),"-")</f>
        <v>-</v>
      </c>
      <c r="B1539" s="36" t="str">
        <f>IFERROR(_xlfn.XLOOKUP(C1539,[1]DIRETORIA!C:C,[1]DIRETORIA!B:B),"-")</f>
        <v>-</v>
      </c>
      <c r="C1539" s="36">
        <f>IFERROR(_xlfn.XLOOKUP(E1539,[1]EMPREENDIMENTO!C:C,[1]EMPREENDIMENTO!A:A),"-")</f>
        <v>0</v>
      </c>
      <c r="D1539" s="36"/>
      <c r="E1539" s="36"/>
      <c r="F1539" s="36"/>
      <c r="G1539" s="36"/>
      <c r="H1539" s="36"/>
      <c r="I1539" s="29">
        <f>IFERROR(_xlfn.XLOOKUP(E1539,[1]EMPREENDIMENTO!C:C,[1]EMPREENDIMENTO!E:E),"0")</f>
        <v>0</v>
      </c>
      <c r="J1539" s="31"/>
      <c r="K1539" s="36"/>
      <c r="M1539" s="37"/>
      <c r="N1539" s="37"/>
      <c r="O1539" s="37"/>
      <c r="P1539" s="36"/>
      <c r="Q1539" s="36"/>
      <c r="R1539" s="31"/>
      <c r="S1539" s="31"/>
      <c r="T1539" s="38"/>
      <c r="U1539" s="39">
        <f>IFERROR(_xlfn.XLOOKUP(E1539,[1]EMPREENDIMENTO!C:C,[1]EMPREENDIMENTO!D:D),"")</f>
        <v>0</v>
      </c>
    </row>
    <row r="1540" spans="1:21" hidden="1" x14ac:dyDescent="0.35">
      <c r="A1540" s="36" t="str">
        <f>IFERROR(_xlfn.XLOOKUP(C1540,[1]DIRETORIA!C:C,[1]DIRETORIA!A:A),"-")</f>
        <v>-</v>
      </c>
      <c r="B1540" s="36" t="str">
        <f>IFERROR(_xlfn.XLOOKUP(C1540,[1]DIRETORIA!C:C,[1]DIRETORIA!B:B),"-")</f>
        <v>-</v>
      </c>
      <c r="C1540" s="36">
        <f>IFERROR(_xlfn.XLOOKUP(E1540,[1]EMPREENDIMENTO!C:C,[1]EMPREENDIMENTO!A:A),"-")</f>
        <v>0</v>
      </c>
      <c r="D1540" s="36"/>
      <c r="E1540" s="36"/>
      <c r="F1540" s="36"/>
      <c r="G1540" s="36"/>
      <c r="H1540" s="36"/>
      <c r="I1540" s="29">
        <f>IFERROR(_xlfn.XLOOKUP(E1540,[1]EMPREENDIMENTO!C:C,[1]EMPREENDIMENTO!E:E),"0")</f>
        <v>0</v>
      </c>
      <c r="J1540" s="31"/>
      <c r="K1540" s="36"/>
      <c r="M1540" s="37"/>
      <c r="N1540" s="37"/>
      <c r="O1540" s="37"/>
      <c r="P1540" s="36"/>
      <c r="Q1540" s="36"/>
      <c r="R1540" s="31"/>
      <c r="S1540" s="31"/>
      <c r="T1540" s="38"/>
      <c r="U1540" s="39">
        <f>IFERROR(_xlfn.XLOOKUP(E1540,[1]EMPREENDIMENTO!C:C,[1]EMPREENDIMENTO!D:D),"")</f>
        <v>0</v>
      </c>
    </row>
    <row r="1541" spans="1:21" hidden="1" x14ac:dyDescent="0.35">
      <c r="A1541" s="36" t="str">
        <f>IFERROR(_xlfn.XLOOKUP(C1541,[1]DIRETORIA!C:C,[1]DIRETORIA!A:A),"-")</f>
        <v>-</v>
      </c>
      <c r="B1541" s="36" t="str">
        <f>IFERROR(_xlfn.XLOOKUP(C1541,[1]DIRETORIA!C:C,[1]DIRETORIA!B:B),"-")</f>
        <v>-</v>
      </c>
      <c r="C1541" s="36">
        <f>IFERROR(_xlfn.XLOOKUP(E1541,[1]EMPREENDIMENTO!C:C,[1]EMPREENDIMENTO!A:A),"-")</f>
        <v>0</v>
      </c>
      <c r="D1541" s="36"/>
      <c r="E1541" s="36"/>
      <c r="F1541" s="36"/>
      <c r="G1541" s="36"/>
      <c r="H1541" s="36"/>
      <c r="I1541" s="29">
        <f>IFERROR(_xlfn.XLOOKUP(E1541,[1]EMPREENDIMENTO!C:C,[1]EMPREENDIMENTO!E:E),"0")</f>
        <v>0</v>
      </c>
      <c r="J1541" s="31"/>
      <c r="K1541" s="36"/>
      <c r="M1541" s="37"/>
      <c r="N1541" s="37"/>
      <c r="O1541" s="37"/>
      <c r="P1541" s="36"/>
      <c r="Q1541" s="36"/>
      <c r="R1541" s="31"/>
      <c r="S1541" s="31"/>
      <c r="T1541" s="38"/>
      <c r="U1541" s="39">
        <f>IFERROR(_xlfn.XLOOKUP(E1541,[1]EMPREENDIMENTO!C:C,[1]EMPREENDIMENTO!D:D),"")</f>
        <v>0</v>
      </c>
    </row>
    <row r="1542" spans="1:21" hidden="1" x14ac:dyDescent="0.35">
      <c r="A1542" s="36" t="str">
        <f>IFERROR(_xlfn.XLOOKUP(C1542,[1]DIRETORIA!C:C,[1]DIRETORIA!A:A),"-")</f>
        <v>-</v>
      </c>
      <c r="B1542" s="36" t="str">
        <f>IFERROR(_xlfn.XLOOKUP(C1542,[1]DIRETORIA!C:C,[1]DIRETORIA!B:B),"-")</f>
        <v>-</v>
      </c>
      <c r="C1542" s="36">
        <f>IFERROR(_xlfn.XLOOKUP(E1542,[1]EMPREENDIMENTO!C:C,[1]EMPREENDIMENTO!A:A),"-")</f>
        <v>0</v>
      </c>
      <c r="D1542" s="36"/>
      <c r="E1542" s="36"/>
      <c r="F1542" s="36"/>
      <c r="G1542" s="36"/>
      <c r="H1542" s="36"/>
      <c r="I1542" s="29">
        <f>IFERROR(_xlfn.XLOOKUP(E1542,[1]EMPREENDIMENTO!C:C,[1]EMPREENDIMENTO!E:E),"0")</f>
        <v>0</v>
      </c>
      <c r="J1542" s="31"/>
      <c r="K1542" s="36"/>
      <c r="M1542" s="37"/>
      <c r="N1542" s="37"/>
      <c r="O1542" s="37"/>
      <c r="P1542" s="36"/>
      <c r="Q1542" s="36"/>
      <c r="R1542" s="31"/>
      <c r="S1542" s="31"/>
      <c r="T1542" s="38"/>
      <c r="U1542" s="39">
        <f>IFERROR(_xlfn.XLOOKUP(E1542,[1]EMPREENDIMENTO!C:C,[1]EMPREENDIMENTO!D:D),"")</f>
        <v>0</v>
      </c>
    </row>
    <row r="1543" spans="1:21" hidden="1" x14ac:dyDescent="0.35">
      <c r="A1543" s="36" t="str">
        <f>IFERROR(_xlfn.XLOOKUP(C1543,[1]DIRETORIA!C:C,[1]DIRETORIA!A:A),"-")</f>
        <v>-</v>
      </c>
      <c r="B1543" s="36" t="str">
        <f>IFERROR(_xlfn.XLOOKUP(C1543,[1]DIRETORIA!C:C,[1]DIRETORIA!B:B),"-")</f>
        <v>-</v>
      </c>
      <c r="C1543" s="36">
        <f>IFERROR(_xlfn.XLOOKUP(E1543,[1]EMPREENDIMENTO!C:C,[1]EMPREENDIMENTO!A:A),"-")</f>
        <v>0</v>
      </c>
      <c r="D1543" s="36"/>
      <c r="E1543" s="36"/>
      <c r="F1543" s="36"/>
      <c r="G1543" s="36"/>
      <c r="H1543" s="36"/>
      <c r="I1543" s="29">
        <f>IFERROR(_xlfn.XLOOKUP(E1543,[1]EMPREENDIMENTO!C:C,[1]EMPREENDIMENTO!E:E),"0")</f>
        <v>0</v>
      </c>
      <c r="J1543" s="31"/>
      <c r="K1543" s="36"/>
      <c r="M1543" s="37"/>
      <c r="N1543" s="37"/>
      <c r="O1543" s="37"/>
      <c r="P1543" s="36"/>
      <c r="Q1543" s="36"/>
      <c r="R1543" s="31"/>
      <c r="S1543" s="31"/>
      <c r="T1543" s="38"/>
      <c r="U1543" s="39">
        <f>IFERROR(_xlfn.XLOOKUP(E1543,[1]EMPREENDIMENTO!C:C,[1]EMPREENDIMENTO!D:D),"")</f>
        <v>0</v>
      </c>
    </row>
    <row r="1544" spans="1:21" hidden="1" x14ac:dyDescent="0.35">
      <c r="A1544" s="36" t="str">
        <f>IFERROR(_xlfn.XLOOKUP(C1544,[1]DIRETORIA!C:C,[1]DIRETORIA!A:A),"-")</f>
        <v>-</v>
      </c>
      <c r="B1544" s="36" t="str">
        <f>IFERROR(_xlfn.XLOOKUP(C1544,[1]DIRETORIA!C:C,[1]DIRETORIA!B:B),"-")</f>
        <v>-</v>
      </c>
      <c r="C1544" s="36">
        <f>IFERROR(_xlfn.XLOOKUP(E1544,[1]EMPREENDIMENTO!C:C,[1]EMPREENDIMENTO!A:A),"-")</f>
        <v>0</v>
      </c>
      <c r="D1544" s="36"/>
      <c r="E1544" s="36"/>
      <c r="F1544" s="36"/>
      <c r="G1544" s="36"/>
      <c r="H1544" s="36"/>
      <c r="I1544" s="29">
        <f>IFERROR(_xlfn.XLOOKUP(E1544,[1]EMPREENDIMENTO!C:C,[1]EMPREENDIMENTO!E:E),"0")</f>
        <v>0</v>
      </c>
      <c r="J1544" s="31"/>
      <c r="K1544" s="36"/>
      <c r="M1544" s="37"/>
      <c r="N1544" s="37"/>
      <c r="O1544" s="37"/>
      <c r="P1544" s="36"/>
      <c r="Q1544" s="36"/>
      <c r="R1544" s="31"/>
      <c r="S1544" s="31"/>
      <c r="T1544" s="38"/>
      <c r="U1544" s="39">
        <f>IFERROR(_xlfn.XLOOKUP(E1544,[1]EMPREENDIMENTO!C:C,[1]EMPREENDIMENTO!D:D),"")</f>
        <v>0</v>
      </c>
    </row>
    <row r="1545" spans="1:21" hidden="1" x14ac:dyDescent="0.35">
      <c r="A1545" s="36" t="str">
        <f>IFERROR(_xlfn.XLOOKUP(C1545,[1]DIRETORIA!C:C,[1]DIRETORIA!A:A),"-")</f>
        <v>-</v>
      </c>
      <c r="B1545" s="36" t="str">
        <f>IFERROR(_xlfn.XLOOKUP(C1545,[1]DIRETORIA!C:C,[1]DIRETORIA!B:B),"-")</f>
        <v>-</v>
      </c>
      <c r="C1545" s="36">
        <f>IFERROR(_xlfn.XLOOKUP(E1545,[1]EMPREENDIMENTO!C:C,[1]EMPREENDIMENTO!A:A),"-")</f>
        <v>0</v>
      </c>
      <c r="D1545" s="36"/>
      <c r="E1545" s="36"/>
      <c r="F1545" s="36"/>
      <c r="G1545" s="36"/>
      <c r="H1545" s="36"/>
      <c r="I1545" s="29">
        <f>IFERROR(_xlfn.XLOOKUP(E1545,[1]EMPREENDIMENTO!C:C,[1]EMPREENDIMENTO!E:E),"0")</f>
        <v>0</v>
      </c>
      <c r="J1545" s="31"/>
      <c r="K1545" s="36"/>
      <c r="M1545" s="37"/>
      <c r="N1545" s="37"/>
      <c r="O1545" s="37"/>
      <c r="P1545" s="36"/>
      <c r="Q1545" s="36"/>
      <c r="R1545" s="31"/>
      <c r="S1545" s="31"/>
      <c r="T1545" s="38"/>
      <c r="U1545" s="39">
        <f>IFERROR(_xlfn.XLOOKUP(E1545,[1]EMPREENDIMENTO!C:C,[1]EMPREENDIMENTO!D:D),"")</f>
        <v>0</v>
      </c>
    </row>
    <row r="1546" spans="1:21" hidden="1" x14ac:dyDescent="0.35">
      <c r="A1546" s="36" t="str">
        <f>IFERROR(_xlfn.XLOOKUP(C1546,[1]DIRETORIA!C:C,[1]DIRETORIA!A:A),"-")</f>
        <v>-</v>
      </c>
      <c r="B1546" s="36" t="str">
        <f>IFERROR(_xlfn.XLOOKUP(C1546,[1]DIRETORIA!C:C,[1]DIRETORIA!B:B),"-")</f>
        <v>-</v>
      </c>
      <c r="C1546" s="36">
        <f>IFERROR(_xlfn.XLOOKUP(E1546,[1]EMPREENDIMENTO!C:C,[1]EMPREENDIMENTO!A:A),"-")</f>
        <v>0</v>
      </c>
      <c r="D1546" s="36"/>
      <c r="E1546" s="36"/>
      <c r="F1546" s="36"/>
      <c r="G1546" s="36"/>
      <c r="H1546" s="36"/>
      <c r="I1546" s="29">
        <f>IFERROR(_xlfn.XLOOKUP(E1546,[1]EMPREENDIMENTO!C:C,[1]EMPREENDIMENTO!E:E),"0")</f>
        <v>0</v>
      </c>
      <c r="J1546" s="31"/>
      <c r="K1546" s="36"/>
      <c r="M1546" s="37"/>
      <c r="N1546" s="37"/>
      <c r="O1546" s="37"/>
      <c r="P1546" s="36"/>
      <c r="Q1546" s="36"/>
      <c r="R1546" s="31"/>
      <c r="S1546" s="31"/>
      <c r="T1546" s="38"/>
      <c r="U1546" s="39">
        <f>IFERROR(_xlfn.XLOOKUP(E1546,[1]EMPREENDIMENTO!C:C,[1]EMPREENDIMENTO!D:D),"")</f>
        <v>0</v>
      </c>
    </row>
    <row r="1547" spans="1:21" hidden="1" x14ac:dyDescent="0.35">
      <c r="A1547" s="36" t="str">
        <f>IFERROR(_xlfn.XLOOKUP(C1547,[1]DIRETORIA!C:C,[1]DIRETORIA!A:A),"-")</f>
        <v>-</v>
      </c>
      <c r="B1547" s="36" t="str">
        <f>IFERROR(_xlfn.XLOOKUP(C1547,[1]DIRETORIA!C:C,[1]DIRETORIA!B:B),"-")</f>
        <v>-</v>
      </c>
      <c r="C1547" s="36">
        <f>IFERROR(_xlfn.XLOOKUP(E1547,[1]EMPREENDIMENTO!C:C,[1]EMPREENDIMENTO!A:A),"-")</f>
        <v>0</v>
      </c>
      <c r="D1547" s="36"/>
      <c r="E1547" s="36"/>
      <c r="F1547" s="36"/>
      <c r="G1547" s="36"/>
      <c r="H1547" s="36"/>
      <c r="I1547" s="29">
        <f>IFERROR(_xlfn.XLOOKUP(E1547,[1]EMPREENDIMENTO!C:C,[1]EMPREENDIMENTO!E:E),"0")</f>
        <v>0</v>
      </c>
      <c r="J1547" s="31"/>
      <c r="K1547" s="36"/>
      <c r="M1547" s="37"/>
      <c r="N1547" s="37"/>
      <c r="O1547" s="37"/>
      <c r="P1547" s="36"/>
      <c r="Q1547" s="36"/>
      <c r="R1547" s="31"/>
      <c r="S1547" s="31"/>
      <c r="T1547" s="38"/>
      <c r="U1547" s="39">
        <f>IFERROR(_xlfn.XLOOKUP(E1547,[1]EMPREENDIMENTO!C:C,[1]EMPREENDIMENTO!D:D),"")</f>
        <v>0</v>
      </c>
    </row>
    <row r="1548" spans="1:21" hidden="1" x14ac:dyDescent="0.35">
      <c r="A1548" s="36" t="str">
        <f>IFERROR(_xlfn.XLOOKUP(C1548,[1]DIRETORIA!C:C,[1]DIRETORIA!A:A),"-")</f>
        <v>-</v>
      </c>
      <c r="B1548" s="36" t="str">
        <f>IFERROR(_xlfn.XLOOKUP(C1548,[1]DIRETORIA!C:C,[1]DIRETORIA!B:B),"-")</f>
        <v>-</v>
      </c>
      <c r="C1548" s="36">
        <f>IFERROR(_xlfn.XLOOKUP(E1548,[1]EMPREENDIMENTO!C:C,[1]EMPREENDIMENTO!A:A),"-")</f>
        <v>0</v>
      </c>
      <c r="D1548" s="36"/>
      <c r="E1548" s="36"/>
      <c r="F1548" s="36"/>
      <c r="G1548" s="36"/>
      <c r="H1548" s="36"/>
      <c r="I1548" s="29">
        <f>IFERROR(_xlfn.XLOOKUP(E1548,[1]EMPREENDIMENTO!C:C,[1]EMPREENDIMENTO!E:E),"0")</f>
        <v>0</v>
      </c>
      <c r="J1548" s="31"/>
      <c r="K1548" s="36"/>
      <c r="M1548" s="37"/>
      <c r="N1548" s="37"/>
      <c r="O1548" s="37"/>
      <c r="P1548" s="36"/>
      <c r="Q1548" s="36"/>
      <c r="R1548" s="31"/>
      <c r="S1548" s="31"/>
      <c r="T1548" s="38"/>
      <c r="U1548" s="39">
        <f>IFERROR(_xlfn.XLOOKUP(E1548,[1]EMPREENDIMENTO!C:C,[1]EMPREENDIMENTO!D:D),"")</f>
        <v>0</v>
      </c>
    </row>
    <row r="1549" spans="1:21" hidden="1" x14ac:dyDescent="0.35">
      <c r="A1549" s="36" t="str">
        <f>IFERROR(_xlfn.XLOOKUP(C1549,[1]DIRETORIA!C:C,[1]DIRETORIA!A:A),"-")</f>
        <v>-</v>
      </c>
      <c r="B1549" s="36" t="str">
        <f>IFERROR(_xlfn.XLOOKUP(C1549,[1]DIRETORIA!C:C,[1]DIRETORIA!B:B),"-")</f>
        <v>-</v>
      </c>
      <c r="C1549" s="36">
        <f>IFERROR(_xlfn.XLOOKUP(E1549,[1]EMPREENDIMENTO!C:C,[1]EMPREENDIMENTO!A:A),"-")</f>
        <v>0</v>
      </c>
      <c r="D1549" s="36"/>
      <c r="E1549" s="36"/>
      <c r="F1549" s="36"/>
      <c r="G1549" s="36"/>
      <c r="H1549" s="36"/>
      <c r="I1549" s="29">
        <f>IFERROR(_xlfn.XLOOKUP(E1549,[1]EMPREENDIMENTO!C:C,[1]EMPREENDIMENTO!E:E),"0")</f>
        <v>0</v>
      </c>
      <c r="J1549" s="31"/>
      <c r="K1549" s="36"/>
      <c r="M1549" s="37"/>
      <c r="N1549" s="37"/>
      <c r="O1549" s="37"/>
      <c r="P1549" s="36"/>
      <c r="Q1549" s="36"/>
      <c r="R1549" s="31"/>
      <c r="S1549" s="31"/>
      <c r="T1549" s="38"/>
      <c r="U1549" s="39">
        <f>IFERROR(_xlfn.XLOOKUP(E1549,[1]EMPREENDIMENTO!C:C,[1]EMPREENDIMENTO!D:D),"")</f>
        <v>0</v>
      </c>
    </row>
    <row r="1550" spans="1:21" hidden="1" x14ac:dyDescent="0.35">
      <c r="A1550" s="36" t="str">
        <f>IFERROR(_xlfn.XLOOKUP(C1550,[1]DIRETORIA!C:C,[1]DIRETORIA!A:A),"-")</f>
        <v>-</v>
      </c>
      <c r="B1550" s="36" t="str">
        <f>IFERROR(_xlfn.XLOOKUP(C1550,[1]DIRETORIA!C:C,[1]DIRETORIA!B:B),"-")</f>
        <v>-</v>
      </c>
      <c r="C1550" s="36">
        <f>IFERROR(_xlfn.XLOOKUP(E1550,[1]EMPREENDIMENTO!C:C,[1]EMPREENDIMENTO!A:A),"-")</f>
        <v>0</v>
      </c>
      <c r="D1550" s="36"/>
      <c r="E1550" s="36"/>
      <c r="F1550" s="36"/>
      <c r="G1550" s="36"/>
      <c r="H1550" s="36"/>
      <c r="I1550" s="29">
        <f>IFERROR(_xlfn.XLOOKUP(E1550,[1]EMPREENDIMENTO!C:C,[1]EMPREENDIMENTO!E:E),"0")</f>
        <v>0</v>
      </c>
      <c r="J1550" s="31"/>
      <c r="K1550" s="36"/>
      <c r="M1550" s="37"/>
      <c r="N1550" s="37"/>
      <c r="O1550" s="37"/>
      <c r="P1550" s="36"/>
      <c r="Q1550" s="36"/>
      <c r="R1550" s="31"/>
      <c r="S1550" s="31"/>
      <c r="T1550" s="38"/>
      <c r="U1550" s="39">
        <f>IFERROR(_xlfn.XLOOKUP(E1550,[1]EMPREENDIMENTO!C:C,[1]EMPREENDIMENTO!D:D),"")</f>
        <v>0</v>
      </c>
    </row>
    <row r="1551" spans="1:21" hidden="1" x14ac:dyDescent="0.35">
      <c r="A1551" s="36" t="str">
        <f>IFERROR(_xlfn.XLOOKUP(C1551,[1]DIRETORIA!C:C,[1]DIRETORIA!A:A),"-")</f>
        <v>-</v>
      </c>
      <c r="B1551" s="36" t="str">
        <f>IFERROR(_xlfn.XLOOKUP(C1551,[1]DIRETORIA!C:C,[1]DIRETORIA!B:B),"-")</f>
        <v>-</v>
      </c>
      <c r="C1551" s="36">
        <f>IFERROR(_xlfn.XLOOKUP(E1551,[1]EMPREENDIMENTO!C:C,[1]EMPREENDIMENTO!A:A),"-")</f>
        <v>0</v>
      </c>
      <c r="D1551" s="36"/>
      <c r="E1551" s="36"/>
      <c r="F1551" s="36"/>
      <c r="G1551" s="36"/>
      <c r="H1551" s="36"/>
      <c r="I1551" s="29">
        <f>IFERROR(_xlfn.XLOOKUP(E1551,[1]EMPREENDIMENTO!C:C,[1]EMPREENDIMENTO!E:E),"0")</f>
        <v>0</v>
      </c>
      <c r="J1551" s="31"/>
      <c r="K1551" s="36"/>
      <c r="M1551" s="37"/>
      <c r="N1551" s="37"/>
      <c r="O1551" s="37"/>
      <c r="P1551" s="36"/>
      <c r="Q1551" s="36"/>
      <c r="R1551" s="31"/>
      <c r="S1551" s="31"/>
      <c r="T1551" s="38"/>
      <c r="U1551" s="39">
        <f>IFERROR(_xlfn.XLOOKUP(E1551,[1]EMPREENDIMENTO!C:C,[1]EMPREENDIMENTO!D:D),"")</f>
        <v>0</v>
      </c>
    </row>
    <row r="1552" spans="1:21" hidden="1" x14ac:dyDescent="0.35">
      <c r="A1552" s="36" t="str">
        <f>IFERROR(_xlfn.XLOOKUP(C1552,[1]DIRETORIA!C:C,[1]DIRETORIA!A:A),"-")</f>
        <v>-</v>
      </c>
      <c r="B1552" s="36" t="str">
        <f>IFERROR(_xlfn.XLOOKUP(C1552,[1]DIRETORIA!C:C,[1]DIRETORIA!B:B),"-")</f>
        <v>-</v>
      </c>
      <c r="C1552" s="36">
        <f>IFERROR(_xlfn.XLOOKUP(E1552,[1]EMPREENDIMENTO!C:C,[1]EMPREENDIMENTO!A:A),"-")</f>
        <v>0</v>
      </c>
      <c r="D1552" s="36"/>
      <c r="E1552" s="36"/>
      <c r="F1552" s="36"/>
      <c r="G1552" s="36"/>
      <c r="H1552" s="36"/>
      <c r="I1552" s="29">
        <f>IFERROR(_xlfn.XLOOKUP(E1552,[1]EMPREENDIMENTO!C:C,[1]EMPREENDIMENTO!E:E),"0")</f>
        <v>0</v>
      </c>
      <c r="J1552" s="31"/>
      <c r="K1552" s="36"/>
      <c r="M1552" s="37"/>
      <c r="N1552" s="37"/>
      <c r="O1552" s="37"/>
      <c r="P1552" s="36"/>
      <c r="Q1552" s="36"/>
      <c r="R1552" s="31"/>
      <c r="S1552" s="31"/>
      <c r="T1552" s="38"/>
      <c r="U1552" s="39">
        <f>IFERROR(_xlfn.XLOOKUP(E1552,[1]EMPREENDIMENTO!C:C,[1]EMPREENDIMENTO!D:D),"")</f>
        <v>0</v>
      </c>
    </row>
    <row r="1553" spans="1:21" hidden="1" x14ac:dyDescent="0.35">
      <c r="A1553" s="36" t="str">
        <f>IFERROR(_xlfn.XLOOKUP(C1553,[1]DIRETORIA!C:C,[1]DIRETORIA!A:A),"-")</f>
        <v>-</v>
      </c>
      <c r="B1553" s="36" t="str">
        <f>IFERROR(_xlfn.XLOOKUP(C1553,[1]DIRETORIA!C:C,[1]DIRETORIA!B:B),"-")</f>
        <v>-</v>
      </c>
      <c r="C1553" s="36">
        <f>IFERROR(_xlfn.XLOOKUP(E1553,[1]EMPREENDIMENTO!C:C,[1]EMPREENDIMENTO!A:A),"-")</f>
        <v>0</v>
      </c>
      <c r="D1553" s="36"/>
      <c r="E1553" s="36"/>
      <c r="F1553" s="36"/>
      <c r="G1553" s="36"/>
      <c r="H1553" s="36"/>
      <c r="I1553" s="29">
        <f>IFERROR(_xlfn.XLOOKUP(E1553,[1]EMPREENDIMENTO!C:C,[1]EMPREENDIMENTO!E:E),"0")</f>
        <v>0</v>
      </c>
      <c r="J1553" s="31"/>
      <c r="K1553" s="36"/>
      <c r="M1553" s="37"/>
      <c r="N1553" s="37"/>
      <c r="O1553" s="37"/>
      <c r="P1553" s="36"/>
      <c r="Q1553" s="36"/>
      <c r="R1553" s="31"/>
      <c r="S1553" s="31"/>
      <c r="T1553" s="38"/>
      <c r="U1553" s="39">
        <f>IFERROR(_xlfn.XLOOKUP(E1553,[1]EMPREENDIMENTO!C:C,[1]EMPREENDIMENTO!D:D),"")</f>
        <v>0</v>
      </c>
    </row>
    <row r="1554" spans="1:21" hidden="1" x14ac:dyDescent="0.35">
      <c r="A1554" s="36" t="str">
        <f>IFERROR(_xlfn.XLOOKUP(C1554,[1]DIRETORIA!C:C,[1]DIRETORIA!A:A),"-")</f>
        <v>-</v>
      </c>
      <c r="B1554" s="36" t="str">
        <f>IFERROR(_xlfn.XLOOKUP(C1554,[1]DIRETORIA!C:C,[1]DIRETORIA!B:B),"-")</f>
        <v>-</v>
      </c>
      <c r="C1554" s="36">
        <f>IFERROR(_xlfn.XLOOKUP(E1554,[1]EMPREENDIMENTO!C:C,[1]EMPREENDIMENTO!A:A),"-")</f>
        <v>0</v>
      </c>
      <c r="D1554" s="36"/>
      <c r="E1554" s="36"/>
      <c r="F1554" s="36"/>
      <c r="G1554" s="36"/>
      <c r="H1554" s="36"/>
      <c r="I1554" s="29">
        <f>IFERROR(_xlfn.XLOOKUP(E1554,[1]EMPREENDIMENTO!C:C,[1]EMPREENDIMENTO!E:E),"0")</f>
        <v>0</v>
      </c>
      <c r="J1554" s="31"/>
      <c r="K1554" s="36"/>
      <c r="M1554" s="37"/>
      <c r="N1554" s="37"/>
      <c r="O1554" s="37"/>
      <c r="P1554" s="36"/>
      <c r="Q1554" s="36"/>
      <c r="R1554" s="31"/>
      <c r="S1554" s="31"/>
      <c r="T1554" s="38"/>
      <c r="U1554" s="39">
        <f>IFERROR(_xlfn.XLOOKUP(E1554,[1]EMPREENDIMENTO!C:C,[1]EMPREENDIMENTO!D:D),"")</f>
        <v>0</v>
      </c>
    </row>
    <row r="1555" spans="1:21" hidden="1" x14ac:dyDescent="0.35">
      <c r="A1555" s="36" t="str">
        <f>IFERROR(_xlfn.XLOOKUP(C1555,[1]DIRETORIA!C:C,[1]DIRETORIA!A:A),"-")</f>
        <v>-</v>
      </c>
      <c r="B1555" s="36" t="str">
        <f>IFERROR(_xlfn.XLOOKUP(C1555,[1]DIRETORIA!C:C,[1]DIRETORIA!B:B),"-")</f>
        <v>-</v>
      </c>
      <c r="C1555" s="36">
        <f>IFERROR(_xlfn.XLOOKUP(E1555,[1]EMPREENDIMENTO!C:C,[1]EMPREENDIMENTO!A:A),"-")</f>
        <v>0</v>
      </c>
      <c r="D1555" s="36"/>
      <c r="E1555" s="36"/>
      <c r="F1555" s="36"/>
      <c r="G1555" s="36"/>
      <c r="H1555" s="36"/>
      <c r="I1555" s="29">
        <f>IFERROR(_xlfn.XLOOKUP(E1555,[1]EMPREENDIMENTO!C:C,[1]EMPREENDIMENTO!E:E),"0")</f>
        <v>0</v>
      </c>
      <c r="J1555" s="31"/>
      <c r="K1555" s="36"/>
      <c r="M1555" s="37"/>
      <c r="N1555" s="37"/>
      <c r="O1555" s="37"/>
      <c r="P1555" s="36"/>
      <c r="Q1555" s="36"/>
      <c r="R1555" s="31"/>
      <c r="S1555" s="31"/>
      <c r="T1555" s="38"/>
      <c r="U1555" s="39">
        <f>IFERROR(_xlfn.XLOOKUP(E1555,[1]EMPREENDIMENTO!C:C,[1]EMPREENDIMENTO!D:D),"")</f>
        <v>0</v>
      </c>
    </row>
    <row r="1556" spans="1:21" hidden="1" x14ac:dyDescent="0.35">
      <c r="A1556" s="36" t="str">
        <f>IFERROR(_xlfn.XLOOKUP(C1556,[1]DIRETORIA!C:C,[1]DIRETORIA!A:A),"-")</f>
        <v>-</v>
      </c>
      <c r="B1556" s="36" t="str">
        <f>IFERROR(_xlfn.XLOOKUP(C1556,[1]DIRETORIA!C:C,[1]DIRETORIA!B:B),"-")</f>
        <v>-</v>
      </c>
      <c r="C1556" s="36">
        <f>IFERROR(_xlfn.XLOOKUP(E1556,[1]EMPREENDIMENTO!C:C,[1]EMPREENDIMENTO!A:A),"-")</f>
        <v>0</v>
      </c>
      <c r="D1556" s="36"/>
      <c r="E1556" s="36"/>
      <c r="F1556" s="36"/>
      <c r="G1556" s="36"/>
      <c r="H1556" s="36"/>
      <c r="I1556" s="29">
        <f>IFERROR(_xlfn.XLOOKUP(E1556,[1]EMPREENDIMENTO!C:C,[1]EMPREENDIMENTO!E:E),"0")</f>
        <v>0</v>
      </c>
      <c r="J1556" s="31"/>
      <c r="K1556" s="36"/>
      <c r="M1556" s="37"/>
      <c r="N1556" s="37"/>
      <c r="O1556" s="37"/>
      <c r="P1556" s="36"/>
      <c r="Q1556" s="36"/>
      <c r="R1556" s="31"/>
      <c r="S1556" s="31"/>
      <c r="T1556" s="38"/>
      <c r="U1556" s="39">
        <f>IFERROR(_xlfn.XLOOKUP(E1556,[1]EMPREENDIMENTO!C:C,[1]EMPREENDIMENTO!D:D),"")</f>
        <v>0</v>
      </c>
    </row>
    <row r="1557" spans="1:21" hidden="1" x14ac:dyDescent="0.35">
      <c r="A1557" s="36" t="str">
        <f>IFERROR(_xlfn.XLOOKUP(C1557,[1]DIRETORIA!C:C,[1]DIRETORIA!A:A),"-")</f>
        <v>-</v>
      </c>
      <c r="B1557" s="36" t="str">
        <f>IFERROR(_xlfn.XLOOKUP(C1557,[1]DIRETORIA!C:C,[1]DIRETORIA!B:B),"-")</f>
        <v>-</v>
      </c>
      <c r="C1557" s="36">
        <f>IFERROR(_xlfn.XLOOKUP(E1557,[1]EMPREENDIMENTO!C:C,[1]EMPREENDIMENTO!A:A),"-")</f>
        <v>0</v>
      </c>
      <c r="D1557" s="36"/>
      <c r="E1557" s="36"/>
      <c r="F1557" s="36"/>
      <c r="G1557" s="36"/>
      <c r="H1557" s="36"/>
      <c r="I1557" s="29">
        <f>IFERROR(_xlfn.XLOOKUP(E1557,[1]EMPREENDIMENTO!C:C,[1]EMPREENDIMENTO!E:E),"0")</f>
        <v>0</v>
      </c>
      <c r="J1557" s="31"/>
      <c r="K1557" s="36"/>
      <c r="M1557" s="37"/>
      <c r="N1557" s="37"/>
      <c r="O1557" s="37"/>
      <c r="P1557" s="36"/>
      <c r="Q1557" s="36"/>
      <c r="R1557" s="31"/>
      <c r="S1557" s="31"/>
      <c r="T1557" s="38"/>
      <c r="U1557" s="39">
        <f>IFERROR(_xlfn.XLOOKUP(E1557,[1]EMPREENDIMENTO!C:C,[1]EMPREENDIMENTO!D:D),"")</f>
        <v>0</v>
      </c>
    </row>
    <row r="1558" spans="1:21" hidden="1" x14ac:dyDescent="0.35">
      <c r="A1558" s="36" t="str">
        <f>IFERROR(_xlfn.XLOOKUP(C1558,[1]DIRETORIA!C:C,[1]DIRETORIA!A:A),"-")</f>
        <v>-</v>
      </c>
      <c r="B1558" s="36" t="str">
        <f>IFERROR(_xlfn.XLOOKUP(C1558,[1]DIRETORIA!C:C,[1]DIRETORIA!B:B),"-")</f>
        <v>-</v>
      </c>
      <c r="C1558" s="36">
        <f>IFERROR(_xlfn.XLOOKUP(E1558,[1]EMPREENDIMENTO!C:C,[1]EMPREENDIMENTO!A:A),"-")</f>
        <v>0</v>
      </c>
      <c r="D1558" s="36"/>
      <c r="E1558" s="36"/>
      <c r="F1558" s="36"/>
      <c r="G1558" s="36"/>
      <c r="H1558" s="36"/>
      <c r="I1558" s="29">
        <f>IFERROR(_xlfn.XLOOKUP(E1558,[1]EMPREENDIMENTO!C:C,[1]EMPREENDIMENTO!E:E),"0")</f>
        <v>0</v>
      </c>
      <c r="J1558" s="31"/>
      <c r="K1558" s="36"/>
      <c r="M1558" s="37"/>
      <c r="N1558" s="37"/>
      <c r="O1558" s="37"/>
      <c r="P1558" s="36"/>
      <c r="Q1558" s="36"/>
      <c r="R1558" s="31"/>
      <c r="S1558" s="31"/>
      <c r="T1558" s="38"/>
      <c r="U1558" s="39">
        <f>IFERROR(_xlfn.XLOOKUP(E1558,[1]EMPREENDIMENTO!C:C,[1]EMPREENDIMENTO!D:D),"")</f>
        <v>0</v>
      </c>
    </row>
    <row r="1559" spans="1:21" hidden="1" x14ac:dyDescent="0.35">
      <c r="A1559" s="36" t="str">
        <f>IFERROR(_xlfn.XLOOKUP(C1559,[1]DIRETORIA!C:C,[1]DIRETORIA!A:A),"-")</f>
        <v>-</v>
      </c>
      <c r="B1559" s="36" t="str">
        <f>IFERROR(_xlfn.XLOOKUP(C1559,[1]DIRETORIA!C:C,[1]DIRETORIA!B:B),"-")</f>
        <v>-</v>
      </c>
      <c r="C1559" s="36">
        <f>IFERROR(_xlfn.XLOOKUP(E1559,[1]EMPREENDIMENTO!C:C,[1]EMPREENDIMENTO!A:A),"-")</f>
        <v>0</v>
      </c>
      <c r="D1559" s="36"/>
      <c r="E1559" s="36"/>
      <c r="F1559" s="36"/>
      <c r="G1559" s="36"/>
      <c r="H1559" s="36"/>
      <c r="I1559" s="29">
        <f>IFERROR(_xlfn.XLOOKUP(E1559,[1]EMPREENDIMENTO!C:C,[1]EMPREENDIMENTO!E:E),"0")</f>
        <v>0</v>
      </c>
      <c r="J1559" s="31"/>
      <c r="K1559" s="36"/>
      <c r="M1559" s="37"/>
      <c r="N1559" s="37"/>
      <c r="O1559" s="37"/>
      <c r="P1559" s="36"/>
      <c r="Q1559" s="36"/>
      <c r="R1559" s="31"/>
      <c r="S1559" s="31"/>
      <c r="T1559" s="38"/>
      <c r="U1559" s="39">
        <f>IFERROR(_xlfn.XLOOKUP(E1559,[1]EMPREENDIMENTO!C:C,[1]EMPREENDIMENTO!D:D),"")</f>
        <v>0</v>
      </c>
    </row>
    <row r="1560" spans="1:21" hidden="1" x14ac:dyDescent="0.35">
      <c r="A1560" s="36" t="str">
        <f>IFERROR(_xlfn.XLOOKUP(C1560,[1]DIRETORIA!C:C,[1]DIRETORIA!A:A),"-")</f>
        <v>-</v>
      </c>
      <c r="B1560" s="36" t="str">
        <f>IFERROR(_xlfn.XLOOKUP(C1560,[1]DIRETORIA!C:C,[1]DIRETORIA!B:B),"-")</f>
        <v>-</v>
      </c>
      <c r="C1560" s="36">
        <f>IFERROR(_xlfn.XLOOKUP(E1560,[1]EMPREENDIMENTO!C:C,[1]EMPREENDIMENTO!A:A),"-")</f>
        <v>0</v>
      </c>
      <c r="D1560" s="36"/>
      <c r="E1560" s="36"/>
      <c r="F1560" s="36"/>
      <c r="G1560" s="36"/>
      <c r="H1560" s="36"/>
      <c r="I1560" s="29">
        <f>IFERROR(_xlfn.XLOOKUP(E1560,[1]EMPREENDIMENTO!C:C,[1]EMPREENDIMENTO!E:E),"0")</f>
        <v>0</v>
      </c>
      <c r="J1560" s="31"/>
      <c r="K1560" s="36"/>
      <c r="M1560" s="37"/>
      <c r="N1560" s="37"/>
      <c r="O1560" s="37"/>
      <c r="P1560" s="36"/>
      <c r="Q1560" s="36"/>
      <c r="R1560" s="31"/>
      <c r="S1560" s="31"/>
      <c r="T1560" s="38"/>
      <c r="U1560" s="39">
        <f>IFERROR(_xlfn.XLOOKUP(E1560,[1]EMPREENDIMENTO!C:C,[1]EMPREENDIMENTO!D:D),"")</f>
        <v>0</v>
      </c>
    </row>
    <row r="1561" spans="1:21" hidden="1" x14ac:dyDescent="0.35">
      <c r="A1561" s="36" t="str">
        <f>IFERROR(_xlfn.XLOOKUP(C1561,[1]DIRETORIA!C:C,[1]DIRETORIA!A:A),"-")</f>
        <v>-</v>
      </c>
      <c r="B1561" s="36" t="str">
        <f>IFERROR(_xlfn.XLOOKUP(C1561,[1]DIRETORIA!C:C,[1]DIRETORIA!B:B),"-")</f>
        <v>-</v>
      </c>
      <c r="C1561" s="36">
        <f>IFERROR(_xlfn.XLOOKUP(E1561,[1]EMPREENDIMENTO!C:C,[1]EMPREENDIMENTO!A:A),"-")</f>
        <v>0</v>
      </c>
      <c r="D1561" s="36"/>
      <c r="E1561" s="36"/>
      <c r="F1561" s="36"/>
      <c r="G1561" s="36"/>
      <c r="H1561" s="36"/>
      <c r="I1561" s="29">
        <f>IFERROR(_xlfn.XLOOKUP(E1561,[1]EMPREENDIMENTO!C:C,[1]EMPREENDIMENTO!E:E),"0")</f>
        <v>0</v>
      </c>
      <c r="J1561" s="31"/>
      <c r="K1561" s="36"/>
      <c r="M1561" s="37"/>
      <c r="N1561" s="37"/>
      <c r="O1561" s="37"/>
      <c r="P1561" s="36"/>
      <c r="Q1561" s="36"/>
      <c r="R1561" s="31"/>
      <c r="S1561" s="31"/>
      <c r="T1561" s="38"/>
      <c r="U1561" s="39">
        <f>IFERROR(_xlfn.XLOOKUP(E1561,[1]EMPREENDIMENTO!C:C,[1]EMPREENDIMENTO!D:D),"")</f>
        <v>0</v>
      </c>
    </row>
    <row r="1562" spans="1:21" hidden="1" x14ac:dyDescent="0.35">
      <c r="A1562" s="36" t="str">
        <f>IFERROR(_xlfn.XLOOKUP(C1562,[1]DIRETORIA!C:C,[1]DIRETORIA!A:A),"-")</f>
        <v>-</v>
      </c>
      <c r="B1562" s="36" t="str">
        <f>IFERROR(_xlfn.XLOOKUP(C1562,[1]DIRETORIA!C:C,[1]DIRETORIA!B:B),"-")</f>
        <v>-</v>
      </c>
      <c r="C1562" s="36">
        <f>IFERROR(_xlfn.XLOOKUP(E1562,[1]EMPREENDIMENTO!C:C,[1]EMPREENDIMENTO!A:A),"-")</f>
        <v>0</v>
      </c>
      <c r="D1562" s="36"/>
      <c r="E1562" s="36"/>
      <c r="F1562" s="36"/>
      <c r="G1562" s="36"/>
      <c r="H1562" s="36"/>
      <c r="I1562" s="29">
        <f>IFERROR(_xlfn.XLOOKUP(E1562,[1]EMPREENDIMENTO!C:C,[1]EMPREENDIMENTO!E:E),"0")</f>
        <v>0</v>
      </c>
      <c r="J1562" s="31"/>
      <c r="K1562" s="36"/>
      <c r="M1562" s="37"/>
      <c r="N1562" s="37"/>
      <c r="O1562" s="37"/>
      <c r="P1562" s="36"/>
      <c r="Q1562" s="36"/>
      <c r="R1562" s="31"/>
      <c r="S1562" s="31"/>
      <c r="T1562" s="38"/>
      <c r="U1562" s="39">
        <f>IFERROR(_xlfn.XLOOKUP(E1562,[1]EMPREENDIMENTO!C:C,[1]EMPREENDIMENTO!D:D),"")</f>
        <v>0</v>
      </c>
    </row>
    <row r="1563" spans="1:21" hidden="1" x14ac:dyDescent="0.35">
      <c r="A1563" s="36" t="str">
        <f>IFERROR(_xlfn.XLOOKUP(C1563,[1]DIRETORIA!C:C,[1]DIRETORIA!A:A),"-")</f>
        <v>-</v>
      </c>
      <c r="B1563" s="36" t="str">
        <f>IFERROR(_xlfn.XLOOKUP(C1563,[1]DIRETORIA!C:C,[1]DIRETORIA!B:B),"-")</f>
        <v>-</v>
      </c>
      <c r="C1563" s="36">
        <f>IFERROR(_xlfn.XLOOKUP(E1563,[1]EMPREENDIMENTO!C:C,[1]EMPREENDIMENTO!A:A),"-")</f>
        <v>0</v>
      </c>
      <c r="D1563" s="36"/>
      <c r="E1563" s="36"/>
      <c r="F1563" s="36"/>
      <c r="G1563" s="36"/>
      <c r="H1563" s="36"/>
      <c r="I1563" s="29">
        <f>IFERROR(_xlfn.XLOOKUP(E1563,[1]EMPREENDIMENTO!C:C,[1]EMPREENDIMENTO!E:E),"0")</f>
        <v>0</v>
      </c>
      <c r="J1563" s="31"/>
      <c r="K1563" s="36"/>
      <c r="M1563" s="37"/>
      <c r="N1563" s="37"/>
      <c r="O1563" s="37"/>
      <c r="P1563" s="36"/>
      <c r="Q1563" s="36"/>
      <c r="R1563" s="31"/>
      <c r="S1563" s="31"/>
      <c r="T1563" s="38"/>
      <c r="U1563" s="39">
        <f>IFERROR(_xlfn.XLOOKUP(E1563,[1]EMPREENDIMENTO!C:C,[1]EMPREENDIMENTO!D:D),"")</f>
        <v>0</v>
      </c>
    </row>
    <row r="1564" spans="1:21" hidden="1" x14ac:dyDescent="0.35">
      <c r="A1564" s="36" t="str">
        <f>IFERROR(_xlfn.XLOOKUP(C1564,[1]DIRETORIA!C:C,[1]DIRETORIA!A:A),"-")</f>
        <v>-</v>
      </c>
      <c r="B1564" s="36" t="str">
        <f>IFERROR(_xlfn.XLOOKUP(C1564,[1]DIRETORIA!C:C,[1]DIRETORIA!B:B),"-")</f>
        <v>-</v>
      </c>
      <c r="C1564" s="36">
        <f>IFERROR(_xlfn.XLOOKUP(E1564,[1]EMPREENDIMENTO!C:C,[1]EMPREENDIMENTO!A:A),"-")</f>
        <v>0</v>
      </c>
      <c r="D1564" s="36"/>
      <c r="E1564" s="36"/>
      <c r="F1564" s="36"/>
      <c r="G1564" s="36"/>
      <c r="H1564" s="36"/>
      <c r="I1564" s="29">
        <f>IFERROR(_xlfn.XLOOKUP(E1564,[1]EMPREENDIMENTO!C:C,[1]EMPREENDIMENTO!E:E),"0")</f>
        <v>0</v>
      </c>
      <c r="J1564" s="31"/>
      <c r="K1564" s="36"/>
      <c r="M1564" s="37"/>
      <c r="N1564" s="37"/>
      <c r="O1564" s="37"/>
      <c r="P1564" s="36"/>
      <c r="Q1564" s="36"/>
      <c r="R1564" s="31"/>
      <c r="S1564" s="31"/>
      <c r="T1564" s="38"/>
      <c r="U1564" s="39">
        <f>IFERROR(_xlfn.XLOOKUP(E1564,[1]EMPREENDIMENTO!C:C,[1]EMPREENDIMENTO!D:D),"")</f>
        <v>0</v>
      </c>
    </row>
    <row r="1565" spans="1:21" hidden="1" x14ac:dyDescent="0.35">
      <c r="A1565" s="36" t="str">
        <f>IFERROR(_xlfn.XLOOKUP(C1565,[1]DIRETORIA!C:C,[1]DIRETORIA!A:A),"-")</f>
        <v>-</v>
      </c>
      <c r="B1565" s="36" t="str">
        <f>IFERROR(_xlfn.XLOOKUP(C1565,[1]DIRETORIA!C:C,[1]DIRETORIA!B:B),"-")</f>
        <v>-</v>
      </c>
      <c r="C1565" s="36">
        <f>IFERROR(_xlfn.XLOOKUP(E1565,[1]EMPREENDIMENTO!C:C,[1]EMPREENDIMENTO!A:A),"-")</f>
        <v>0</v>
      </c>
      <c r="D1565" s="36"/>
      <c r="E1565" s="36"/>
      <c r="F1565" s="36"/>
      <c r="G1565" s="36"/>
      <c r="H1565" s="36"/>
      <c r="I1565" s="29">
        <f>IFERROR(_xlfn.XLOOKUP(E1565,[1]EMPREENDIMENTO!C:C,[1]EMPREENDIMENTO!E:E),"0")</f>
        <v>0</v>
      </c>
      <c r="J1565" s="31"/>
      <c r="K1565" s="36"/>
      <c r="M1565" s="37"/>
      <c r="N1565" s="37"/>
      <c r="O1565" s="37"/>
      <c r="P1565" s="36"/>
      <c r="Q1565" s="36"/>
      <c r="R1565" s="31"/>
      <c r="S1565" s="31"/>
      <c r="T1565" s="38"/>
      <c r="U1565" s="39">
        <f>IFERROR(_xlfn.XLOOKUP(E1565,[1]EMPREENDIMENTO!C:C,[1]EMPREENDIMENTO!D:D),"")</f>
        <v>0</v>
      </c>
    </row>
    <row r="1566" spans="1:21" hidden="1" x14ac:dyDescent="0.35">
      <c r="A1566" s="36" t="str">
        <f>IFERROR(_xlfn.XLOOKUP(C1566,[1]DIRETORIA!C:C,[1]DIRETORIA!A:A),"-")</f>
        <v>-</v>
      </c>
      <c r="B1566" s="36" t="str">
        <f>IFERROR(_xlfn.XLOOKUP(C1566,[1]DIRETORIA!C:C,[1]DIRETORIA!B:B),"-")</f>
        <v>-</v>
      </c>
      <c r="C1566" s="36">
        <f>IFERROR(_xlfn.XLOOKUP(E1566,[1]EMPREENDIMENTO!C:C,[1]EMPREENDIMENTO!A:A),"-")</f>
        <v>0</v>
      </c>
      <c r="D1566" s="36"/>
      <c r="E1566" s="36"/>
      <c r="F1566" s="36"/>
      <c r="G1566" s="36"/>
      <c r="H1566" s="36"/>
      <c r="I1566" s="29">
        <f>IFERROR(_xlfn.XLOOKUP(E1566,[1]EMPREENDIMENTO!C:C,[1]EMPREENDIMENTO!E:E),"0")</f>
        <v>0</v>
      </c>
      <c r="J1566" s="31"/>
      <c r="K1566" s="36"/>
      <c r="M1566" s="37"/>
      <c r="N1566" s="37"/>
      <c r="O1566" s="37"/>
      <c r="P1566" s="36"/>
      <c r="Q1566" s="36"/>
      <c r="R1566" s="31"/>
      <c r="S1566" s="31"/>
      <c r="T1566" s="38"/>
      <c r="U1566" s="39">
        <f>IFERROR(_xlfn.XLOOKUP(E1566,[1]EMPREENDIMENTO!C:C,[1]EMPREENDIMENTO!D:D),"")</f>
        <v>0</v>
      </c>
    </row>
    <row r="1567" spans="1:21" hidden="1" x14ac:dyDescent="0.35">
      <c r="A1567" s="36" t="str">
        <f>IFERROR(_xlfn.XLOOKUP(C1567,[1]DIRETORIA!C:C,[1]DIRETORIA!A:A),"-")</f>
        <v>-</v>
      </c>
      <c r="B1567" s="36" t="str">
        <f>IFERROR(_xlfn.XLOOKUP(C1567,[1]DIRETORIA!C:C,[1]DIRETORIA!B:B),"-")</f>
        <v>-</v>
      </c>
      <c r="C1567" s="36">
        <f>IFERROR(_xlfn.XLOOKUP(E1567,[1]EMPREENDIMENTO!C:C,[1]EMPREENDIMENTO!A:A),"-")</f>
        <v>0</v>
      </c>
      <c r="D1567" s="36"/>
      <c r="E1567" s="36"/>
      <c r="F1567" s="36"/>
      <c r="G1567" s="36"/>
      <c r="H1567" s="36"/>
      <c r="I1567" s="29">
        <f>IFERROR(_xlfn.XLOOKUP(E1567,[1]EMPREENDIMENTO!C:C,[1]EMPREENDIMENTO!E:E),"0")</f>
        <v>0</v>
      </c>
      <c r="J1567" s="31"/>
      <c r="K1567" s="36"/>
      <c r="M1567" s="37"/>
      <c r="N1567" s="37"/>
      <c r="O1567" s="37"/>
      <c r="P1567" s="36"/>
      <c r="Q1567" s="36"/>
      <c r="R1567" s="31"/>
      <c r="S1567" s="31"/>
      <c r="T1567" s="38"/>
      <c r="U1567" s="39">
        <f>IFERROR(_xlfn.XLOOKUP(E1567,[1]EMPREENDIMENTO!C:C,[1]EMPREENDIMENTO!D:D),"")</f>
        <v>0</v>
      </c>
    </row>
    <row r="1568" spans="1:21" hidden="1" x14ac:dyDescent="0.35">
      <c r="A1568" s="36" t="str">
        <f>IFERROR(_xlfn.XLOOKUP(C1568,[1]DIRETORIA!C:C,[1]DIRETORIA!A:A),"-")</f>
        <v>-</v>
      </c>
      <c r="B1568" s="36" t="str">
        <f>IFERROR(_xlfn.XLOOKUP(C1568,[1]DIRETORIA!C:C,[1]DIRETORIA!B:B),"-")</f>
        <v>-</v>
      </c>
      <c r="C1568" s="36">
        <f>IFERROR(_xlfn.XLOOKUP(E1568,[1]EMPREENDIMENTO!C:C,[1]EMPREENDIMENTO!A:A),"-")</f>
        <v>0</v>
      </c>
      <c r="D1568" s="36"/>
      <c r="E1568" s="36"/>
      <c r="F1568" s="36"/>
      <c r="G1568" s="36"/>
      <c r="H1568" s="36"/>
      <c r="I1568" s="29">
        <f>IFERROR(_xlfn.XLOOKUP(E1568,[1]EMPREENDIMENTO!C:C,[1]EMPREENDIMENTO!E:E),"0")</f>
        <v>0</v>
      </c>
      <c r="J1568" s="31"/>
      <c r="K1568" s="36"/>
      <c r="M1568" s="37"/>
      <c r="N1568" s="37"/>
      <c r="O1568" s="37"/>
      <c r="P1568" s="36"/>
      <c r="Q1568" s="36"/>
      <c r="R1568" s="31"/>
      <c r="S1568" s="31"/>
      <c r="T1568" s="38"/>
      <c r="U1568" s="39">
        <f>IFERROR(_xlfn.XLOOKUP(E1568,[1]EMPREENDIMENTO!C:C,[1]EMPREENDIMENTO!D:D),"")</f>
        <v>0</v>
      </c>
    </row>
    <row r="1569" spans="1:21" hidden="1" x14ac:dyDescent="0.35">
      <c r="A1569" s="36" t="str">
        <f>IFERROR(_xlfn.XLOOKUP(C1569,[1]DIRETORIA!C:C,[1]DIRETORIA!A:A),"-")</f>
        <v>-</v>
      </c>
      <c r="B1569" s="36" t="str">
        <f>IFERROR(_xlfn.XLOOKUP(C1569,[1]DIRETORIA!C:C,[1]DIRETORIA!B:B),"-")</f>
        <v>-</v>
      </c>
      <c r="C1569" s="36">
        <f>IFERROR(_xlfn.XLOOKUP(E1569,[1]EMPREENDIMENTO!C:C,[1]EMPREENDIMENTO!A:A),"-")</f>
        <v>0</v>
      </c>
      <c r="D1569" s="36"/>
      <c r="E1569" s="36"/>
      <c r="F1569" s="36"/>
      <c r="G1569" s="36"/>
      <c r="H1569" s="36"/>
      <c r="I1569" s="29">
        <f>IFERROR(_xlfn.XLOOKUP(E1569,[1]EMPREENDIMENTO!C:C,[1]EMPREENDIMENTO!E:E),"0")</f>
        <v>0</v>
      </c>
      <c r="J1569" s="31"/>
      <c r="K1569" s="36"/>
      <c r="M1569" s="37"/>
      <c r="N1569" s="37"/>
      <c r="O1569" s="37"/>
      <c r="P1569" s="36"/>
      <c r="Q1569" s="36"/>
      <c r="R1569" s="31"/>
      <c r="S1569" s="31"/>
      <c r="T1569" s="38"/>
      <c r="U1569" s="39">
        <f>IFERROR(_xlfn.XLOOKUP(E1569,[1]EMPREENDIMENTO!C:C,[1]EMPREENDIMENTO!D:D),"")</f>
        <v>0</v>
      </c>
    </row>
    <row r="1570" spans="1:21" hidden="1" x14ac:dyDescent="0.35">
      <c r="A1570" s="36" t="str">
        <f>IFERROR(_xlfn.XLOOKUP(C1570,[1]DIRETORIA!C:C,[1]DIRETORIA!A:A),"-")</f>
        <v>-</v>
      </c>
      <c r="B1570" s="36" t="str">
        <f>IFERROR(_xlfn.XLOOKUP(C1570,[1]DIRETORIA!C:C,[1]DIRETORIA!B:B),"-")</f>
        <v>-</v>
      </c>
      <c r="C1570" s="36">
        <f>IFERROR(_xlfn.XLOOKUP(E1570,[1]EMPREENDIMENTO!C:C,[1]EMPREENDIMENTO!A:A),"-")</f>
        <v>0</v>
      </c>
      <c r="D1570" s="36"/>
      <c r="E1570" s="36"/>
      <c r="F1570" s="36"/>
      <c r="G1570" s="36"/>
      <c r="H1570" s="36"/>
      <c r="I1570" s="29">
        <f>IFERROR(_xlfn.XLOOKUP(E1570,[1]EMPREENDIMENTO!C:C,[1]EMPREENDIMENTO!E:E),"0")</f>
        <v>0</v>
      </c>
      <c r="J1570" s="31"/>
      <c r="K1570" s="36"/>
      <c r="M1570" s="37"/>
      <c r="N1570" s="37"/>
      <c r="O1570" s="37"/>
      <c r="P1570" s="36"/>
      <c r="Q1570" s="36"/>
      <c r="R1570" s="31"/>
      <c r="S1570" s="31"/>
      <c r="T1570" s="38"/>
      <c r="U1570" s="39">
        <f>IFERROR(_xlfn.XLOOKUP(E1570,[1]EMPREENDIMENTO!C:C,[1]EMPREENDIMENTO!D:D),"")</f>
        <v>0</v>
      </c>
    </row>
    <row r="1571" spans="1:21" hidden="1" x14ac:dyDescent="0.35">
      <c r="A1571" s="36" t="str">
        <f>IFERROR(_xlfn.XLOOKUP(C1571,[1]DIRETORIA!C:C,[1]DIRETORIA!A:A),"-")</f>
        <v>-</v>
      </c>
      <c r="B1571" s="36" t="str">
        <f>IFERROR(_xlfn.XLOOKUP(C1571,[1]DIRETORIA!C:C,[1]DIRETORIA!B:B),"-")</f>
        <v>-</v>
      </c>
      <c r="C1571" s="36">
        <f>IFERROR(_xlfn.XLOOKUP(E1571,[1]EMPREENDIMENTO!C:C,[1]EMPREENDIMENTO!A:A),"-")</f>
        <v>0</v>
      </c>
      <c r="D1571" s="36"/>
      <c r="E1571" s="36"/>
      <c r="F1571" s="36"/>
      <c r="G1571" s="36"/>
      <c r="H1571" s="36"/>
      <c r="I1571" s="29">
        <f>IFERROR(_xlfn.XLOOKUP(E1571,[1]EMPREENDIMENTO!C:C,[1]EMPREENDIMENTO!E:E),"0")</f>
        <v>0</v>
      </c>
      <c r="J1571" s="31"/>
      <c r="K1571" s="36"/>
      <c r="M1571" s="37"/>
      <c r="N1571" s="37"/>
      <c r="O1571" s="37"/>
      <c r="P1571" s="36"/>
      <c r="Q1571" s="36"/>
      <c r="R1571" s="31"/>
      <c r="S1571" s="31"/>
      <c r="T1571" s="38"/>
      <c r="U1571" s="39">
        <f>IFERROR(_xlfn.XLOOKUP(E1571,[1]EMPREENDIMENTO!C:C,[1]EMPREENDIMENTO!D:D),"")</f>
        <v>0</v>
      </c>
    </row>
    <row r="1572" spans="1:21" hidden="1" x14ac:dyDescent="0.35">
      <c r="A1572" s="36" t="str">
        <f>IFERROR(_xlfn.XLOOKUP(C1572,[1]DIRETORIA!C:C,[1]DIRETORIA!A:A),"-")</f>
        <v>-</v>
      </c>
      <c r="B1572" s="36" t="str">
        <f>IFERROR(_xlfn.XLOOKUP(C1572,[1]DIRETORIA!C:C,[1]DIRETORIA!B:B),"-")</f>
        <v>-</v>
      </c>
      <c r="C1572" s="36">
        <f>IFERROR(_xlfn.XLOOKUP(E1572,[1]EMPREENDIMENTO!C:C,[1]EMPREENDIMENTO!A:A),"-")</f>
        <v>0</v>
      </c>
      <c r="D1572" s="36"/>
      <c r="E1572" s="36"/>
      <c r="F1572" s="36"/>
      <c r="G1572" s="36"/>
      <c r="H1572" s="36"/>
      <c r="I1572" s="29">
        <f>IFERROR(_xlfn.XLOOKUP(E1572,[1]EMPREENDIMENTO!C:C,[1]EMPREENDIMENTO!E:E),"0")</f>
        <v>0</v>
      </c>
      <c r="J1572" s="31"/>
      <c r="K1572" s="36"/>
      <c r="M1572" s="37"/>
      <c r="N1572" s="37"/>
      <c r="O1572" s="37"/>
      <c r="P1572" s="36"/>
      <c r="Q1572" s="36"/>
      <c r="R1572" s="31"/>
      <c r="S1572" s="31"/>
      <c r="T1572" s="38"/>
      <c r="U1572" s="39">
        <f>IFERROR(_xlfn.XLOOKUP(E1572,[1]EMPREENDIMENTO!C:C,[1]EMPREENDIMENTO!D:D),"")</f>
        <v>0</v>
      </c>
    </row>
    <row r="1573" spans="1:21" hidden="1" x14ac:dyDescent="0.35">
      <c r="A1573" s="36" t="str">
        <f>IFERROR(_xlfn.XLOOKUP(C1573,[1]DIRETORIA!C:C,[1]DIRETORIA!A:A),"-")</f>
        <v>-</v>
      </c>
      <c r="B1573" s="36" t="str">
        <f>IFERROR(_xlfn.XLOOKUP(C1573,[1]DIRETORIA!C:C,[1]DIRETORIA!B:B),"-")</f>
        <v>-</v>
      </c>
      <c r="C1573" s="36">
        <f>IFERROR(_xlfn.XLOOKUP(E1573,[1]EMPREENDIMENTO!C:C,[1]EMPREENDIMENTO!A:A),"-")</f>
        <v>0</v>
      </c>
      <c r="D1573" s="36"/>
      <c r="E1573" s="36"/>
      <c r="F1573" s="36"/>
      <c r="G1573" s="36"/>
      <c r="H1573" s="36"/>
      <c r="I1573" s="29">
        <f>IFERROR(_xlfn.XLOOKUP(E1573,[1]EMPREENDIMENTO!C:C,[1]EMPREENDIMENTO!E:E),"0")</f>
        <v>0</v>
      </c>
      <c r="J1573" s="31"/>
      <c r="K1573" s="36"/>
      <c r="M1573" s="37"/>
      <c r="N1573" s="37"/>
      <c r="O1573" s="37"/>
      <c r="P1573" s="36"/>
      <c r="Q1573" s="36"/>
      <c r="R1573" s="31"/>
      <c r="S1573" s="31"/>
      <c r="T1573" s="38"/>
      <c r="U1573" s="39">
        <f>IFERROR(_xlfn.XLOOKUP(E1573,[1]EMPREENDIMENTO!C:C,[1]EMPREENDIMENTO!D:D),"")</f>
        <v>0</v>
      </c>
    </row>
    <row r="1574" spans="1:21" hidden="1" x14ac:dyDescent="0.35">
      <c r="A1574" s="36" t="str">
        <f>IFERROR(_xlfn.XLOOKUP(C1574,[1]DIRETORIA!C:C,[1]DIRETORIA!A:A),"-")</f>
        <v>-</v>
      </c>
      <c r="B1574" s="36" t="str">
        <f>IFERROR(_xlfn.XLOOKUP(C1574,[1]DIRETORIA!C:C,[1]DIRETORIA!B:B),"-")</f>
        <v>-</v>
      </c>
      <c r="C1574" s="36">
        <f>IFERROR(_xlfn.XLOOKUP(E1574,[1]EMPREENDIMENTO!C:C,[1]EMPREENDIMENTO!A:A),"-")</f>
        <v>0</v>
      </c>
      <c r="D1574" s="36"/>
      <c r="E1574" s="36"/>
      <c r="F1574" s="36"/>
      <c r="G1574" s="36"/>
      <c r="H1574" s="36"/>
      <c r="I1574" s="29">
        <f>IFERROR(_xlfn.XLOOKUP(E1574,[1]EMPREENDIMENTO!C:C,[1]EMPREENDIMENTO!E:E),"0")</f>
        <v>0</v>
      </c>
      <c r="J1574" s="31"/>
      <c r="K1574" s="36"/>
      <c r="M1574" s="37"/>
      <c r="N1574" s="37"/>
      <c r="O1574" s="37"/>
      <c r="P1574" s="36"/>
      <c r="Q1574" s="36"/>
      <c r="R1574" s="31"/>
      <c r="S1574" s="31"/>
      <c r="T1574" s="38"/>
      <c r="U1574" s="39">
        <f>IFERROR(_xlfn.XLOOKUP(E1574,[1]EMPREENDIMENTO!C:C,[1]EMPREENDIMENTO!D:D),"")</f>
        <v>0</v>
      </c>
    </row>
    <row r="1575" spans="1:21" hidden="1" x14ac:dyDescent="0.35">
      <c r="A1575" s="36" t="str">
        <f>IFERROR(_xlfn.XLOOKUP(C1575,[1]DIRETORIA!C:C,[1]DIRETORIA!A:A),"-")</f>
        <v>-</v>
      </c>
      <c r="B1575" s="36" t="str">
        <f>IFERROR(_xlfn.XLOOKUP(C1575,[1]DIRETORIA!C:C,[1]DIRETORIA!B:B),"-")</f>
        <v>-</v>
      </c>
      <c r="C1575" s="36">
        <f>IFERROR(_xlfn.XLOOKUP(E1575,[1]EMPREENDIMENTO!C:C,[1]EMPREENDIMENTO!A:A),"-")</f>
        <v>0</v>
      </c>
      <c r="D1575" s="36"/>
      <c r="E1575" s="36"/>
      <c r="F1575" s="36"/>
      <c r="G1575" s="36"/>
      <c r="H1575" s="36"/>
      <c r="I1575" s="29">
        <f>IFERROR(_xlfn.XLOOKUP(E1575,[1]EMPREENDIMENTO!C:C,[1]EMPREENDIMENTO!E:E),"0")</f>
        <v>0</v>
      </c>
      <c r="J1575" s="31"/>
      <c r="K1575" s="36"/>
      <c r="M1575" s="37"/>
      <c r="N1575" s="37"/>
      <c r="O1575" s="37"/>
      <c r="P1575" s="36"/>
      <c r="Q1575" s="36"/>
      <c r="R1575" s="31"/>
      <c r="S1575" s="31"/>
      <c r="T1575" s="38"/>
      <c r="U1575" s="39">
        <f>IFERROR(_xlfn.XLOOKUP(E1575,[1]EMPREENDIMENTO!C:C,[1]EMPREENDIMENTO!D:D),"")</f>
        <v>0</v>
      </c>
    </row>
    <row r="1576" spans="1:21" hidden="1" x14ac:dyDescent="0.35">
      <c r="A1576" s="36" t="str">
        <f>IFERROR(_xlfn.XLOOKUP(C1576,[1]DIRETORIA!C:C,[1]DIRETORIA!A:A),"-")</f>
        <v>-</v>
      </c>
      <c r="B1576" s="36" t="str">
        <f>IFERROR(_xlfn.XLOOKUP(C1576,[1]DIRETORIA!C:C,[1]DIRETORIA!B:B),"-")</f>
        <v>-</v>
      </c>
      <c r="C1576" s="36">
        <f>IFERROR(_xlfn.XLOOKUP(E1576,[1]EMPREENDIMENTO!C:C,[1]EMPREENDIMENTO!A:A),"-")</f>
        <v>0</v>
      </c>
      <c r="D1576" s="36"/>
      <c r="E1576" s="36"/>
      <c r="F1576" s="36"/>
      <c r="G1576" s="36"/>
      <c r="H1576" s="36"/>
      <c r="I1576" s="29">
        <f>IFERROR(_xlfn.XLOOKUP(E1576,[1]EMPREENDIMENTO!C:C,[1]EMPREENDIMENTO!E:E),"0")</f>
        <v>0</v>
      </c>
      <c r="J1576" s="31"/>
      <c r="K1576" s="36"/>
      <c r="M1576" s="37"/>
      <c r="N1576" s="37"/>
      <c r="O1576" s="37"/>
      <c r="P1576" s="36"/>
      <c r="Q1576" s="36"/>
      <c r="R1576" s="31"/>
      <c r="S1576" s="31"/>
      <c r="T1576" s="38"/>
      <c r="U1576" s="39">
        <f>IFERROR(_xlfn.XLOOKUP(E1576,[1]EMPREENDIMENTO!C:C,[1]EMPREENDIMENTO!D:D),"")</f>
        <v>0</v>
      </c>
    </row>
    <row r="1577" spans="1:21" hidden="1" x14ac:dyDescent="0.35">
      <c r="A1577" s="36" t="str">
        <f>IFERROR(_xlfn.XLOOKUP(C1577,[1]DIRETORIA!C:C,[1]DIRETORIA!A:A),"-")</f>
        <v>-</v>
      </c>
      <c r="B1577" s="36" t="str">
        <f>IFERROR(_xlfn.XLOOKUP(C1577,[1]DIRETORIA!C:C,[1]DIRETORIA!B:B),"-")</f>
        <v>-</v>
      </c>
      <c r="C1577" s="36">
        <f>IFERROR(_xlfn.XLOOKUP(E1577,[1]EMPREENDIMENTO!C:C,[1]EMPREENDIMENTO!A:A),"-")</f>
        <v>0</v>
      </c>
      <c r="D1577" s="36"/>
      <c r="E1577" s="36"/>
      <c r="F1577" s="36"/>
      <c r="G1577" s="36"/>
      <c r="H1577" s="36"/>
      <c r="I1577" s="29">
        <f>IFERROR(_xlfn.XLOOKUP(E1577,[1]EMPREENDIMENTO!C:C,[1]EMPREENDIMENTO!E:E),"0")</f>
        <v>0</v>
      </c>
      <c r="J1577" s="31"/>
      <c r="K1577" s="36"/>
      <c r="M1577" s="37"/>
      <c r="N1577" s="37"/>
      <c r="O1577" s="37"/>
      <c r="P1577" s="36"/>
      <c r="Q1577" s="36"/>
      <c r="R1577" s="31"/>
      <c r="S1577" s="31"/>
      <c r="T1577" s="38"/>
      <c r="U1577" s="39">
        <f>IFERROR(_xlfn.XLOOKUP(E1577,[1]EMPREENDIMENTO!C:C,[1]EMPREENDIMENTO!D:D),"")</f>
        <v>0</v>
      </c>
    </row>
    <row r="1578" spans="1:21" hidden="1" x14ac:dyDescent="0.35">
      <c r="A1578" s="36" t="str">
        <f>IFERROR(_xlfn.XLOOKUP(C1578,[1]DIRETORIA!C:C,[1]DIRETORIA!A:A),"-")</f>
        <v>-</v>
      </c>
      <c r="B1578" s="36" t="str">
        <f>IFERROR(_xlfn.XLOOKUP(C1578,[1]DIRETORIA!C:C,[1]DIRETORIA!B:B),"-")</f>
        <v>-</v>
      </c>
      <c r="C1578" s="36">
        <f>IFERROR(_xlfn.XLOOKUP(E1578,[1]EMPREENDIMENTO!C:C,[1]EMPREENDIMENTO!A:A),"-")</f>
        <v>0</v>
      </c>
      <c r="D1578" s="36"/>
      <c r="E1578" s="36"/>
      <c r="F1578" s="36"/>
      <c r="G1578" s="36"/>
      <c r="H1578" s="36"/>
      <c r="I1578" s="29">
        <f>IFERROR(_xlfn.XLOOKUP(E1578,[1]EMPREENDIMENTO!C:C,[1]EMPREENDIMENTO!E:E),"0")</f>
        <v>0</v>
      </c>
      <c r="J1578" s="31"/>
      <c r="K1578" s="36"/>
      <c r="M1578" s="37"/>
      <c r="N1578" s="37"/>
      <c r="O1578" s="37"/>
      <c r="P1578" s="36"/>
      <c r="Q1578" s="36"/>
      <c r="R1578" s="31"/>
      <c r="S1578" s="31"/>
      <c r="T1578" s="38"/>
      <c r="U1578" s="39">
        <f>IFERROR(_xlfn.XLOOKUP(E1578,[1]EMPREENDIMENTO!C:C,[1]EMPREENDIMENTO!D:D),"")</f>
        <v>0</v>
      </c>
    </row>
    <row r="1579" spans="1:21" hidden="1" x14ac:dyDescent="0.35">
      <c r="A1579" s="36" t="str">
        <f>IFERROR(_xlfn.XLOOKUP(C1579,[1]DIRETORIA!C:C,[1]DIRETORIA!A:A),"-")</f>
        <v>-</v>
      </c>
      <c r="B1579" s="36" t="str">
        <f>IFERROR(_xlfn.XLOOKUP(C1579,[1]DIRETORIA!C:C,[1]DIRETORIA!B:B),"-")</f>
        <v>-</v>
      </c>
      <c r="C1579" s="36">
        <f>IFERROR(_xlfn.XLOOKUP(E1579,[1]EMPREENDIMENTO!C:C,[1]EMPREENDIMENTO!A:A),"-")</f>
        <v>0</v>
      </c>
      <c r="D1579" s="36"/>
      <c r="E1579" s="36"/>
      <c r="F1579" s="36"/>
      <c r="G1579" s="36"/>
      <c r="H1579" s="36"/>
      <c r="I1579" s="29">
        <f>IFERROR(_xlfn.XLOOKUP(E1579,[1]EMPREENDIMENTO!C:C,[1]EMPREENDIMENTO!E:E),"0")</f>
        <v>0</v>
      </c>
      <c r="J1579" s="31"/>
      <c r="K1579" s="36"/>
      <c r="M1579" s="37"/>
      <c r="N1579" s="37"/>
      <c r="O1579" s="37"/>
      <c r="P1579" s="36"/>
      <c r="Q1579" s="36"/>
      <c r="R1579" s="31"/>
      <c r="S1579" s="31"/>
      <c r="T1579" s="38"/>
      <c r="U1579" s="39">
        <f>IFERROR(_xlfn.XLOOKUP(E1579,[1]EMPREENDIMENTO!C:C,[1]EMPREENDIMENTO!D:D),"")</f>
        <v>0</v>
      </c>
    </row>
    <row r="1580" spans="1:21" hidden="1" x14ac:dyDescent="0.35">
      <c r="A1580" s="36" t="str">
        <f>IFERROR(_xlfn.XLOOKUP(C1580,[1]DIRETORIA!C:C,[1]DIRETORIA!A:A),"-")</f>
        <v>-</v>
      </c>
      <c r="B1580" s="36" t="str">
        <f>IFERROR(_xlfn.XLOOKUP(C1580,[1]DIRETORIA!C:C,[1]DIRETORIA!B:B),"-")</f>
        <v>-</v>
      </c>
      <c r="C1580" s="36">
        <f>IFERROR(_xlfn.XLOOKUP(E1580,[1]EMPREENDIMENTO!C:C,[1]EMPREENDIMENTO!A:A),"-")</f>
        <v>0</v>
      </c>
      <c r="D1580" s="36"/>
      <c r="E1580" s="36"/>
      <c r="F1580" s="36"/>
      <c r="G1580" s="36"/>
      <c r="H1580" s="36"/>
      <c r="I1580" s="29">
        <f>IFERROR(_xlfn.XLOOKUP(E1580,[1]EMPREENDIMENTO!C:C,[1]EMPREENDIMENTO!E:E),"0")</f>
        <v>0</v>
      </c>
      <c r="J1580" s="31"/>
      <c r="K1580" s="36"/>
      <c r="M1580" s="37"/>
      <c r="N1580" s="37"/>
      <c r="O1580" s="37"/>
      <c r="P1580" s="36"/>
      <c r="Q1580" s="36"/>
      <c r="R1580" s="31"/>
      <c r="S1580" s="31"/>
      <c r="T1580" s="38"/>
      <c r="U1580" s="39">
        <f>IFERROR(_xlfn.XLOOKUP(E1580,[1]EMPREENDIMENTO!C:C,[1]EMPREENDIMENTO!D:D),"")</f>
        <v>0</v>
      </c>
    </row>
    <row r="1581" spans="1:21" hidden="1" x14ac:dyDescent="0.35">
      <c r="A1581" s="36" t="str">
        <f>IFERROR(_xlfn.XLOOKUP(C1581,[1]DIRETORIA!C:C,[1]DIRETORIA!A:A),"-")</f>
        <v>-</v>
      </c>
      <c r="B1581" s="36" t="str">
        <f>IFERROR(_xlfn.XLOOKUP(C1581,[1]DIRETORIA!C:C,[1]DIRETORIA!B:B),"-")</f>
        <v>-</v>
      </c>
      <c r="C1581" s="36">
        <f>IFERROR(_xlfn.XLOOKUP(E1581,[1]EMPREENDIMENTO!C:C,[1]EMPREENDIMENTO!A:A),"-")</f>
        <v>0</v>
      </c>
      <c r="D1581" s="36"/>
      <c r="E1581" s="36"/>
      <c r="F1581" s="36"/>
      <c r="G1581" s="36"/>
      <c r="H1581" s="36"/>
      <c r="I1581" s="29">
        <f>IFERROR(_xlfn.XLOOKUP(E1581,[1]EMPREENDIMENTO!C:C,[1]EMPREENDIMENTO!E:E),"0")</f>
        <v>0</v>
      </c>
      <c r="J1581" s="31"/>
      <c r="K1581" s="36"/>
      <c r="M1581" s="37"/>
      <c r="N1581" s="37"/>
      <c r="O1581" s="37"/>
      <c r="P1581" s="36"/>
      <c r="Q1581" s="36"/>
      <c r="R1581" s="31"/>
      <c r="S1581" s="31"/>
      <c r="T1581" s="38"/>
      <c r="U1581" s="39">
        <f>IFERROR(_xlfn.XLOOKUP(E1581,[1]EMPREENDIMENTO!C:C,[1]EMPREENDIMENTO!D:D),"")</f>
        <v>0</v>
      </c>
    </row>
    <row r="1582" spans="1:21" hidden="1" x14ac:dyDescent="0.35">
      <c r="A1582" s="36" t="str">
        <f>IFERROR(_xlfn.XLOOKUP(C1582,[1]DIRETORIA!C:C,[1]DIRETORIA!A:A),"-")</f>
        <v>-</v>
      </c>
      <c r="B1582" s="36" t="str">
        <f>IFERROR(_xlfn.XLOOKUP(C1582,[1]DIRETORIA!C:C,[1]DIRETORIA!B:B),"-")</f>
        <v>-</v>
      </c>
      <c r="C1582" s="36">
        <f>IFERROR(_xlfn.XLOOKUP(E1582,[1]EMPREENDIMENTO!C:C,[1]EMPREENDIMENTO!A:A),"-")</f>
        <v>0</v>
      </c>
      <c r="D1582" s="36"/>
      <c r="E1582" s="36"/>
      <c r="F1582" s="36"/>
      <c r="G1582" s="36"/>
      <c r="H1582" s="36"/>
      <c r="I1582" s="29">
        <f>IFERROR(_xlfn.XLOOKUP(E1582,[1]EMPREENDIMENTO!C:C,[1]EMPREENDIMENTO!E:E),"0")</f>
        <v>0</v>
      </c>
      <c r="J1582" s="31"/>
      <c r="K1582" s="36"/>
      <c r="M1582" s="37"/>
      <c r="N1582" s="37"/>
      <c r="O1582" s="37"/>
      <c r="P1582" s="36"/>
      <c r="Q1582" s="36"/>
      <c r="R1582" s="31"/>
      <c r="S1582" s="31"/>
      <c r="T1582" s="38"/>
      <c r="U1582" s="39">
        <f>IFERROR(_xlfn.XLOOKUP(E1582,[1]EMPREENDIMENTO!C:C,[1]EMPREENDIMENTO!D:D),"")</f>
        <v>0</v>
      </c>
    </row>
    <row r="1583" spans="1:21" hidden="1" x14ac:dyDescent="0.35">
      <c r="A1583" s="36" t="str">
        <f>IFERROR(_xlfn.XLOOKUP(C1583,[1]DIRETORIA!C:C,[1]DIRETORIA!A:A),"-")</f>
        <v>-</v>
      </c>
      <c r="B1583" s="36" t="str">
        <f>IFERROR(_xlfn.XLOOKUP(C1583,[1]DIRETORIA!C:C,[1]DIRETORIA!B:B),"-")</f>
        <v>-</v>
      </c>
      <c r="C1583" s="36">
        <f>IFERROR(_xlfn.XLOOKUP(E1583,[1]EMPREENDIMENTO!C:C,[1]EMPREENDIMENTO!A:A),"-")</f>
        <v>0</v>
      </c>
      <c r="D1583" s="36"/>
      <c r="E1583" s="36"/>
      <c r="F1583" s="36"/>
      <c r="G1583" s="36"/>
      <c r="H1583" s="36"/>
      <c r="I1583" s="29">
        <f>IFERROR(_xlfn.XLOOKUP(E1583,[1]EMPREENDIMENTO!C:C,[1]EMPREENDIMENTO!E:E),"0")</f>
        <v>0</v>
      </c>
      <c r="J1583" s="31"/>
      <c r="K1583" s="36"/>
      <c r="M1583" s="37"/>
      <c r="N1583" s="37"/>
      <c r="O1583" s="37"/>
      <c r="P1583" s="36"/>
      <c r="Q1583" s="36"/>
      <c r="R1583" s="31"/>
      <c r="S1583" s="31"/>
      <c r="T1583" s="38"/>
      <c r="U1583" s="39">
        <f>IFERROR(_xlfn.XLOOKUP(E1583,[1]EMPREENDIMENTO!C:C,[1]EMPREENDIMENTO!D:D),"")</f>
        <v>0</v>
      </c>
    </row>
    <row r="1584" spans="1:21" hidden="1" x14ac:dyDescent="0.35">
      <c r="A1584" s="36" t="str">
        <f>IFERROR(_xlfn.XLOOKUP(C1584,[1]DIRETORIA!C:C,[1]DIRETORIA!A:A),"-")</f>
        <v>-</v>
      </c>
      <c r="B1584" s="36" t="str">
        <f>IFERROR(_xlfn.XLOOKUP(C1584,[1]DIRETORIA!C:C,[1]DIRETORIA!B:B),"-")</f>
        <v>-</v>
      </c>
      <c r="C1584" s="36">
        <f>IFERROR(_xlfn.XLOOKUP(E1584,[1]EMPREENDIMENTO!C:C,[1]EMPREENDIMENTO!A:A),"-")</f>
        <v>0</v>
      </c>
      <c r="D1584" s="36"/>
      <c r="E1584" s="36"/>
      <c r="F1584" s="36"/>
      <c r="G1584" s="36"/>
      <c r="H1584" s="36"/>
      <c r="I1584" s="29">
        <f>IFERROR(_xlfn.XLOOKUP(E1584,[1]EMPREENDIMENTO!C:C,[1]EMPREENDIMENTO!E:E),"0")</f>
        <v>0</v>
      </c>
      <c r="J1584" s="31"/>
      <c r="K1584" s="36"/>
      <c r="M1584" s="37"/>
      <c r="N1584" s="37"/>
      <c r="O1584" s="37"/>
      <c r="P1584" s="36"/>
      <c r="Q1584" s="36"/>
      <c r="R1584" s="31"/>
      <c r="S1584" s="31"/>
      <c r="T1584" s="38"/>
      <c r="U1584" s="39">
        <f>IFERROR(_xlfn.XLOOKUP(E1584,[1]EMPREENDIMENTO!C:C,[1]EMPREENDIMENTO!D:D),"")</f>
        <v>0</v>
      </c>
    </row>
    <row r="1585" spans="1:21" hidden="1" x14ac:dyDescent="0.35">
      <c r="A1585" s="36" t="str">
        <f>IFERROR(_xlfn.XLOOKUP(C1585,[1]DIRETORIA!C:C,[1]DIRETORIA!A:A),"-")</f>
        <v>-</v>
      </c>
      <c r="B1585" s="36" t="str">
        <f>IFERROR(_xlfn.XLOOKUP(C1585,[1]DIRETORIA!C:C,[1]DIRETORIA!B:B),"-")</f>
        <v>-</v>
      </c>
      <c r="C1585" s="36">
        <f>IFERROR(_xlfn.XLOOKUP(E1585,[1]EMPREENDIMENTO!C:C,[1]EMPREENDIMENTO!A:A),"-")</f>
        <v>0</v>
      </c>
      <c r="D1585" s="36"/>
      <c r="E1585" s="36"/>
      <c r="F1585" s="36"/>
      <c r="G1585" s="36"/>
      <c r="H1585" s="36"/>
      <c r="I1585" s="29">
        <f>IFERROR(_xlfn.XLOOKUP(E1585,[1]EMPREENDIMENTO!C:C,[1]EMPREENDIMENTO!E:E),"0")</f>
        <v>0</v>
      </c>
      <c r="J1585" s="31"/>
      <c r="K1585" s="36"/>
      <c r="M1585" s="37"/>
      <c r="N1585" s="37"/>
      <c r="O1585" s="37"/>
      <c r="P1585" s="36"/>
      <c r="Q1585" s="36"/>
      <c r="R1585" s="31"/>
      <c r="S1585" s="31"/>
      <c r="T1585" s="38"/>
      <c r="U1585" s="39">
        <f>IFERROR(_xlfn.XLOOKUP(E1585,[1]EMPREENDIMENTO!C:C,[1]EMPREENDIMENTO!D:D),"")</f>
        <v>0</v>
      </c>
    </row>
    <row r="1586" spans="1:21" hidden="1" x14ac:dyDescent="0.35">
      <c r="A1586" s="36" t="str">
        <f>IFERROR(_xlfn.XLOOKUP(C1586,[1]DIRETORIA!C:C,[1]DIRETORIA!A:A),"-")</f>
        <v>-</v>
      </c>
      <c r="B1586" s="36" t="str">
        <f>IFERROR(_xlfn.XLOOKUP(C1586,[1]DIRETORIA!C:C,[1]DIRETORIA!B:B),"-")</f>
        <v>-</v>
      </c>
      <c r="C1586" s="36">
        <f>IFERROR(_xlfn.XLOOKUP(E1586,[1]EMPREENDIMENTO!C:C,[1]EMPREENDIMENTO!A:A),"-")</f>
        <v>0</v>
      </c>
      <c r="D1586" s="36"/>
      <c r="E1586" s="36"/>
      <c r="F1586" s="36"/>
      <c r="G1586" s="36"/>
      <c r="H1586" s="36"/>
      <c r="I1586" s="29">
        <f>IFERROR(_xlfn.XLOOKUP(E1586,[1]EMPREENDIMENTO!C:C,[1]EMPREENDIMENTO!E:E),"0")</f>
        <v>0</v>
      </c>
      <c r="J1586" s="31"/>
      <c r="K1586" s="36"/>
      <c r="M1586" s="37"/>
      <c r="N1586" s="37"/>
      <c r="O1586" s="37"/>
      <c r="P1586" s="36"/>
      <c r="Q1586" s="36"/>
      <c r="R1586" s="31"/>
      <c r="S1586" s="31"/>
      <c r="T1586" s="38"/>
      <c r="U1586" s="39">
        <f>IFERROR(_xlfn.XLOOKUP(E1586,[1]EMPREENDIMENTO!C:C,[1]EMPREENDIMENTO!D:D),"")</f>
        <v>0</v>
      </c>
    </row>
    <row r="1587" spans="1:21" hidden="1" x14ac:dyDescent="0.35">
      <c r="A1587" s="36" t="str">
        <f>IFERROR(_xlfn.XLOOKUP(C1587,[1]DIRETORIA!C:C,[1]DIRETORIA!A:A),"-")</f>
        <v>-</v>
      </c>
      <c r="B1587" s="36" t="str">
        <f>IFERROR(_xlfn.XLOOKUP(C1587,[1]DIRETORIA!C:C,[1]DIRETORIA!B:B),"-")</f>
        <v>-</v>
      </c>
      <c r="C1587" s="36">
        <f>IFERROR(_xlfn.XLOOKUP(E1587,[1]EMPREENDIMENTO!C:C,[1]EMPREENDIMENTO!A:A),"-")</f>
        <v>0</v>
      </c>
      <c r="D1587" s="36"/>
      <c r="E1587" s="36"/>
      <c r="F1587" s="36"/>
      <c r="G1587" s="36"/>
      <c r="H1587" s="36"/>
      <c r="I1587" s="29">
        <f>IFERROR(_xlfn.XLOOKUP(E1587,[1]EMPREENDIMENTO!C:C,[1]EMPREENDIMENTO!E:E),"0")</f>
        <v>0</v>
      </c>
      <c r="J1587" s="31"/>
      <c r="K1587" s="36"/>
      <c r="M1587" s="37"/>
      <c r="N1587" s="37"/>
      <c r="O1587" s="37"/>
      <c r="P1587" s="36"/>
      <c r="Q1587" s="36"/>
      <c r="R1587" s="31"/>
      <c r="S1587" s="31"/>
      <c r="T1587" s="38"/>
      <c r="U1587" s="39">
        <f>IFERROR(_xlfn.XLOOKUP(E1587,[1]EMPREENDIMENTO!C:C,[1]EMPREENDIMENTO!D:D),"")</f>
        <v>0</v>
      </c>
    </row>
    <row r="1588" spans="1:21" hidden="1" x14ac:dyDescent="0.35">
      <c r="A1588" s="36" t="str">
        <f>IFERROR(_xlfn.XLOOKUP(C1588,[1]DIRETORIA!C:C,[1]DIRETORIA!A:A),"-")</f>
        <v>-</v>
      </c>
      <c r="B1588" s="36" t="str">
        <f>IFERROR(_xlfn.XLOOKUP(C1588,[1]DIRETORIA!C:C,[1]DIRETORIA!B:B),"-")</f>
        <v>-</v>
      </c>
      <c r="C1588" s="36">
        <f>IFERROR(_xlfn.XLOOKUP(E1588,[1]EMPREENDIMENTO!C:C,[1]EMPREENDIMENTO!A:A),"-")</f>
        <v>0</v>
      </c>
      <c r="D1588" s="36"/>
      <c r="E1588" s="36"/>
      <c r="F1588" s="36"/>
      <c r="G1588" s="36"/>
      <c r="H1588" s="36"/>
      <c r="I1588" s="29">
        <f>IFERROR(_xlfn.XLOOKUP(E1588,[1]EMPREENDIMENTO!C:C,[1]EMPREENDIMENTO!E:E),"0")</f>
        <v>0</v>
      </c>
      <c r="J1588" s="31"/>
      <c r="K1588" s="36"/>
      <c r="M1588" s="37"/>
      <c r="N1588" s="37"/>
      <c r="O1588" s="37"/>
      <c r="P1588" s="36"/>
      <c r="Q1588" s="36"/>
      <c r="R1588" s="31"/>
      <c r="S1588" s="31"/>
      <c r="T1588" s="38"/>
      <c r="U1588" s="39">
        <f>IFERROR(_xlfn.XLOOKUP(E1588,[1]EMPREENDIMENTO!C:C,[1]EMPREENDIMENTO!D:D),"")</f>
        <v>0</v>
      </c>
    </row>
    <row r="1589" spans="1:21" hidden="1" x14ac:dyDescent="0.35">
      <c r="A1589" s="36" t="str">
        <f>IFERROR(_xlfn.XLOOKUP(C1589,[1]DIRETORIA!C:C,[1]DIRETORIA!A:A),"-")</f>
        <v>-</v>
      </c>
      <c r="B1589" s="36" t="str">
        <f>IFERROR(_xlfn.XLOOKUP(C1589,[1]DIRETORIA!C:C,[1]DIRETORIA!B:B),"-")</f>
        <v>-</v>
      </c>
      <c r="C1589" s="36">
        <f>IFERROR(_xlfn.XLOOKUP(E1589,[1]EMPREENDIMENTO!C:C,[1]EMPREENDIMENTO!A:A),"-")</f>
        <v>0</v>
      </c>
      <c r="D1589" s="36"/>
      <c r="E1589" s="36"/>
      <c r="F1589" s="36"/>
      <c r="G1589" s="36"/>
      <c r="H1589" s="36"/>
      <c r="I1589" s="29">
        <f>IFERROR(_xlfn.XLOOKUP(E1589,[1]EMPREENDIMENTO!C:C,[1]EMPREENDIMENTO!E:E),"0")</f>
        <v>0</v>
      </c>
      <c r="J1589" s="31"/>
      <c r="K1589" s="36"/>
      <c r="M1589" s="37"/>
      <c r="N1589" s="37"/>
      <c r="O1589" s="37"/>
      <c r="P1589" s="36"/>
      <c r="Q1589" s="36"/>
      <c r="R1589" s="31"/>
      <c r="S1589" s="31"/>
      <c r="T1589" s="38"/>
      <c r="U1589" s="39">
        <f>IFERROR(_xlfn.XLOOKUP(E1589,[1]EMPREENDIMENTO!C:C,[1]EMPREENDIMENTO!D:D),"")</f>
        <v>0</v>
      </c>
    </row>
    <row r="1590" spans="1:21" hidden="1" x14ac:dyDescent="0.35">
      <c r="A1590" s="36" t="str">
        <f>IFERROR(_xlfn.XLOOKUP(C1590,[1]DIRETORIA!C:C,[1]DIRETORIA!A:A),"-")</f>
        <v>-</v>
      </c>
      <c r="B1590" s="36" t="str">
        <f>IFERROR(_xlfn.XLOOKUP(C1590,[1]DIRETORIA!C:C,[1]DIRETORIA!B:B),"-")</f>
        <v>-</v>
      </c>
      <c r="C1590" s="36">
        <f>IFERROR(_xlfn.XLOOKUP(E1590,[1]EMPREENDIMENTO!C:C,[1]EMPREENDIMENTO!A:A),"-")</f>
        <v>0</v>
      </c>
      <c r="D1590" s="36"/>
      <c r="E1590" s="36"/>
      <c r="F1590" s="36"/>
      <c r="G1590" s="36"/>
      <c r="H1590" s="36"/>
      <c r="I1590" s="29">
        <f>IFERROR(_xlfn.XLOOKUP(E1590,[1]EMPREENDIMENTO!C:C,[1]EMPREENDIMENTO!E:E),"0")</f>
        <v>0</v>
      </c>
      <c r="J1590" s="31"/>
      <c r="K1590" s="36"/>
      <c r="M1590" s="37"/>
      <c r="N1590" s="37"/>
      <c r="O1590" s="37"/>
      <c r="P1590" s="36"/>
      <c r="Q1590" s="36"/>
      <c r="R1590" s="31"/>
      <c r="S1590" s="31"/>
      <c r="T1590" s="38"/>
      <c r="U1590" s="39">
        <f>IFERROR(_xlfn.XLOOKUP(E1590,[1]EMPREENDIMENTO!C:C,[1]EMPREENDIMENTO!D:D),"")</f>
        <v>0</v>
      </c>
    </row>
    <row r="1591" spans="1:21" hidden="1" x14ac:dyDescent="0.35">
      <c r="A1591" s="36" t="str">
        <f>IFERROR(_xlfn.XLOOKUP(C1591,[1]DIRETORIA!C:C,[1]DIRETORIA!A:A),"-")</f>
        <v>-</v>
      </c>
      <c r="B1591" s="36" t="str">
        <f>IFERROR(_xlfn.XLOOKUP(C1591,[1]DIRETORIA!C:C,[1]DIRETORIA!B:B),"-")</f>
        <v>-</v>
      </c>
      <c r="C1591" s="36">
        <f>IFERROR(_xlfn.XLOOKUP(E1591,[1]EMPREENDIMENTO!C:C,[1]EMPREENDIMENTO!A:A),"-")</f>
        <v>0</v>
      </c>
      <c r="D1591" s="36"/>
      <c r="E1591" s="36"/>
      <c r="F1591" s="36"/>
      <c r="G1591" s="36"/>
      <c r="H1591" s="36"/>
      <c r="I1591" s="29">
        <f>IFERROR(_xlfn.XLOOKUP(E1591,[1]EMPREENDIMENTO!C:C,[1]EMPREENDIMENTO!E:E),"0")</f>
        <v>0</v>
      </c>
      <c r="J1591" s="31"/>
      <c r="K1591" s="36"/>
      <c r="M1591" s="37"/>
      <c r="N1591" s="37"/>
      <c r="O1591" s="37"/>
      <c r="P1591" s="36"/>
      <c r="Q1591" s="36"/>
      <c r="R1591" s="31"/>
      <c r="S1591" s="31"/>
      <c r="T1591" s="38"/>
      <c r="U1591" s="39">
        <f>IFERROR(_xlfn.XLOOKUP(E1591,[1]EMPREENDIMENTO!C:C,[1]EMPREENDIMENTO!D:D),"")</f>
        <v>0</v>
      </c>
    </row>
    <row r="1592" spans="1:21" hidden="1" x14ac:dyDescent="0.35">
      <c r="A1592" s="36" t="str">
        <f>IFERROR(_xlfn.XLOOKUP(C1592,[1]DIRETORIA!C:C,[1]DIRETORIA!A:A),"-")</f>
        <v>-</v>
      </c>
      <c r="B1592" s="36" t="str">
        <f>IFERROR(_xlfn.XLOOKUP(C1592,[1]DIRETORIA!C:C,[1]DIRETORIA!B:B),"-")</f>
        <v>-</v>
      </c>
      <c r="C1592" s="36">
        <f>IFERROR(_xlfn.XLOOKUP(E1592,[1]EMPREENDIMENTO!C:C,[1]EMPREENDIMENTO!A:A),"-")</f>
        <v>0</v>
      </c>
      <c r="D1592" s="36"/>
      <c r="E1592" s="36"/>
      <c r="F1592" s="36"/>
      <c r="G1592" s="36"/>
      <c r="H1592" s="36"/>
      <c r="I1592" s="29">
        <f>IFERROR(_xlfn.XLOOKUP(E1592,[1]EMPREENDIMENTO!C:C,[1]EMPREENDIMENTO!E:E),"0")</f>
        <v>0</v>
      </c>
      <c r="J1592" s="31"/>
      <c r="K1592" s="36"/>
      <c r="M1592" s="37"/>
      <c r="N1592" s="37"/>
      <c r="O1592" s="37"/>
      <c r="P1592" s="36"/>
      <c r="Q1592" s="36"/>
      <c r="R1592" s="31"/>
      <c r="S1592" s="31"/>
      <c r="T1592" s="38"/>
      <c r="U1592" s="39">
        <f>IFERROR(_xlfn.XLOOKUP(E1592,[1]EMPREENDIMENTO!C:C,[1]EMPREENDIMENTO!D:D),"")</f>
        <v>0</v>
      </c>
    </row>
    <row r="1593" spans="1:21" hidden="1" x14ac:dyDescent="0.35">
      <c r="A1593" s="36" t="str">
        <f>IFERROR(_xlfn.XLOOKUP(C1593,[1]DIRETORIA!C:C,[1]DIRETORIA!A:A),"-")</f>
        <v>-</v>
      </c>
      <c r="B1593" s="36" t="str">
        <f>IFERROR(_xlfn.XLOOKUP(C1593,[1]DIRETORIA!C:C,[1]DIRETORIA!B:B),"-")</f>
        <v>-</v>
      </c>
      <c r="C1593" s="36">
        <f>IFERROR(_xlfn.XLOOKUP(E1593,[1]EMPREENDIMENTO!C:C,[1]EMPREENDIMENTO!A:A),"-")</f>
        <v>0</v>
      </c>
      <c r="D1593" s="36"/>
      <c r="E1593" s="36"/>
      <c r="F1593" s="36"/>
      <c r="G1593" s="36"/>
      <c r="H1593" s="36"/>
      <c r="I1593" s="29">
        <f>IFERROR(_xlfn.XLOOKUP(E1593,[1]EMPREENDIMENTO!C:C,[1]EMPREENDIMENTO!E:E),"0")</f>
        <v>0</v>
      </c>
      <c r="J1593" s="31"/>
      <c r="K1593" s="36"/>
      <c r="M1593" s="37"/>
      <c r="N1593" s="37"/>
      <c r="O1593" s="37"/>
      <c r="P1593" s="36"/>
      <c r="Q1593" s="36"/>
      <c r="R1593" s="31"/>
      <c r="S1593" s="31"/>
      <c r="T1593" s="38"/>
      <c r="U1593" s="39">
        <f>IFERROR(_xlfn.XLOOKUP(E1593,[1]EMPREENDIMENTO!C:C,[1]EMPREENDIMENTO!D:D),"")</f>
        <v>0</v>
      </c>
    </row>
    <row r="1594" spans="1:21" hidden="1" x14ac:dyDescent="0.35">
      <c r="A1594" s="36" t="str">
        <f>IFERROR(_xlfn.XLOOKUP(C1594,[1]DIRETORIA!C:C,[1]DIRETORIA!A:A),"-")</f>
        <v>-</v>
      </c>
      <c r="B1594" s="36" t="str">
        <f>IFERROR(_xlfn.XLOOKUP(C1594,[1]DIRETORIA!C:C,[1]DIRETORIA!B:B),"-")</f>
        <v>-</v>
      </c>
      <c r="C1594" s="36">
        <f>IFERROR(_xlfn.XLOOKUP(E1594,[1]EMPREENDIMENTO!C:C,[1]EMPREENDIMENTO!A:A),"-")</f>
        <v>0</v>
      </c>
      <c r="D1594" s="36"/>
      <c r="E1594" s="36"/>
      <c r="F1594" s="36"/>
      <c r="G1594" s="36"/>
      <c r="H1594" s="36"/>
      <c r="I1594" s="29">
        <f>IFERROR(_xlfn.XLOOKUP(E1594,[1]EMPREENDIMENTO!C:C,[1]EMPREENDIMENTO!E:E),"0")</f>
        <v>0</v>
      </c>
      <c r="J1594" s="31"/>
      <c r="K1594" s="36"/>
      <c r="M1594" s="37"/>
      <c r="N1594" s="37"/>
      <c r="O1594" s="37"/>
      <c r="P1594" s="36"/>
      <c r="Q1594" s="36"/>
      <c r="R1594" s="31"/>
      <c r="S1594" s="31"/>
      <c r="T1594" s="38"/>
      <c r="U1594" s="39">
        <f>IFERROR(_xlfn.XLOOKUP(E1594,[1]EMPREENDIMENTO!C:C,[1]EMPREENDIMENTO!D:D),"")</f>
        <v>0</v>
      </c>
    </row>
    <row r="1595" spans="1:21" hidden="1" x14ac:dyDescent="0.35">
      <c r="A1595" s="36" t="str">
        <f>IFERROR(_xlfn.XLOOKUP(C1595,[1]DIRETORIA!C:C,[1]DIRETORIA!A:A),"-")</f>
        <v>-</v>
      </c>
      <c r="B1595" s="36" t="str">
        <f>IFERROR(_xlfn.XLOOKUP(C1595,[1]DIRETORIA!C:C,[1]DIRETORIA!B:B),"-")</f>
        <v>-</v>
      </c>
      <c r="C1595" s="36">
        <f>IFERROR(_xlfn.XLOOKUP(E1595,[1]EMPREENDIMENTO!C:C,[1]EMPREENDIMENTO!A:A),"-")</f>
        <v>0</v>
      </c>
      <c r="D1595" s="36"/>
      <c r="E1595" s="36"/>
      <c r="F1595" s="36"/>
      <c r="G1595" s="36"/>
      <c r="H1595" s="36"/>
      <c r="I1595" s="29">
        <f>IFERROR(_xlfn.XLOOKUP(E1595,[1]EMPREENDIMENTO!C:C,[1]EMPREENDIMENTO!E:E),"0")</f>
        <v>0</v>
      </c>
      <c r="J1595" s="31"/>
      <c r="K1595" s="36"/>
      <c r="M1595" s="37"/>
      <c r="N1595" s="37"/>
      <c r="O1595" s="37"/>
      <c r="P1595" s="36"/>
      <c r="Q1595" s="36"/>
      <c r="R1595" s="31"/>
      <c r="S1595" s="31"/>
      <c r="T1595" s="38"/>
      <c r="U1595" s="39">
        <f>IFERROR(_xlfn.XLOOKUP(E1595,[1]EMPREENDIMENTO!C:C,[1]EMPREENDIMENTO!D:D),"")</f>
        <v>0</v>
      </c>
    </row>
    <row r="1596" spans="1:21" hidden="1" x14ac:dyDescent="0.35">
      <c r="A1596" s="36" t="str">
        <f>IFERROR(_xlfn.XLOOKUP(C1596,[1]DIRETORIA!C:C,[1]DIRETORIA!A:A),"-")</f>
        <v>-</v>
      </c>
      <c r="B1596" s="36" t="str">
        <f>IFERROR(_xlfn.XLOOKUP(C1596,[1]DIRETORIA!C:C,[1]DIRETORIA!B:B),"-")</f>
        <v>-</v>
      </c>
      <c r="C1596" s="36">
        <f>IFERROR(_xlfn.XLOOKUP(E1596,[1]EMPREENDIMENTO!C:C,[1]EMPREENDIMENTO!A:A),"-")</f>
        <v>0</v>
      </c>
      <c r="D1596" s="36"/>
      <c r="E1596" s="36"/>
      <c r="F1596" s="36"/>
      <c r="G1596" s="36"/>
      <c r="H1596" s="36"/>
      <c r="I1596" s="29">
        <f>IFERROR(_xlfn.XLOOKUP(E1596,[1]EMPREENDIMENTO!C:C,[1]EMPREENDIMENTO!E:E),"0")</f>
        <v>0</v>
      </c>
      <c r="J1596" s="31"/>
      <c r="K1596" s="36"/>
      <c r="M1596" s="37"/>
      <c r="N1596" s="37"/>
      <c r="O1596" s="37"/>
      <c r="P1596" s="36"/>
      <c r="Q1596" s="36"/>
      <c r="R1596" s="31"/>
      <c r="S1596" s="31"/>
      <c r="T1596" s="38"/>
      <c r="U1596" s="39">
        <f>IFERROR(_xlfn.XLOOKUP(E1596,[1]EMPREENDIMENTO!C:C,[1]EMPREENDIMENTO!D:D),"")</f>
        <v>0</v>
      </c>
    </row>
    <row r="1597" spans="1:21" hidden="1" x14ac:dyDescent="0.35">
      <c r="A1597" s="36" t="str">
        <f>IFERROR(_xlfn.XLOOKUP(C1597,[1]DIRETORIA!C:C,[1]DIRETORIA!A:A),"-")</f>
        <v>-</v>
      </c>
      <c r="B1597" s="36" t="str">
        <f>IFERROR(_xlfn.XLOOKUP(C1597,[1]DIRETORIA!C:C,[1]DIRETORIA!B:B),"-")</f>
        <v>-</v>
      </c>
      <c r="C1597" s="36">
        <f>IFERROR(_xlfn.XLOOKUP(E1597,[1]EMPREENDIMENTO!C:C,[1]EMPREENDIMENTO!A:A),"-")</f>
        <v>0</v>
      </c>
      <c r="D1597" s="36"/>
      <c r="E1597" s="36"/>
      <c r="F1597" s="36"/>
      <c r="G1597" s="36"/>
      <c r="H1597" s="36"/>
      <c r="I1597" s="29">
        <f>IFERROR(_xlfn.XLOOKUP(E1597,[1]EMPREENDIMENTO!C:C,[1]EMPREENDIMENTO!E:E),"0")</f>
        <v>0</v>
      </c>
      <c r="J1597" s="31"/>
      <c r="K1597" s="36"/>
      <c r="M1597" s="37"/>
      <c r="N1597" s="37"/>
      <c r="O1597" s="37"/>
      <c r="P1597" s="36"/>
      <c r="Q1597" s="36"/>
      <c r="R1597" s="31"/>
      <c r="S1597" s="31"/>
      <c r="T1597" s="38"/>
      <c r="U1597" s="39">
        <f>IFERROR(_xlfn.XLOOKUP(E1597,[1]EMPREENDIMENTO!C:C,[1]EMPREENDIMENTO!D:D),"")</f>
        <v>0</v>
      </c>
    </row>
    <row r="1598" spans="1:21" hidden="1" x14ac:dyDescent="0.35">
      <c r="A1598" s="36" t="str">
        <f>IFERROR(_xlfn.XLOOKUP(C1598,[1]DIRETORIA!C:C,[1]DIRETORIA!A:A),"-")</f>
        <v>-</v>
      </c>
      <c r="B1598" s="36" t="str">
        <f>IFERROR(_xlfn.XLOOKUP(C1598,[1]DIRETORIA!C:C,[1]DIRETORIA!B:B),"-")</f>
        <v>-</v>
      </c>
      <c r="C1598" s="36">
        <f>IFERROR(_xlfn.XLOOKUP(E1598,[1]EMPREENDIMENTO!C:C,[1]EMPREENDIMENTO!A:A),"-")</f>
        <v>0</v>
      </c>
      <c r="D1598" s="36"/>
      <c r="E1598" s="36"/>
      <c r="F1598" s="36"/>
      <c r="G1598" s="36"/>
      <c r="H1598" s="36"/>
      <c r="I1598" s="29">
        <f>IFERROR(_xlfn.XLOOKUP(E1598,[1]EMPREENDIMENTO!C:C,[1]EMPREENDIMENTO!E:E),"0")</f>
        <v>0</v>
      </c>
      <c r="J1598" s="31"/>
      <c r="K1598" s="36"/>
      <c r="M1598" s="37"/>
      <c r="N1598" s="37"/>
      <c r="O1598" s="37"/>
      <c r="P1598" s="36"/>
      <c r="Q1598" s="36"/>
      <c r="R1598" s="31"/>
      <c r="S1598" s="31"/>
      <c r="T1598" s="38"/>
      <c r="U1598" s="39">
        <f>IFERROR(_xlfn.XLOOKUP(E1598,[1]EMPREENDIMENTO!C:C,[1]EMPREENDIMENTO!D:D),"")</f>
        <v>0</v>
      </c>
    </row>
    <row r="1599" spans="1:21" hidden="1" x14ac:dyDescent="0.35">
      <c r="A1599" s="36" t="str">
        <f>IFERROR(_xlfn.XLOOKUP(C1599,[1]DIRETORIA!C:C,[1]DIRETORIA!A:A),"-")</f>
        <v>-</v>
      </c>
      <c r="B1599" s="36" t="str">
        <f>IFERROR(_xlfn.XLOOKUP(C1599,[1]DIRETORIA!C:C,[1]DIRETORIA!B:B),"-")</f>
        <v>-</v>
      </c>
      <c r="C1599" s="36">
        <f>IFERROR(_xlfn.XLOOKUP(E1599,[1]EMPREENDIMENTO!C:C,[1]EMPREENDIMENTO!A:A),"-")</f>
        <v>0</v>
      </c>
      <c r="D1599" s="36"/>
      <c r="E1599" s="36"/>
      <c r="F1599" s="36"/>
      <c r="G1599" s="36"/>
      <c r="H1599" s="36"/>
      <c r="I1599" s="29">
        <f>IFERROR(_xlfn.XLOOKUP(E1599,[1]EMPREENDIMENTO!C:C,[1]EMPREENDIMENTO!E:E),"0")</f>
        <v>0</v>
      </c>
      <c r="J1599" s="31"/>
      <c r="K1599" s="36"/>
      <c r="M1599" s="37"/>
      <c r="N1599" s="37"/>
      <c r="O1599" s="37"/>
      <c r="P1599" s="36"/>
      <c r="Q1599" s="36"/>
      <c r="R1599" s="31"/>
      <c r="S1599" s="31"/>
      <c r="T1599" s="38"/>
      <c r="U1599" s="39">
        <f>IFERROR(_xlfn.XLOOKUP(E1599,[1]EMPREENDIMENTO!C:C,[1]EMPREENDIMENTO!D:D),"")</f>
        <v>0</v>
      </c>
    </row>
    <row r="1600" spans="1:21" hidden="1" x14ac:dyDescent="0.35">
      <c r="A1600" s="36" t="str">
        <f>IFERROR(_xlfn.XLOOKUP(C1600,[1]DIRETORIA!C:C,[1]DIRETORIA!A:A),"-")</f>
        <v>-</v>
      </c>
      <c r="B1600" s="36" t="str">
        <f>IFERROR(_xlfn.XLOOKUP(C1600,[1]DIRETORIA!C:C,[1]DIRETORIA!B:B),"-")</f>
        <v>-</v>
      </c>
      <c r="C1600" s="36">
        <f>IFERROR(_xlfn.XLOOKUP(E1600,[1]EMPREENDIMENTO!C:C,[1]EMPREENDIMENTO!A:A),"-")</f>
        <v>0</v>
      </c>
      <c r="D1600" s="36"/>
      <c r="E1600" s="36"/>
      <c r="F1600" s="36"/>
      <c r="G1600" s="36"/>
      <c r="H1600" s="36"/>
      <c r="I1600" s="29">
        <f>IFERROR(_xlfn.XLOOKUP(E1600,[1]EMPREENDIMENTO!C:C,[1]EMPREENDIMENTO!E:E),"0")</f>
        <v>0</v>
      </c>
      <c r="J1600" s="31"/>
      <c r="K1600" s="36"/>
      <c r="M1600" s="37"/>
      <c r="N1600" s="37"/>
      <c r="O1600" s="37"/>
      <c r="P1600" s="36"/>
      <c r="Q1600" s="36"/>
      <c r="R1600" s="31"/>
      <c r="S1600" s="31"/>
      <c r="T1600" s="38"/>
      <c r="U1600" s="39">
        <f>IFERROR(_xlfn.XLOOKUP(E1600,[1]EMPREENDIMENTO!C:C,[1]EMPREENDIMENTO!D:D),"")</f>
        <v>0</v>
      </c>
    </row>
    <row r="1601" spans="1:21" hidden="1" x14ac:dyDescent="0.35">
      <c r="A1601" s="36" t="str">
        <f>IFERROR(_xlfn.XLOOKUP(C1601,[1]DIRETORIA!C:C,[1]DIRETORIA!A:A),"-")</f>
        <v>-</v>
      </c>
      <c r="B1601" s="36" t="str">
        <f>IFERROR(_xlfn.XLOOKUP(C1601,[1]DIRETORIA!C:C,[1]DIRETORIA!B:B),"-")</f>
        <v>-</v>
      </c>
      <c r="C1601" s="36">
        <f>IFERROR(_xlfn.XLOOKUP(E1601,[1]EMPREENDIMENTO!C:C,[1]EMPREENDIMENTO!A:A),"-")</f>
        <v>0</v>
      </c>
      <c r="D1601" s="36"/>
      <c r="E1601" s="36"/>
      <c r="F1601" s="36"/>
      <c r="G1601" s="36"/>
      <c r="H1601" s="36"/>
      <c r="I1601" s="29">
        <f>IFERROR(_xlfn.XLOOKUP(E1601,[1]EMPREENDIMENTO!C:C,[1]EMPREENDIMENTO!E:E),"0")</f>
        <v>0</v>
      </c>
      <c r="J1601" s="31"/>
      <c r="K1601" s="36"/>
      <c r="M1601" s="37"/>
      <c r="N1601" s="37"/>
      <c r="O1601" s="37"/>
      <c r="P1601" s="36"/>
      <c r="Q1601" s="36"/>
      <c r="R1601" s="31"/>
      <c r="S1601" s="31"/>
      <c r="T1601" s="38"/>
      <c r="U1601" s="39">
        <f>IFERROR(_xlfn.XLOOKUP(E1601,[1]EMPREENDIMENTO!C:C,[1]EMPREENDIMENTO!D:D),"")</f>
        <v>0</v>
      </c>
    </row>
    <row r="1602" spans="1:21" hidden="1" x14ac:dyDescent="0.35">
      <c r="A1602" s="36" t="str">
        <f>IFERROR(_xlfn.XLOOKUP(C1602,[1]DIRETORIA!C:C,[1]DIRETORIA!A:A),"-")</f>
        <v>-</v>
      </c>
      <c r="B1602" s="36" t="str">
        <f>IFERROR(_xlfn.XLOOKUP(C1602,[1]DIRETORIA!C:C,[1]DIRETORIA!B:B),"-")</f>
        <v>-</v>
      </c>
      <c r="C1602" s="36">
        <f>IFERROR(_xlfn.XLOOKUP(E1602,[1]EMPREENDIMENTO!C:C,[1]EMPREENDIMENTO!A:A),"-")</f>
        <v>0</v>
      </c>
      <c r="D1602" s="36"/>
      <c r="E1602" s="36"/>
      <c r="F1602" s="36"/>
      <c r="G1602" s="36"/>
      <c r="H1602" s="36"/>
      <c r="I1602" s="29">
        <f>IFERROR(_xlfn.XLOOKUP(E1602,[1]EMPREENDIMENTO!C:C,[1]EMPREENDIMENTO!E:E),"0")</f>
        <v>0</v>
      </c>
      <c r="J1602" s="31"/>
      <c r="K1602" s="36"/>
      <c r="M1602" s="37"/>
      <c r="N1602" s="37"/>
      <c r="O1602" s="37"/>
      <c r="P1602" s="36"/>
      <c r="Q1602" s="36"/>
      <c r="R1602" s="31"/>
      <c r="S1602" s="31"/>
      <c r="T1602" s="38"/>
      <c r="U1602" s="39">
        <f>IFERROR(_xlfn.XLOOKUP(E1602,[1]EMPREENDIMENTO!C:C,[1]EMPREENDIMENTO!D:D),"")</f>
        <v>0</v>
      </c>
    </row>
    <row r="1603" spans="1:21" hidden="1" x14ac:dyDescent="0.35">
      <c r="A1603" s="36" t="str">
        <f>IFERROR(_xlfn.XLOOKUP(C1603,[1]DIRETORIA!C:C,[1]DIRETORIA!A:A),"-")</f>
        <v>-</v>
      </c>
      <c r="B1603" s="36" t="str">
        <f>IFERROR(_xlfn.XLOOKUP(C1603,[1]DIRETORIA!C:C,[1]DIRETORIA!B:B),"-")</f>
        <v>-</v>
      </c>
      <c r="C1603" s="36">
        <f>IFERROR(_xlfn.XLOOKUP(E1603,[1]EMPREENDIMENTO!C:C,[1]EMPREENDIMENTO!A:A),"-")</f>
        <v>0</v>
      </c>
      <c r="D1603" s="36"/>
      <c r="E1603" s="36"/>
      <c r="F1603" s="36"/>
      <c r="G1603" s="36"/>
      <c r="H1603" s="36"/>
      <c r="I1603" s="29">
        <f>IFERROR(_xlfn.XLOOKUP(E1603,[1]EMPREENDIMENTO!C:C,[1]EMPREENDIMENTO!E:E),"0")</f>
        <v>0</v>
      </c>
      <c r="J1603" s="31"/>
      <c r="K1603" s="36"/>
      <c r="M1603" s="37"/>
      <c r="N1603" s="37"/>
      <c r="O1603" s="37"/>
      <c r="P1603" s="36"/>
      <c r="Q1603" s="36"/>
      <c r="R1603" s="31"/>
      <c r="S1603" s="31"/>
      <c r="T1603" s="38"/>
      <c r="U1603" s="39">
        <f>IFERROR(_xlfn.XLOOKUP(E1603,[1]EMPREENDIMENTO!C:C,[1]EMPREENDIMENTO!D:D),"")</f>
        <v>0</v>
      </c>
    </row>
    <row r="1604" spans="1:21" hidden="1" x14ac:dyDescent="0.35">
      <c r="A1604" s="36" t="str">
        <f>IFERROR(_xlfn.XLOOKUP(C1604,[1]DIRETORIA!C:C,[1]DIRETORIA!A:A),"-")</f>
        <v>-</v>
      </c>
      <c r="B1604" s="36" t="str">
        <f>IFERROR(_xlfn.XLOOKUP(C1604,[1]DIRETORIA!C:C,[1]DIRETORIA!B:B),"-")</f>
        <v>-</v>
      </c>
      <c r="C1604" s="36">
        <f>IFERROR(_xlfn.XLOOKUP(E1604,[1]EMPREENDIMENTO!C:C,[1]EMPREENDIMENTO!A:A),"-")</f>
        <v>0</v>
      </c>
      <c r="D1604" s="36"/>
      <c r="E1604" s="36"/>
      <c r="F1604" s="36"/>
      <c r="G1604" s="36"/>
      <c r="H1604" s="36"/>
      <c r="I1604" s="29">
        <f>IFERROR(_xlfn.XLOOKUP(E1604,[1]EMPREENDIMENTO!C:C,[1]EMPREENDIMENTO!E:E),"0")</f>
        <v>0</v>
      </c>
      <c r="J1604" s="31"/>
      <c r="K1604" s="36"/>
      <c r="M1604" s="37"/>
      <c r="N1604" s="37"/>
      <c r="O1604" s="37"/>
      <c r="P1604" s="36"/>
      <c r="Q1604" s="36"/>
      <c r="R1604" s="31"/>
      <c r="S1604" s="31"/>
      <c r="T1604" s="38"/>
      <c r="U1604" s="39">
        <f>IFERROR(_xlfn.XLOOKUP(E1604,[1]EMPREENDIMENTO!C:C,[1]EMPREENDIMENTO!D:D),"")</f>
        <v>0</v>
      </c>
    </row>
    <row r="1605" spans="1:21" hidden="1" x14ac:dyDescent="0.35">
      <c r="A1605" s="36" t="str">
        <f>IFERROR(_xlfn.XLOOKUP(C1605,[1]DIRETORIA!C:C,[1]DIRETORIA!A:A),"-")</f>
        <v>-</v>
      </c>
      <c r="B1605" s="36" t="str">
        <f>IFERROR(_xlfn.XLOOKUP(C1605,[1]DIRETORIA!C:C,[1]DIRETORIA!B:B),"-")</f>
        <v>-</v>
      </c>
      <c r="C1605" s="36">
        <f>IFERROR(_xlfn.XLOOKUP(E1605,[1]EMPREENDIMENTO!C:C,[1]EMPREENDIMENTO!A:A),"-")</f>
        <v>0</v>
      </c>
      <c r="D1605" s="36"/>
      <c r="E1605" s="36"/>
      <c r="F1605" s="36"/>
      <c r="G1605" s="36"/>
      <c r="H1605" s="36"/>
      <c r="I1605" s="29">
        <f>IFERROR(_xlfn.XLOOKUP(E1605,[1]EMPREENDIMENTO!C:C,[1]EMPREENDIMENTO!E:E),"0")</f>
        <v>0</v>
      </c>
      <c r="J1605" s="31"/>
      <c r="K1605" s="36"/>
      <c r="M1605" s="37"/>
      <c r="N1605" s="37"/>
      <c r="O1605" s="37"/>
      <c r="P1605" s="36"/>
      <c r="Q1605" s="36"/>
      <c r="R1605" s="31"/>
      <c r="S1605" s="31"/>
      <c r="T1605" s="38"/>
      <c r="U1605" s="39">
        <f>IFERROR(_xlfn.XLOOKUP(E1605,[1]EMPREENDIMENTO!C:C,[1]EMPREENDIMENTO!D:D),"")</f>
        <v>0</v>
      </c>
    </row>
    <row r="1606" spans="1:21" hidden="1" x14ac:dyDescent="0.35">
      <c r="A1606" s="36" t="str">
        <f>IFERROR(_xlfn.XLOOKUP(C1606,[1]DIRETORIA!C:C,[1]DIRETORIA!A:A),"-")</f>
        <v>-</v>
      </c>
      <c r="B1606" s="36" t="str">
        <f>IFERROR(_xlfn.XLOOKUP(C1606,[1]DIRETORIA!C:C,[1]DIRETORIA!B:B),"-")</f>
        <v>-</v>
      </c>
      <c r="C1606" s="36">
        <f>IFERROR(_xlfn.XLOOKUP(E1606,[1]EMPREENDIMENTO!C:C,[1]EMPREENDIMENTO!A:A),"-")</f>
        <v>0</v>
      </c>
      <c r="D1606" s="36"/>
      <c r="E1606" s="36"/>
      <c r="F1606" s="36"/>
      <c r="G1606" s="36"/>
      <c r="H1606" s="36"/>
      <c r="I1606" s="29">
        <f>IFERROR(_xlfn.XLOOKUP(E1606,[1]EMPREENDIMENTO!C:C,[1]EMPREENDIMENTO!E:E),"0")</f>
        <v>0</v>
      </c>
      <c r="J1606" s="31"/>
      <c r="K1606" s="36"/>
      <c r="M1606" s="37"/>
      <c r="N1606" s="37"/>
      <c r="O1606" s="37"/>
      <c r="P1606" s="36"/>
      <c r="Q1606" s="36"/>
      <c r="R1606" s="31"/>
      <c r="S1606" s="31"/>
      <c r="T1606" s="38"/>
      <c r="U1606" s="39">
        <f>IFERROR(_xlfn.XLOOKUP(E1606,[1]EMPREENDIMENTO!C:C,[1]EMPREENDIMENTO!D:D),"")</f>
        <v>0</v>
      </c>
    </row>
    <row r="1607" spans="1:21" hidden="1" x14ac:dyDescent="0.35">
      <c r="A1607" s="36" t="str">
        <f>IFERROR(_xlfn.XLOOKUP(C1607,[1]DIRETORIA!C:C,[1]DIRETORIA!A:A),"-")</f>
        <v>-</v>
      </c>
      <c r="B1607" s="36" t="str">
        <f>IFERROR(_xlfn.XLOOKUP(C1607,[1]DIRETORIA!C:C,[1]DIRETORIA!B:B),"-")</f>
        <v>-</v>
      </c>
      <c r="C1607" s="36">
        <f>IFERROR(_xlfn.XLOOKUP(E1607,[1]EMPREENDIMENTO!C:C,[1]EMPREENDIMENTO!A:A),"-")</f>
        <v>0</v>
      </c>
      <c r="D1607" s="36"/>
      <c r="E1607" s="36"/>
      <c r="F1607" s="36"/>
      <c r="G1607" s="36"/>
      <c r="H1607" s="36"/>
      <c r="I1607" s="29">
        <f>IFERROR(_xlfn.XLOOKUP(E1607,[1]EMPREENDIMENTO!C:C,[1]EMPREENDIMENTO!E:E),"0")</f>
        <v>0</v>
      </c>
      <c r="J1607" s="31"/>
      <c r="K1607" s="36"/>
      <c r="M1607" s="37"/>
      <c r="N1607" s="37"/>
      <c r="O1607" s="37"/>
      <c r="P1607" s="36"/>
      <c r="Q1607" s="36"/>
      <c r="R1607" s="31"/>
      <c r="S1607" s="31"/>
      <c r="T1607" s="38"/>
      <c r="U1607" s="39">
        <f>IFERROR(_xlfn.XLOOKUP(E1607,[1]EMPREENDIMENTO!C:C,[1]EMPREENDIMENTO!D:D),"")</f>
        <v>0</v>
      </c>
    </row>
    <row r="1608" spans="1:21" hidden="1" x14ac:dyDescent="0.35">
      <c r="A1608" s="36" t="str">
        <f>IFERROR(_xlfn.XLOOKUP(C1608,[1]DIRETORIA!C:C,[1]DIRETORIA!A:A),"-")</f>
        <v>-</v>
      </c>
      <c r="B1608" s="36" t="str">
        <f>IFERROR(_xlfn.XLOOKUP(C1608,[1]DIRETORIA!C:C,[1]DIRETORIA!B:B),"-")</f>
        <v>-</v>
      </c>
      <c r="C1608" s="36">
        <f>IFERROR(_xlfn.XLOOKUP(E1608,[1]EMPREENDIMENTO!C:C,[1]EMPREENDIMENTO!A:A),"-")</f>
        <v>0</v>
      </c>
      <c r="D1608" s="36"/>
      <c r="E1608" s="36"/>
      <c r="F1608" s="36"/>
      <c r="G1608" s="36"/>
      <c r="H1608" s="36"/>
      <c r="I1608" s="29">
        <f>IFERROR(_xlfn.XLOOKUP(E1608,[1]EMPREENDIMENTO!C:C,[1]EMPREENDIMENTO!E:E),"0")</f>
        <v>0</v>
      </c>
      <c r="J1608" s="31"/>
      <c r="K1608" s="36"/>
      <c r="M1608" s="37"/>
      <c r="N1608" s="37"/>
      <c r="O1608" s="37"/>
      <c r="P1608" s="36"/>
      <c r="Q1608" s="36"/>
      <c r="R1608" s="31"/>
      <c r="S1608" s="31"/>
      <c r="T1608" s="38"/>
      <c r="U1608" s="39">
        <f>IFERROR(_xlfn.XLOOKUP(E1608,[1]EMPREENDIMENTO!C:C,[1]EMPREENDIMENTO!D:D),"")</f>
        <v>0</v>
      </c>
    </row>
    <row r="1609" spans="1:21" hidden="1" x14ac:dyDescent="0.35">
      <c r="A1609" s="36" t="str">
        <f>IFERROR(_xlfn.XLOOKUP(C1609,[1]DIRETORIA!C:C,[1]DIRETORIA!A:A),"-")</f>
        <v>-</v>
      </c>
      <c r="B1609" s="36" t="str">
        <f>IFERROR(_xlfn.XLOOKUP(C1609,[1]DIRETORIA!C:C,[1]DIRETORIA!B:B),"-")</f>
        <v>-</v>
      </c>
      <c r="C1609" s="36">
        <f>IFERROR(_xlfn.XLOOKUP(E1609,[1]EMPREENDIMENTO!C:C,[1]EMPREENDIMENTO!A:A),"-")</f>
        <v>0</v>
      </c>
      <c r="D1609" s="36"/>
      <c r="E1609" s="36"/>
      <c r="F1609" s="36"/>
      <c r="G1609" s="36"/>
      <c r="H1609" s="36"/>
      <c r="I1609" s="29">
        <f>IFERROR(_xlfn.XLOOKUP(E1609,[1]EMPREENDIMENTO!C:C,[1]EMPREENDIMENTO!E:E),"0")</f>
        <v>0</v>
      </c>
      <c r="J1609" s="31"/>
      <c r="K1609" s="36"/>
      <c r="M1609" s="37"/>
      <c r="N1609" s="37"/>
      <c r="O1609" s="37"/>
      <c r="P1609" s="36"/>
      <c r="Q1609" s="36"/>
      <c r="R1609" s="31"/>
      <c r="S1609" s="31"/>
      <c r="T1609" s="38"/>
      <c r="U1609" s="39">
        <f>IFERROR(_xlfn.XLOOKUP(E1609,[1]EMPREENDIMENTO!C:C,[1]EMPREENDIMENTO!D:D),"")</f>
        <v>0</v>
      </c>
    </row>
    <row r="1610" spans="1:21" hidden="1" x14ac:dyDescent="0.35">
      <c r="A1610" s="36" t="str">
        <f>IFERROR(_xlfn.XLOOKUP(C1610,[1]DIRETORIA!C:C,[1]DIRETORIA!A:A),"-")</f>
        <v>-</v>
      </c>
      <c r="B1610" s="36" t="str">
        <f>IFERROR(_xlfn.XLOOKUP(C1610,[1]DIRETORIA!C:C,[1]DIRETORIA!B:B),"-")</f>
        <v>-</v>
      </c>
      <c r="C1610" s="36">
        <f>IFERROR(_xlfn.XLOOKUP(E1610,[1]EMPREENDIMENTO!C:C,[1]EMPREENDIMENTO!A:A),"-")</f>
        <v>0</v>
      </c>
      <c r="D1610" s="36"/>
      <c r="E1610" s="36"/>
      <c r="F1610" s="36"/>
      <c r="G1610" s="36"/>
      <c r="H1610" s="36"/>
      <c r="I1610" s="29">
        <f>IFERROR(_xlfn.XLOOKUP(E1610,[1]EMPREENDIMENTO!C:C,[1]EMPREENDIMENTO!E:E),"0")</f>
        <v>0</v>
      </c>
      <c r="J1610" s="31"/>
      <c r="K1610" s="36"/>
      <c r="M1610" s="37"/>
      <c r="N1610" s="37"/>
      <c r="O1610" s="37"/>
      <c r="P1610" s="36"/>
      <c r="Q1610" s="36"/>
      <c r="R1610" s="31"/>
      <c r="S1610" s="31"/>
      <c r="T1610" s="38"/>
      <c r="U1610" s="39">
        <f>IFERROR(_xlfn.XLOOKUP(E1610,[1]EMPREENDIMENTO!C:C,[1]EMPREENDIMENTO!D:D),"")</f>
        <v>0</v>
      </c>
    </row>
    <row r="1611" spans="1:21" hidden="1" x14ac:dyDescent="0.35">
      <c r="A1611" s="36" t="str">
        <f>IFERROR(_xlfn.XLOOKUP(C1611,[1]DIRETORIA!C:C,[1]DIRETORIA!A:A),"-")</f>
        <v>-</v>
      </c>
      <c r="B1611" s="36" t="str">
        <f>IFERROR(_xlfn.XLOOKUP(C1611,[1]DIRETORIA!C:C,[1]DIRETORIA!B:B),"-")</f>
        <v>-</v>
      </c>
      <c r="C1611" s="36">
        <f>IFERROR(_xlfn.XLOOKUP(E1611,[1]EMPREENDIMENTO!C:C,[1]EMPREENDIMENTO!A:A),"-")</f>
        <v>0</v>
      </c>
      <c r="D1611" s="36"/>
      <c r="E1611" s="36"/>
      <c r="F1611" s="36"/>
      <c r="G1611" s="36"/>
      <c r="H1611" s="36"/>
      <c r="I1611" s="29">
        <f>IFERROR(_xlfn.XLOOKUP(E1611,[1]EMPREENDIMENTO!C:C,[1]EMPREENDIMENTO!E:E),"0")</f>
        <v>0</v>
      </c>
      <c r="J1611" s="31"/>
      <c r="K1611" s="36"/>
      <c r="M1611" s="37"/>
      <c r="N1611" s="37"/>
      <c r="O1611" s="37"/>
      <c r="P1611" s="36"/>
      <c r="Q1611" s="36"/>
      <c r="R1611" s="31"/>
      <c r="S1611" s="31"/>
      <c r="T1611" s="38"/>
      <c r="U1611" s="39">
        <f>IFERROR(_xlfn.XLOOKUP(E1611,[1]EMPREENDIMENTO!C:C,[1]EMPREENDIMENTO!D:D),"")</f>
        <v>0</v>
      </c>
    </row>
    <row r="1612" spans="1:21" hidden="1" x14ac:dyDescent="0.35">
      <c r="A1612" s="36" t="str">
        <f>IFERROR(_xlfn.XLOOKUP(C1612,[1]DIRETORIA!C:C,[1]DIRETORIA!A:A),"-")</f>
        <v>-</v>
      </c>
      <c r="B1612" s="36" t="str">
        <f>IFERROR(_xlfn.XLOOKUP(C1612,[1]DIRETORIA!C:C,[1]DIRETORIA!B:B),"-")</f>
        <v>-</v>
      </c>
      <c r="C1612" s="36">
        <f>IFERROR(_xlfn.XLOOKUP(E1612,[1]EMPREENDIMENTO!C:C,[1]EMPREENDIMENTO!A:A),"-")</f>
        <v>0</v>
      </c>
      <c r="D1612" s="36"/>
      <c r="E1612" s="36"/>
      <c r="F1612" s="36"/>
      <c r="G1612" s="36"/>
      <c r="H1612" s="36"/>
      <c r="I1612" s="29">
        <f>IFERROR(_xlfn.XLOOKUP(E1612,[1]EMPREENDIMENTO!C:C,[1]EMPREENDIMENTO!E:E),"0")</f>
        <v>0</v>
      </c>
      <c r="J1612" s="31"/>
      <c r="K1612" s="36"/>
      <c r="M1612" s="37"/>
      <c r="N1612" s="37"/>
      <c r="O1612" s="37"/>
      <c r="P1612" s="36"/>
      <c r="Q1612" s="36"/>
      <c r="R1612" s="31"/>
      <c r="S1612" s="31"/>
      <c r="T1612" s="38"/>
      <c r="U1612" s="39">
        <f>IFERROR(_xlfn.XLOOKUP(E1612,[1]EMPREENDIMENTO!C:C,[1]EMPREENDIMENTO!D:D),"")</f>
        <v>0</v>
      </c>
    </row>
    <row r="1613" spans="1:21" hidden="1" x14ac:dyDescent="0.35">
      <c r="A1613" s="36" t="str">
        <f>IFERROR(_xlfn.XLOOKUP(C1613,[1]DIRETORIA!C:C,[1]DIRETORIA!A:A),"-")</f>
        <v>-</v>
      </c>
      <c r="B1613" s="36" t="str">
        <f>IFERROR(_xlfn.XLOOKUP(C1613,[1]DIRETORIA!C:C,[1]DIRETORIA!B:B),"-")</f>
        <v>-</v>
      </c>
      <c r="C1613" s="36">
        <f>IFERROR(_xlfn.XLOOKUP(E1613,[1]EMPREENDIMENTO!C:C,[1]EMPREENDIMENTO!A:A),"-")</f>
        <v>0</v>
      </c>
      <c r="D1613" s="36"/>
      <c r="E1613" s="36"/>
      <c r="F1613" s="36"/>
      <c r="G1613" s="36"/>
      <c r="H1613" s="36"/>
      <c r="I1613" s="29">
        <f>IFERROR(_xlfn.XLOOKUP(E1613,[1]EMPREENDIMENTO!C:C,[1]EMPREENDIMENTO!E:E),"0")</f>
        <v>0</v>
      </c>
      <c r="J1613" s="31"/>
      <c r="K1613" s="36"/>
      <c r="M1613" s="37"/>
      <c r="N1613" s="37"/>
      <c r="O1613" s="37"/>
      <c r="P1613" s="36"/>
      <c r="Q1613" s="36"/>
      <c r="R1613" s="31"/>
      <c r="S1613" s="31"/>
      <c r="T1613" s="38"/>
      <c r="U1613" s="39">
        <f>IFERROR(_xlfn.XLOOKUP(E1613,[1]EMPREENDIMENTO!C:C,[1]EMPREENDIMENTO!D:D),"")</f>
        <v>0</v>
      </c>
    </row>
    <row r="1614" spans="1:21" hidden="1" x14ac:dyDescent="0.35">
      <c r="A1614" s="36" t="str">
        <f>IFERROR(_xlfn.XLOOKUP(C1614,[1]DIRETORIA!C:C,[1]DIRETORIA!A:A),"-")</f>
        <v>-</v>
      </c>
      <c r="B1614" s="36" t="str">
        <f>IFERROR(_xlfn.XLOOKUP(C1614,[1]DIRETORIA!C:C,[1]DIRETORIA!B:B),"-")</f>
        <v>-</v>
      </c>
      <c r="C1614" s="36">
        <f>IFERROR(_xlfn.XLOOKUP(E1614,[1]EMPREENDIMENTO!C:C,[1]EMPREENDIMENTO!A:A),"-")</f>
        <v>0</v>
      </c>
      <c r="D1614" s="36"/>
      <c r="E1614" s="36"/>
      <c r="F1614" s="36"/>
      <c r="G1614" s="36"/>
      <c r="H1614" s="36"/>
      <c r="I1614" s="29">
        <f>IFERROR(_xlfn.XLOOKUP(E1614,[1]EMPREENDIMENTO!C:C,[1]EMPREENDIMENTO!E:E),"0")</f>
        <v>0</v>
      </c>
      <c r="J1614" s="31"/>
      <c r="K1614" s="36"/>
      <c r="M1614" s="37"/>
      <c r="N1614" s="37"/>
      <c r="O1614" s="37"/>
      <c r="P1614" s="36"/>
      <c r="Q1614" s="36"/>
      <c r="R1614" s="31"/>
      <c r="S1614" s="31"/>
      <c r="T1614" s="38"/>
      <c r="U1614" s="39">
        <f>IFERROR(_xlfn.XLOOKUP(E1614,[1]EMPREENDIMENTO!C:C,[1]EMPREENDIMENTO!D:D),"")</f>
        <v>0</v>
      </c>
    </row>
    <row r="1615" spans="1:21" hidden="1" x14ac:dyDescent="0.35">
      <c r="A1615" s="36" t="str">
        <f>IFERROR(_xlfn.XLOOKUP(C1615,[1]DIRETORIA!C:C,[1]DIRETORIA!A:A),"-")</f>
        <v>-</v>
      </c>
      <c r="B1615" s="36" t="str">
        <f>IFERROR(_xlfn.XLOOKUP(C1615,[1]DIRETORIA!C:C,[1]DIRETORIA!B:B),"-")</f>
        <v>-</v>
      </c>
      <c r="C1615" s="36">
        <f>IFERROR(_xlfn.XLOOKUP(E1615,[1]EMPREENDIMENTO!C:C,[1]EMPREENDIMENTO!A:A),"-")</f>
        <v>0</v>
      </c>
      <c r="D1615" s="36"/>
      <c r="E1615" s="36"/>
      <c r="F1615" s="36"/>
      <c r="G1615" s="36"/>
      <c r="H1615" s="36"/>
      <c r="I1615" s="29">
        <f>IFERROR(_xlfn.XLOOKUP(E1615,[1]EMPREENDIMENTO!C:C,[1]EMPREENDIMENTO!E:E),"0")</f>
        <v>0</v>
      </c>
      <c r="J1615" s="31"/>
      <c r="K1615" s="36"/>
      <c r="M1615" s="37"/>
      <c r="N1615" s="37"/>
      <c r="O1615" s="37"/>
      <c r="P1615" s="36"/>
      <c r="Q1615" s="36"/>
      <c r="R1615" s="31"/>
      <c r="S1615" s="31"/>
      <c r="T1615" s="38"/>
      <c r="U1615" s="39">
        <f>IFERROR(_xlfn.XLOOKUP(E1615,[1]EMPREENDIMENTO!C:C,[1]EMPREENDIMENTO!D:D),"")</f>
        <v>0</v>
      </c>
    </row>
    <row r="1616" spans="1:21" hidden="1" x14ac:dyDescent="0.35">
      <c r="A1616" s="36" t="str">
        <f>IFERROR(_xlfn.XLOOKUP(C1616,[1]DIRETORIA!C:C,[1]DIRETORIA!A:A),"-")</f>
        <v>-</v>
      </c>
      <c r="B1616" s="36" t="str">
        <f>IFERROR(_xlfn.XLOOKUP(C1616,[1]DIRETORIA!C:C,[1]DIRETORIA!B:B),"-")</f>
        <v>-</v>
      </c>
      <c r="C1616" s="36">
        <f>IFERROR(_xlfn.XLOOKUP(E1616,[1]EMPREENDIMENTO!C:C,[1]EMPREENDIMENTO!A:A),"-")</f>
        <v>0</v>
      </c>
      <c r="D1616" s="36"/>
      <c r="E1616" s="36"/>
      <c r="F1616" s="36"/>
      <c r="G1616" s="36"/>
      <c r="H1616" s="36"/>
      <c r="I1616" s="29">
        <f>IFERROR(_xlfn.XLOOKUP(E1616,[1]EMPREENDIMENTO!C:C,[1]EMPREENDIMENTO!E:E),"0")</f>
        <v>0</v>
      </c>
      <c r="J1616" s="31"/>
      <c r="K1616" s="36"/>
      <c r="M1616" s="37"/>
      <c r="N1616" s="37"/>
      <c r="O1616" s="37"/>
      <c r="P1616" s="36"/>
      <c r="Q1616" s="36"/>
      <c r="R1616" s="31"/>
      <c r="S1616" s="31"/>
      <c r="T1616" s="38"/>
      <c r="U1616" s="39">
        <f>IFERROR(_xlfn.XLOOKUP(E1616,[1]EMPREENDIMENTO!C:C,[1]EMPREENDIMENTO!D:D),"")</f>
        <v>0</v>
      </c>
    </row>
    <row r="1617" spans="1:21" hidden="1" x14ac:dyDescent="0.35">
      <c r="A1617" s="36" t="str">
        <f>IFERROR(_xlfn.XLOOKUP(C1617,[1]DIRETORIA!C:C,[1]DIRETORIA!A:A),"-")</f>
        <v>-</v>
      </c>
      <c r="B1617" s="36" t="str">
        <f>IFERROR(_xlfn.XLOOKUP(C1617,[1]DIRETORIA!C:C,[1]DIRETORIA!B:B),"-")</f>
        <v>-</v>
      </c>
      <c r="C1617" s="36">
        <f>IFERROR(_xlfn.XLOOKUP(E1617,[1]EMPREENDIMENTO!C:C,[1]EMPREENDIMENTO!A:A),"-")</f>
        <v>0</v>
      </c>
      <c r="D1617" s="36"/>
      <c r="E1617" s="36"/>
      <c r="F1617" s="36"/>
      <c r="G1617" s="36"/>
      <c r="H1617" s="36"/>
      <c r="I1617" s="29">
        <f>IFERROR(_xlfn.XLOOKUP(E1617,[1]EMPREENDIMENTO!C:C,[1]EMPREENDIMENTO!E:E),"0")</f>
        <v>0</v>
      </c>
      <c r="J1617" s="31"/>
      <c r="K1617" s="36"/>
      <c r="M1617" s="37"/>
      <c r="N1617" s="37"/>
      <c r="O1617" s="37"/>
      <c r="P1617" s="36"/>
      <c r="Q1617" s="36"/>
      <c r="R1617" s="31"/>
      <c r="S1617" s="31"/>
      <c r="T1617" s="38"/>
      <c r="U1617" s="39">
        <f>IFERROR(_xlfn.XLOOKUP(E1617,[1]EMPREENDIMENTO!C:C,[1]EMPREENDIMENTO!D:D),"")</f>
        <v>0</v>
      </c>
    </row>
    <row r="1618" spans="1:21" hidden="1" x14ac:dyDescent="0.35">
      <c r="A1618" s="36" t="str">
        <f>IFERROR(_xlfn.XLOOKUP(C1618,[1]DIRETORIA!C:C,[1]DIRETORIA!A:A),"-")</f>
        <v>-</v>
      </c>
      <c r="B1618" s="36" t="str">
        <f>IFERROR(_xlfn.XLOOKUP(C1618,[1]DIRETORIA!C:C,[1]DIRETORIA!B:B),"-")</f>
        <v>-</v>
      </c>
      <c r="C1618" s="36">
        <f>IFERROR(_xlfn.XLOOKUP(E1618,[1]EMPREENDIMENTO!C:C,[1]EMPREENDIMENTO!A:A),"-")</f>
        <v>0</v>
      </c>
      <c r="D1618" s="36"/>
      <c r="E1618" s="36"/>
      <c r="F1618" s="36"/>
      <c r="G1618" s="36"/>
      <c r="H1618" s="36"/>
      <c r="I1618" s="29">
        <f>IFERROR(_xlfn.XLOOKUP(E1618,[1]EMPREENDIMENTO!C:C,[1]EMPREENDIMENTO!E:E),"0")</f>
        <v>0</v>
      </c>
      <c r="J1618" s="31"/>
      <c r="K1618" s="36"/>
      <c r="M1618" s="37"/>
      <c r="N1618" s="37"/>
      <c r="O1618" s="37"/>
      <c r="P1618" s="36"/>
      <c r="Q1618" s="36"/>
      <c r="R1618" s="31"/>
      <c r="S1618" s="31"/>
      <c r="T1618" s="38"/>
      <c r="U1618" s="39">
        <f>IFERROR(_xlfn.XLOOKUP(E1618,[1]EMPREENDIMENTO!C:C,[1]EMPREENDIMENTO!D:D),"")</f>
        <v>0</v>
      </c>
    </row>
    <row r="1619" spans="1:21" hidden="1" x14ac:dyDescent="0.35">
      <c r="A1619" s="36" t="str">
        <f>IFERROR(_xlfn.XLOOKUP(C1619,[1]DIRETORIA!C:C,[1]DIRETORIA!A:A),"-")</f>
        <v>-</v>
      </c>
      <c r="B1619" s="36" t="str">
        <f>IFERROR(_xlfn.XLOOKUP(C1619,[1]DIRETORIA!C:C,[1]DIRETORIA!B:B),"-")</f>
        <v>-</v>
      </c>
      <c r="C1619" s="36">
        <f>IFERROR(_xlfn.XLOOKUP(E1619,[1]EMPREENDIMENTO!C:C,[1]EMPREENDIMENTO!A:A),"-")</f>
        <v>0</v>
      </c>
      <c r="D1619" s="36"/>
      <c r="E1619" s="36"/>
      <c r="F1619" s="36"/>
      <c r="G1619" s="36"/>
      <c r="H1619" s="36"/>
      <c r="I1619" s="29">
        <f>IFERROR(_xlfn.XLOOKUP(E1619,[1]EMPREENDIMENTO!C:C,[1]EMPREENDIMENTO!E:E),"0")</f>
        <v>0</v>
      </c>
      <c r="J1619" s="31"/>
      <c r="K1619" s="36"/>
      <c r="M1619" s="37"/>
      <c r="N1619" s="37"/>
      <c r="O1619" s="37"/>
      <c r="P1619" s="36"/>
      <c r="Q1619" s="36"/>
      <c r="R1619" s="31"/>
      <c r="S1619" s="31"/>
      <c r="T1619" s="38"/>
      <c r="U1619" s="39">
        <f>IFERROR(_xlfn.XLOOKUP(E1619,[1]EMPREENDIMENTO!C:C,[1]EMPREENDIMENTO!D:D),"")</f>
        <v>0</v>
      </c>
    </row>
    <row r="1620" spans="1:21" hidden="1" x14ac:dyDescent="0.35">
      <c r="A1620" s="36" t="str">
        <f>IFERROR(_xlfn.XLOOKUP(C1620,[1]DIRETORIA!C:C,[1]DIRETORIA!A:A),"-")</f>
        <v>-</v>
      </c>
      <c r="B1620" s="36" t="str">
        <f>IFERROR(_xlfn.XLOOKUP(C1620,[1]DIRETORIA!C:C,[1]DIRETORIA!B:B),"-")</f>
        <v>-</v>
      </c>
      <c r="C1620" s="36">
        <f>IFERROR(_xlfn.XLOOKUP(E1620,[1]EMPREENDIMENTO!C:C,[1]EMPREENDIMENTO!A:A),"-")</f>
        <v>0</v>
      </c>
      <c r="D1620" s="36"/>
      <c r="E1620" s="36"/>
      <c r="F1620" s="36"/>
      <c r="G1620" s="36"/>
      <c r="H1620" s="36"/>
      <c r="I1620" s="29">
        <f>IFERROR(_xlfn.XLOOKUP(E1620,[1]EMPREENDIMENTO!C:C,[1]EMPREENDIMENTO!E:E),"0")</f>
        <v>0</v>
      </c>
      <c r="J1620" s="31"/>
      <c r="K1620" s="36"/>
      <c r="M1620" s="37"/>
      <c r="N1620" s="37"/>
      <c r="O1620" s="37"/>
      <c r="P1620" s="36"/>
      <c r="Q1620" s="36"/>
      <c r="R1620" s="31"/>
      <c r="S1620" s="31"/>
      <c r="T1620" s="38"/>
      <c r="U1620" s="39">
        <f>IFERROR(_xlfn.XLOOKUP(E1620,[1]EMPREENDIMENTO!C:C,[1]EMPREENDIMENTO!D:D),"")</f>
        <v>0</v>
      </c>
    </row>
    <row r="1621" spans="1:21" hidden="1" x14ac:dyDescent="0.35">
      <c r="A1621" s="36" t="str">
        <f>IFERROR(_xlfn.XLOOKUP(C1621,[1]DIRETORIA!C:C,[1]DIRETORIA!A:A),"-")</f>
        <v>-</v>
      </c>
      <c r="B1621" s="36" t="str">
        <f>IFERROR(_xlfn.XLOOKUP(C1621,[1]DIRETORIA!C:C,[1]DIRETORIA!B:B),"-")</f>
        <v>-</v>
      </c>
      <c r="C1621" s="36">
        <f>IFERROR(_xlfn.XLOOKUP(E1621,[1]EMPREENDIMENTO!C:C,[1]EMPREENDIMENTO!A:A),"-")</f>
        <v>0</v>
      </c>
      <c r="D1621" s="36"/>
      <c r="E1621" s="36"/>
      <c r="F1621" s="36"/>
      <c r="G1621" s="36"/>
      <c r="H1621" s="36"/>
      <c r="I1621" s="29">
        <f>IFERROR(_xlfn.XLOOKUP(E1621,[1]EMPREENDIMENTO!C:C,[1]EMPREENDIMENTO!E:E),"0")</f>
        <v>0</v>
      </c>
      <c r="J1621" s="31"/>
      <c r="K1621" s="36"/>
      <c r="M1621" s="37"/>
      <c r="N1621" s="37"/>
      <c r="O1621" s="37"/>
      <c r="P1621" s="36"/>
      <c r="Q1621" s="36"/>
      <c r="R1621" s="31"/>
      <c r="S1621" s="31"/>
      <c r="T1621" s="38"/>
      <c r="U1621" s="39">
        <f>IFERROR(_xlfn.XLOOKUP(E1621,[1]EMPREENDIMENTO!C:C,[1]EMPREENDIMENTO!D:D),"")</f>
        <v>0</v>
      </c>
    </row>
    <row r="1622" spans="1:21" hidden="1" x14ac:dyDescent="0.35">
      <c r="A1622" s="36" t="str">
        <f>IFERROR(_xlfn.XLOOKUP(C1622,[1]DIRETORIA!C:C,[1]DIRETORIA!A:A),"-")</f>
        <v>-</v>
      </c>
      <c r="B1622" s="36" t="str">
        <f>IFERROR(_xlfn.XLOOKUP(C1622,[1]DIRETORIA!C:C,[1]DIRETORIA!B:B),"-")</f>
        <v>-</v>
      </c>
      <c r="C1622" s="36">
        <f>IFERROR(_xlfn.XLOOKUP(E1622,[1]EMPREENDIMENTO!C:C,[1]EMPREENDIMENTO!A:A),"-")</f>
        <v>0</v>
      </c>
      <c r="D1622" s="36"/>
      <c r="E1622" s="36"/>
      <c r="F1622" s="36"/>
      <c r="G1622" s="36"/>
      <c r="H1622" s="36"/>
      <c r="I1622" s="29">
        <f>IFERROR(_xlfn.XLOOKUP(E1622,[1]EMPREENDIMENTO!C:C,[1]EMPREENDIMENTO!E:E),"0")</f>
        <v>0</v>
      </c>
      <c r="J1622" s="31"/>
      <c r="K1622" s="36"/>
      <c r="M1622" s="37"/>
      <c r="N1622" s="37"/>
      <c r="O1622" s="37"/>
      <c r="P1622" s="36"/>
      <c r="Q1622" s="36"/>
      <c r="R1622" s="31"/>
      <c r="S1622" s="31"/>
      <c r="T1622" s="38"/>
      <c r="U1622" s="39">
        <f>IFERROR(_xlfn.XLOOKUP(E1622,[1]EMPREENDIMENTO!C:C,[1]EMPREENDIMENTO!D:D),"")</f>
        <v>0</v>
      </c>
    </row>
    <row r="1623" spans="1:21" hidden="1" x14ac:dyDescent="0.35">
      <c r="A1623" s="36" t="str">
        <f>IFERROR(_xlfn.XLOOKUP(C1623,[1]DIRETORIA!C:C,[1]DIRETORIA!A:A),"-")</f>
        <v>-</v>
      </c>
      <c r="B1623" s="36" t="str">
        <f>IFERROR(_xlfn.XLOOKUP(C1623,[1]DIRETORIA!C:C,[1]DIRETORIA!B:B),"-")</f>
        <v>-</v>
      </c>
      <c r="C1623" s="36">
        <f>IFERROR(_xlfn.XLOOKUP(E1623,[1]EMPREENDIMENTO!C:C,[1]EMPREENDIMENTO!A:A),"-")</f>
        <v>0</v>
      </c>
      <c r="D1623" s="36"/>
      <c r="E1623" s="36"/>
      <c r="F1623" s="36"/>
      <c r="G1623" s="36"/>
      <c r="H1623" s="36"/>
      <c r="I1623" s="29">
        <f>IFERROR(_xlfn.XLOOKUP(E1623,[1]EMPREENDIMENTO!C:C,[1]EMPREENDIMENTO!E:E),"0")</f>
        <v>0</v>
      </c>
      <c r="J1623" s="31"/>
      <c r="K1623" s="36"/>
      <c r="M1623" s="37"/>
      <c r="N1623" s="37"/>
      <c r="O1623" s="37"/>
      <c r="P1623" s="36"/>
      <c r="Q1623" s="36"/>
      <c r="R1623" s="31"/>
      <c r="S1623" s="31"/>
      <c r="T1623" s="38"/>
      <c r="U1623" s="39">
        <f>IFERROR(_xlfn.XLOOKUP(E1623,[1]EMPREENDIMENTO!C:C,[1]EMPREENDIMENTO!D:D),"")</f>
        <v>0</v>
      </c>
    </row>
    <row r="1624" spans="1:21" hidden="1" x14ac:dyDescent="0.35">
      <c r="A1624" s="36" t="str">
        <f>IFERROR(_xlfn.XLOOKUP(C1624,[1]DIRETORIA!C:C,[1]DIRETORIA!A:A),"-")</f>
        <v>-</v>
      </c>
      <c r="B1624" s="36" t="str">
        <f>IFERROR(_xlfn.XLOOKUP(C1624,[1]DIRETORIA!C:C,[1]DIRETORIA!B:B),"-")</f>
        <v>-</v>
      </c>
      <c r="C1624" s="36">
        <f>IFERROR(_xlfn.XLOOKUP(E1624,[1]EMPREENDIMENTO!C:C,[1]EMPREENDIMENTO!A:A),"-")</f>
        <v>0</v>
      </c>
      <c r="D1624" s="36"/>
      <c r="E1624" s="36"/>
      <c r="F1624" s="36"/>
      <c r="G1624" s="36"/>
      <c r="H1624" s="36"/>
      <c r="I1624" s="29">
        <f>IFERROR(_xlfn.XLOOKUP(E1624,[1]EMPREENDIMENTO!C:C,[1]EMPREENDIMENTO!E:E),"0")</f>
        <v>0</v>
      </c>
      <c r="J1624" s="31"/>
      <c r="K1624" s="36"/>
      <c r="M1624" s="37"/>
      <c r="N1624" s="37"/>
      <c r="O1624" s="37"/>
      <c r="P1624" s="36"/>
      <c r="Q1624" s="36"/>
      <c r="R1624" s="31"/>
      <c r="S1624" s="31"/>
      <c r="T1624" s="38"/>
      <c r="U1624" s="39">
        <f>IFERROR(_xlfn.XLOOKUP(E1624,[1]EMPREENDIMENTO!C:C,[1]EMPREENDIMENTO!D:D),"")</f>
        <v>0</v>
      </c>
    </row>
    <row r="1625" spans="1:21" hidden="1" x14ac:dyDescent="0.35">
      <c r="A1625" s="36" t="str">
        <f>IFERROR(_xlfn.XLOOKUP(C1625,[1]DIRETORIA!C:C,[1]DIRETORIA!A:A),"-")</f>
        <v>-</v>
      </c>
      <c r="B1625" s="36" t="str">
        <f>IFERROR(_xlfn.XLOOKUP(C1625,[1]DIRETORIA!C:C,[1]DIRETORIA!B:B),"-")</f>
        <v>-</v>
      </c>
      <c r="C1625" s="36">
        <f>IFERROR(_xlfn.XLOOKUP(E1625,[1]EMPREENDIMENTO!C:C,[1]EMPREENDIMENTO!A:A),"-")</f>
        <v>0</v>
      </c>
      <c r="D1625" s="36"/>
      <c r="E1625" s="36"/>
      <c r="F1625" s="36"/>
      <c r="G1625" s="36"/>
      <c r="H1625" s="36"/>
      <c r="I1625" s="29">
        <f>IFERROR(_xlfn.XLOOKUP(E1625,[1]EMPREENDIMENTO!C:C,[1]EMPREENDIMENTO!E:E),"0")</f>
        <v>0</v>
      </c>
      <c r="J1625" s="31"/>
      <c r="K1625" s="36"/>
      <c r="M1625" s="37"/>
      <c r="N1625" s="37"/>
      <c r="O1625" s="37"/>
      <c r="P1625" s="36"/>
      <c r="Q1625" s="36"/>
      <c r="R1625" s="31"/>
      <c r="S1625" s="31"/>
      <c r="T1625" s="38"/>
      <c r="U1625" s="39">
        <f>IFERROR(_xlfn.XLOOKUP(E1625,[1]EMPREENDIMENTO!C:C,[1]EMPREENDIMENTO!D:D),"")</f>
        <v>0</v>
      </c>
    </row>
    <row r="1626" spans="1:21" hidden="1" x14ac:dyDescent="0.35">
      <c r="A1626" s="36" t="str">
        <f>IFERROR(_xlfn.XLOOKUP(C1626,[1]DIRETORIA!C:C,[1]DIRETORIA!A:A),"-")</f>
        <v>-</v>
      </c>
      <c r="B1626" s="36" t="str">
        <f>IFERROR(_xlfn.XLOOKUP(C1626,[1]DIRETORIA!C:C,[1]DIRETORIA!B:B),"-")</f>
        <v>-</v>
      </c>
      <c r="C1626" s="36">
        <f>IFERROR(_xlfn.XLOOKUP(E1626,[1]EMPREENDIMENTO!C:C,[1]EMPREENDIMENTO!A:A),"-")</f>
        <v>0</v>
      </c>
      <c r="D1626" s="36"/>
      <c r="E1626" s="36"/>
      <c r="F1626" s="36"/>
      <c r="G1626" s="36"/>
      <c r="H1626" s="36"/>
      <c r="I1626" s="29">
        <f>IFERROR(_xlfn.XLOOKUP(E1626,[1]EMPREENDIMENTO!C:C,[1]EMPREENDIMENTO!E:E),"0")</f>
        <v>0</v>
      </c>
      <c r="J1626" s="31"/>
      <c r="K1626" s="36"/>
      <c r="M1626" s="37"/>
      <c r="N1626" s="37"/>
      <c r="O1626" s="37"/>
      <c r="P1626" s="36"/>
      <c r="Q1626" s="36"/>
      <c r="R1626" s="31"/>
      <c r="S1626" s="31"/>
      <c r="T1626" s="38"/>
      <c r="U1626" s="39">
        <f>IFERROR(_xlfn.XLOOKUP(E1626,[1]EMPREENDIMENTO!C:C,[1]EMPREENDIMENTO!D:D),"")</f>
        <v>0</v>
      </c>
    </row>
    <row r="1627" spans="1:21" hidden="1" x14ac:dyDescent="0.35">
      <c r="A1627" s="36" t="str">
        <f>IFERROR(_xlfn.XLOOKUP(C1627,[1]DIRETORIA!C:C,[1]DIRETORIA!A:A),"-")</f>
        <v>-</v>
      </c>
      <c r="B1627" s="36" t="str">
        <f>IFERROR(_xlfn.XLOOKUP(C1627,[1]DIRETORIA!C:C,[1]DIRETORIA!B:B),"-")</f>
        <v>-</v>
      </c>
      <c r="C1627" s="36">
        <f>IFERROR(_xlfn.XLOOKUP(E1627,[1]EMPREENDIMENTO!C:C,[1]EMPREENDIMENTO!A:A),"-")</f>
        <v>0</v>
      </c>
      <c r="D1627" s="36"/>
      <c r="E1627" s="36"/>
      <c r="F1627" s="36"/>
      <c r="G1627" s="36"/>
      <c r="H1627" s="36"/>
      <c r="I1627" s="29">
        <f>IFERROR(_xlfn.XLOOKUP(E1627,[1]EMPREENDIMENTO!C:C,[1]EMPREENDIMENTO!E:E),"0")</f>
        <v>0</v>
      </c>
      <c r="J1627" s="31"/>
      <c r="K1627" s="36"/>
      <c r="M1627" s="37"/>
      <c r="N1627" s="37"/>
      <c r="O1627" s="37"/>
      <c r="P1627" s="36"/>
      <c r="Q1627" s="36"/>
      <c r="R1627" s="31"/>
      <c r="S1627" s="31"/>
      <c r="T1627" s="38"/>
      <c r="U1627" s="39">
        <f>IFERROR(_xlfn.XLOOKUP(E1627,[1]EMPREENDIMENTO!C:C,[1]EMPREENDIMENTO!D:D),"")</f>
        <v>0</v>
      </c>
    </row>
    <row r="1628" spans="1:21" hidden="1" x14ac:dyDescent="0.35">
      <c r="A1628" s="36" t="str">
        <f>IFERROR(_xlfn.XLOOKUP(C1628,[1]DIRETORIA!C:C,[1]DIRETORIA!A:A),"-")</f>
        <v>-</v>
      </c>
      <c r="B1628" s="36" t="str">
        <f>IFERROR(_xlfn.XLOOKUP(C1628,[1]DIRETORIA!C:C,[1]DIRETORIA!B:B),"-")</f>
        <v>-</v>
      </c>
      <c r="C1628" s="36">
        <f>IFERROR(_xlfn.XLOOKUP(E1628,[1]EMPREENDIMENTO!C:C,[1]EMPREENDIMENTO!A:A),"-")</f>
        <v>0</v>
      </c>
      <c r="D1628" s="36"/>
      <c r="E1628" s="36"/>
      <c r="F1628" s="36"/>
      <c r="G1628" s="36"/>
      <c r="H1628" s="36"/>
      <c r="I1628" s="29">
        <f>IFERROR(_xlfn.XLOOKUP(E1628,[1]EMPREENDIMENTO!C:C,[1]EMPREENDIMENTO!E:E),"0")</f>
        <v>0</v>
      </c>
      <c r="J1628" s="31"/>
      <c r="K1628" s="36"/>
      <c r="M1628" s="37"/>
      <c r="N1628" s="37"/>
      <c r="O1628" s="37"/>
      <c r="P1628" s="36"/>
      <c r="Q1628" s="36"/>
      <c r="R1628" s="31"/>
      <c r="S1628" s="31"/>
      <c r="T1628" s="38"/>
      <c r="U1628" s="39">
        <f>IFERROR(_xlfn.XLOOKUP(E1628,[1]EMPREENDIMENTO!C:C,[1]EMPREENDIMENTO!D:D),"")</f>
        <v>0</v>
      </c>
    </row>
    <row r="1629" spans="1:21" hidden="1" x14ac:dyDescent="0.35">
      <c r="A1629" s="36" t="str">
        <f>IFERROR(_xlfn.XLOOKUP(C1629,[1]DIRETORIA!C:C,[1]DIRETORIA!A:A),"-")</f>
        <v>-</v>
      </c>
      <c r="B1629" s="36" t="str">
        <f>IFERROR(_xlfn.XLOOKUP(C1629,[1]DIRETORIA!C:C,[1]DIRETORIA!B:B),"-")</f>
        <v>-</v>
      </c>
      <c r="C1629" s="36">
        <f>IFERROR(_xlfn.XLOOKUP(E1629,[1]EMPREENDIMENTO!C:C,[1]EMPREENDIMENTO!A:A),"-")</f>
        <v>0</v>
      </c>
      <c r="D1629" s="36"/>
      <c r="E1629" s="36"/>
      <c r="F1629" s="36"/>
      <c r="G1629" s="36"/>
      <c r="H1629" s="36"/>
      <c r="I1629" s="29">
        <f>IFERROR(_xlfn.XLOOKUP(E1629,[1]EMPREENDIMENTO!C:C,[1]EMPREENDIMENTO!E:E),"0")</f>
        <v>0</v>
      </c>
      <c r="J1629" s="31"/>
      <c r="K1629" s="36"/>
      <c r="M1629" s="37"/>
      <c r="N1629" s="37"/>
      <c r="O1629" s="37"/>
      <c r="P1629" s="36"/>
      <c r="Q1629" s="36"/>
      <c r="R1629" s="31"/>
      <c r="S1629" s="31"/>
      <c r="T1629" s="38"/>
      <c r="U1629" s="39">
        <f>IFERROR(_xlfn.XLOOKUP(E1629,[1]EMPREENDIMENTO!C:C,[1]EMPREENDIMENTO!D:D),"")</f>
        <v>0</v>
      </c>
    </row>
    <row r="1630" spans="1:21" hidden="1" x14ac:dyDescent="0.35">
      <c r="A1630" s="36" t="str">
        <f>IFERROR(_xlfn.XLOOKUP(C1630,[1]DIRETORIA!C:C,[1]DIRETORIA!A:A),"-")</f>
        <v>-</v>
      </c>
      <c r="B1630" s="36" t="str">
        <f>IFERROR(_xlfn.XLOOKUP(C1630,[1]DIRETORIA!C:C,[1]DIRETORIA!B:B),"-")</f>
        <v>-</v>
      </c>
      <c r="C1630" s="36">
        <f>IFERROR(_xlfn.XLOOKUP(E1630,[1]EMPREENDIMENTO!C:C,[1]EMPREENDIMENTO!A:A),"-")</f>
        <v>0</v>
      </c>
      <c r="D1630" s="36"/>
      <c r="E1630" s="36"/>
      <c r="F1630" s="36"/>
      <c r="G1630" s="36"/>
      <c r="H1630" s="36"/>
      <c r="I1630" s="29">
        <f>IFERROR(_xlfn.XLOOKUP(E1630,[1]EMPREENDIMENTO!C:C,[1]EMPREENDIMENTO!E:E),"0")</f>
        <v>0</v>
      </c>
      <c r="J1630" s="31"/>
      <c r="K1630" s="36"/>
      <c r="M1630" s="37"/>
      <c r="N1630" s="37"/>
      <c r="O1630" s="37"/>
      <c r="P1630" s="36"/>
      <c r="Q1630" s="36"/>
      <c r="R1630" s="31"/>
      <c r="S1630" s="31"/>
      <c r="T1630" s="38"/>
      <c r="U1630" s="39">
        <f>IFERROR(_xlfn.XLOOKUP(E1630,[1]EMPREENDIMENTO!C:C,[1]EMPREENDIMENTO!D:D),"")</f>
        <v>0</v>
      </c>
    </row>
    <row r="1631" spans="1:21" hidden="1" x14ac:dyDescent="0.35">
      <c r="A1631" s="36" t="str">
        <f>IFERROR(_xlfn.XLOOKUP(C1631,[1]DIRETORIA!C:C,[1]DIRETORIA!A:A),"-")</f>
        <v>-</v>
      </c>
      <c r="B1631" s="36" t="str">
        <f>IFERROR(_xlfn.XLOOKUP(C1631,[1]DIRETORIA!C:C,[1]DIRETORIA!B:B),"-")</f>
        <v>-</v>
      </c>
      <c r="C1631" s="36">
        <f>IFERROR(_xlfn.XLOOKUP(E1631,[1]EMPREENDIMENTO!C:C,[1]EMPREENDIMENTO!A:A),"-")</f>
        <v>0</v>
      </c>
      <c r="D1631" s="36"/>
      <c r="E1631" s="36"/>
      <c r="F1631" s="36"/>
      <c r="G1631" s="36"/>
      <c r="H1631" s="36"/>
      <c r="I1631" s="29">
        <f>IFERROR(_xlfn.XLOOKUP(E1631,[1]EMPREENDIMENTO!C:C,[1]EMPREENDIMENTO!E:E),"0")</f>
        <v>0</v>
      </c>
      <c r="J1631" s="31"/>
      <c r="K1631" s="36"/>
      <c r="M1631" s="37"/>
      <c r="N1631" s="37"/>
      <c r="O1631" s="37"/>
      <c r="P1631" s="36"/>
      <c r="Q1631" s="36"/>
      <c r="R1631" s="31"/>
      <c r="S1631" s="31"/>
      <c r="T1631" s="38"/>
      <c r="U1631" s="39">
        <f>IFERROR(_xlfn.XLOOKUP(E1631,[1]EMPREENDIMENTO!C:C,[1]EMPREENDIMENTO!D:D),"")</f>
        <v>0</v>
      </c>
    </row>
    <row r="1632" spans="1:21" hidden="1" x14ac:dyDescent="0.35">
      <c r="A1632" s="36" t="str">
        <f>IFERROR(_xlfn.XLOOKUP(C1632,[1]DIRETORIA!C:C,[1]DIRETORIA!A:A),"-")</f>
        <v>-</v>
      </c>
      <c r="B1632" s="36" t="str">
        <f>IFERROR(_xlfn.XLOOKUP(C1632,[1]DIRETORIA!C:C,[1]DIRETORIA!B:B),"-")</f>
        <v>-</v>
      </c>
      <c r="C1632" s="36">
        <f>IFERROR(_xlfn.XLOOKUP(E1632,[1]EMPREENDIMENTO!C:C,[1]EMPREENDIMENTO!A:A),"-")</f>
        <v>0</v>
      </c>
      <c r="D1632" s="36"/>
      <c r="E1632" s="36"/>
      <c r="F1632" s="36"/>
      <c r="G1632" s="36"/>
      <c r="H1632" s="36"/>
      <c r="I1632" s="29">
        <f>IFERROR(_xlfn.XLOOKUP(E1632,[1]EMPREENDIMENTO!C:C,[1]EMPREENDIMENTO!E:E),"0")</f>
        <v>0</v>
      </c>
      <c r="J1632" s="31"/>
      <c r="K1632" s="36"/>
      <c r="M1632" s="37"/>
      <c r="N1632" s="37"/>
      <c r="O1632" s="37"/>
      <c r="P1632" s="36"/>
      <c r="Q1632" s="36"/>
      <c r="R1632" s="31"/>
      <c r="S1632" s="31"/>
      <c r="T1632" s="38"/>
      <c r="U1632" s="39">
        <f>IFERROR(_xlfn.XLOOKUP(E1632,[1]EMPREENDIMENTO!C:C,[1]EMPREENDIMENTO!D:D),"")</f>
        <v>0</v>
      </c>
    </row>
    <row r="1633" spans="1:21" hidden="1" x14ac:dyDescent="0.35">
      <c r="A1633" s="36" t="str">
        <f>IFERROR(_xlfn.XLOOKUP(C1633,[1]DIRETORIA!C:C,[1]DIRETORIA!A:A),"-")</f>
        <v>-</v>
      </c>
      <c r="B1633" s="36" t="str">
        <f>IFERROR(_xlfn.XLOOKUP(C1633,[1]DIRETORIA!C:C,[1]DIRETORIA!B:B),"-")</f>
        <v>-</v>
      </c>
      <c r="C1633" s="36">
        <f>IFERROR(_xlfn.XLOOKUP(E1633,[1]EMPREENDIMENTO!C:C,[1]EMPREENDIMENTO!A:A),"-")</f>
        <v>0</v>
      </c>
      <c r="D1633" s="36"/>
      <c r="E1633" s="36"/>
      <c r="F1633" s="36"/>
      <c r="G1633" s="36"/>
      <c r="H1633" s="36"/>
      <c r="I1633" s="29">
        <f>IFERROR(_xlfn.XLOOKUP(E1633,[1]EMPREENDIMENTO!C:C,[1]EMPREENDIMENTO!E:E),"0")</f>
        <v>0</v>
      </c>
      <c r="J1633" s="31"/>
      <c r="K1633" s="36"/>
      <c r="M1633" s="37"/>
      <c r="N1633" s="37"/>
      <c r="O1633" s="37"/>
      <c r="P1633" s="36"/>
      <c r="Q1633" s="36"/>
      <c r="R1633" s="31"/>
      <c r="S1633" s="31"/>
      <c r="T1633" s="38"/>
      <c r="U1633" s="39">
        <f>IFERROR(_xlfn.XLOOKUP(E1633,[1]EMPREENDIMENTO!C:C,[1]EMPREENDIMENTO!D:D),"")</f>
        <v>0</v>
      </c>
    </row>
    <row r="1634" spans="1:21" hidden="1" x14ac:dyDescent="0.35">
      <c r="A1634" s="36" t="str">
        <f>IFERROR(_xlfn.XLOOKUP(C1634,[1]DIRETORIA!C:C,[1]DIRETORIA!A:A),"-")</f>
        <v>-</v>
      </c>
      <c r="B1634" s="36" t="str">
        <f>IFERROR(_xlfn.XLOOKUP(C1634,[1]DIRETORIA!C:C,[1]DIRETORIA!B:B),"-")</f>
        <v>-</v>
      </c>
      <c r="C1634" s="36">
        <f>IFERROR(_xlfn.XLOOKUP(E1634,[1]EMPREENDIMENTO!C:C,[1]EMPREENDIMENTO!A:A),"-")</f>
        <v>0</v>
      </c>
      <c r="D1634" s="36"/>
      <c r="E1634" s="36"/>
      <c r="F1634" s="36"/>
      <c r="G1634" s="36"/>
      <c r="H1634" s="36"/>
      <c r="I1634" s="29">
        <f>IFERROR(_xlfn.XLOOKUP(E1634,[1]EMPREENDIMENTO!C:C,[1]EMPREENDIMENTO!E:E),"0")</f>
        <v>0</v>
      </c>
      <c r="J1634" s="31"/>
      <c r="K1634" s="36"/>
      <c r="M1634" s="37"/>
      <c r="N1634" s="37"/>
      <c r="O1634" s="37"/>
      <c r="P1634" s="36"/>
      <c r="Q1634" s="36"/>
      <c r="R1634" s="31"/>
      <c r="S1634" s="31"/>
      <c r="T1634" s="38"/>
      <c r="U1634" s="39">
        <f>IFERROR(_xlfn.XLOOKUP(E1634,[1]EMPREENDIMENTO!C:C,[1]EMPREENDIMENTO!D:D),"")</f>
        <v>0</v>
      </c>
    </row>
    <row r="1635" spans="1:21" hidden="1" x14ac:dyDescent="0.35">
      <c r="A1635" s="36" t="str">
        <f>IFERROR(_xlfn.XLOOKUP(C1635,[1]DIRETORIA!C:C,[1]DIRETORIA!A:A),"-")</f>
        <v>-</v>
      </c>
      <c r="B1635" s="36" t="str">
        <f>IFERROR(_xlfn.XLOOKUP(C1635,[1]DIRETORIA!C:C,[1]DIRETORIA!B:B),"-")</f>
        <v>-</v>
      </c>
      <c r="C1635" s="36">
        <f>IFERROR(_xlfn.XLOOKUP(E1635,[1]EMPREENDIMENTO!C:C,[1]EMPREENDIMENTO!A:A),"-")</f>
        <v>0</v>
      </c>
      <c r="D1635" s="36"/>
      <c r="E1635" s="36"/>
      <c r="F1635" s="36"/>
      <c r="G1635" s="36"/>
      <c r="H1635" s="36"/>
      <c r="I1635" s="29">
        <f>IFERROR(_xlfn.XLOOKUP(E1635,[1]EMPREENDIMENTO!C:C,[1]EMPREENDIMENTO!E:E),"0")</f>
        <v>0</v>
      </c>
      <c r="J1635" s="31"/>
      <c r="K1635" s="36"/>
      <c r="M1635" s="37"/>
      <c r="N1635" s="37"/>
      <c r="O1635" s="37"/>
      <c r="P1635" s="36"/>
      <c r="Q1635" s="36"/>
      <c r="R1635" s="31"/>
      <c r="S1635" s="31"/>
      <c r="T1635" s="38"/>
      <c r="U1635" s="39">
        <f>IFERROR(_xlfn.XLOOKUP(E1635,[1]EMPREENDIMENTO!C:C,[1]EMPREENDIMENTO!D:D),"")</f>
        <v>0</v>
      </c>
    </row>
    <row r="1636" spans="1:21" hidden="1" x14ac:dyDescent="0.35">
      <c r="A1636" s="36" t="str">
        <f>IFERROR(_xlfn.XLOOKUP(C1636,[1]DIRETORIA!C:C,[1]DIRETORIA!A:A),"-")</f>
        <v>-</v>
      </c>
      <c r="B1636" s="36" t="str">
        <f>IFERROR(_xlfn.XLOOKUP(C1636,[1]DIRETORIA!C:C,[1]DIRETORIA!B:B),"-")</f>
        <v>-</v>
      </c>
      <c r="C1636" s="36">
        <f>IFERROR(_xlfn.XLOOKUP(E1636,[1]EMPREENDIMENTO!C:C,[1]EMPREENDIMENTO!A:A),"-")</f>
        <v>0</v>
      </c>
      <c r="D1636" s="36"/>
      <c r="E1636" s="36"/>
      <c r="F1636" s="36"/>
      <c r="G1636" s="36"/>
      <c r="H1636" s="36"/>
      <c r="I1636" s="29">
        <f>IFERROR(_xlfn.XLOOKUP(E1636,[1]EMPREENDIMENTO!C:C,[1]EMPREENDIMENTO!E:E),"0")</f>
        <v>0</v>
      </c>
      <c r="J1636" s="31"/>
      <c r="K1636" s="36"/>
      <c r="M1636" s="37"/>
      <c r="N1636" s="37"/>
      <c r="O1636" s="37"/>
      <c r="P1636" s="36"/>
      <c r="Q1636" s="36"/>
      <c r="R1636" s="31"/>
      <c r="S1636" s="31"/>
      <c r="T1636" s="38"/>
      <c r="U1636" s="39">
        <f>IFERROR(_xlfn.XLOOKUP(E1636,[1]EMPREENDIMENTO!C:C,[1]EMPREENDIMENTO!D:D),"")</f>
        <v>0</v>
      </c>
    </row>
    <row r="1637" spans="1:21" hidden="1" x14ac:dyDescent="0.35">
      <c r="A1637" s="36" t="str">
        <f>IFERROR(_xlfn.XLOOKUP(C1637,[1]DIRETORIA!C:C,[1]DIRETORIA!A:A),"-")</f>
        <v>-</v>
      </c>
      <c r="B1637" s="36" t="str">
        <f>IFERROR(_xlfn.XLOOKUP(C1637,[1]DIRETORIA!C:C,[1]DIRETORIA!B:B),"-")</f>
        <v>-</v>
      </c>
      <c r="C1637" s="36">
        <f>IFERROR(_xlfn.XLOOKUP(E1637,[1]EMPREENDIMENTO!C:C,[1]EMPREENDIMENTO!A:A),"-")</f>
        <v>0</v>
      </c>
      <c r="D1637" s="36"/>
      <c r="E1637" s="36"/>
      <c r="F1637" s="36"/>
      <c r="G1637" s="36"/>
      <c r="H1637" s="36"/>
      <c r="I1637" s="29">
        <f>IFERROR(_xlfn.XLOOKUP(E1637,[1]EMPREENDIMENTO!C:C,[1]EMPREENDIMENTO!E:E),"0")</f>
        <v>0</v>
      </c>
      <c r="J1637" s="31"/>
      <c r="K1637" s="36"/>
      <c r="M1637" s="37"/>
      <c r="N1637" s="37"/>
      <c r="O1637" s="37"/>
      <c r="P1637" s="36"/>
      <c r="Q1637" s="36"/>
      <c r="R1637" s="31"/>
      <c r="S1637" s="31"/>
      <c r="T1637" s="38"/>
      <c r="U1637" s="39">
        <f>IFERROR(_xlfn.XLOOKUP(E1637,[1]EMPREENDIMENTO!C:C,[1]EMPREENDIMENTO!D:D),"")</f>
        <v>0</v>
      </c>
    </row>
    <row r="1638" spans="1:21" hidden="1" x14ac:dyDescent="0.35">
      <c r="A1638" s="36" t="str">
        <f>IFERROR(_xlfn.XLOOKUP(C1638,[1]DIRETORIA!C:C,[1]DIRETORIA!A:A),"-")</f>
        <v>-</v>
      </c>
      <c r="B1638" s="36" t="str">
        <f>IFERROR(_xlfn.XLOOKUP(C1638,[1]DIRETORIA!C:C,[1]DIRETORIA!B:B),"-")</f>
        <v>-</v>
      </c>
      <c r="C1638" s="36">
        <f>IFERROR(_xlfn.XLOOKUP(E1638,[1]EMPREENDIMENTO!C:C,[1]EMPREENDIMENTO!A:A),"-")</f>
        <v>0</v>
      </c>
      <c r="D1638" s="36"/>
      <c r="E1638" s="36"/>
      <c r="F1638" s="36"/>
      <c r="G1638" s="36"/>
      <c r="H1638" s="36"/>
      <c r="I1638" s="29">
        <f>IFERROR(_xlfn.XLOOKUP(E1638,[1]EMPREENDIMENTO!C:C,[1]EMPREENDIMENTO!E:E),"0")</f>
        <v>0</v>
      </c>
      <c r="J1638" s="31"/>
      <c r="K1638" s="36"/>
      <c r="M1638" s="37"/>
      <c r="N1638" s="37"/>
      <c r="O1638" s="37"/>
      <c r="P1638" s="36"/>
      <c r="Q1638" s="36"/>
      <c r="R1638" s="31"/>
      <c r="S1638" s="31"/>
      <c r="T1638" s="38"/>
      <c r="U1638" s="39">
        <f>IFERROR(_xlfn.XLOOKUP(E1638,[1]EMPREENDIMENTO!C:C,[1]EMPREENDIMENTO!D:D),"")</f>
        <v>0</v>
      </c>
    </row>
    <row r="1639" spans="1:21" hidden="1" x14ac:dyDescent="0.35">
      <c r="A1639" s="36" t="str">
        <f>IFERROR(_xlfn.XLOOKUP(C1639,[1]DIRETORIA!C:C,[1]DIRETORIA!A:A),"-")</f>
        <v>-</v>
      </c>
      <c r="B1639" s="36" t="str">
        <f>IFERROR(_xlfn.XLOOKUP(C1639,[1]DIRETORIA!C:C,[1]DIRETORIA!B:B),"-")</f>
        <v>-</v>
      </c>
      <c r="C1639" s="36">
        <f>IFERROR(_xlfn.XLOOKUP(E1639,[1]EMPREENDIMENTO!C:C,[1]EMPREENDIMENTO!A:A),"-")</f>
        <v>0</v>
      </c>
      <c r="D1639" s="36"/>
      <c r="E1639" s="36"/>
      <c r="F1639" s="36"/>
      <c r="G1639" s="36"/>
      <c r="H1639" s="36"/>
      <c r="I1639" s="29">
        <f>IFERROR(_xlfn.XLOOKUP(E1639,[1]EMPREENDIMENTO!C:C,[1]EMPREENDIMENTO!E:E),"0")</f>
        <v>0</v>
      </c>
      <c r="J1639" s="31"/>
      <c r="K1639" s="36"/>
      <c r="M1639" s="37"/>
      <c r="N1639" s="37"/>
      <c r="O1639" s="37"/>
      <c r="P1639" s="36"/>
      <c r="Q1639" s="36"/>
      <c r="R1639" s="31"/>
      <c r="S1639" s="31"/>
      <c r="T1639" s="38"/>
      <c r="U1639" s="39">
        <f>IFERROR(_xlfn.XLOOKUP(E1639,[1]EMPREENDIMENTO!C:C,[1]EMPREENDIMENTO!D:D),"")</f>
        <v>0</v>
      </c>
    </row>
    <row r="1640" spans="1:21" hidden="1" x14ac:dyDescent="0.35">
      <c r="A1640" s="36" t="str">
        <f>IFERROR(_xlfn.XLOOKUP(C1640,[1]DIRETORIA!C:C,[1]DIRETORIA!A:A),"-")</f>
        <v>-</v>
      </c>
      <c r="B1640" s="36" t="str">
        <f>IFERROR(_xlfn.XLOOKUP(C1640,[1]DIRETORIA!C:C,[1]DIRETORIA!B:B),"-")</f>
        <v>-</v>
      </c>
      <c r="C1640" s="36">
        <f>IFERROR(_xlfn.XLOOKUP(E1640,[1]EMPREENDIMENTO!C:C,[1]EMPREENDIMENTO!A:A),"-")</f>
        <v>0</v>
      </c>
      <c r="D1640" s="36"/>
      <c r="E1640" s="36"/>
      <c r="F1640" s="36"/>
      <c r="G1640" s="36"/>
      <c r="H1640" s="36"/>
      <c r="I1640" s="29">
        <f>IFERROR(_xlfn.XLOOKUP(E1640,[1]EMPREENDIMENTO!C:C,[1]EMPREENDIMENTO!E:E),"0")</f>
        <v>0</v>
      </c>
      <c r="J1640" s="31"/>
      <c r="K1640" s="36"/>
      <c r="M1640" s="37"/>
      <c r="N1640" s="37"/>
      <c r="O1640" s="37"/>
      <c r="P1640" s="36"/>
      <c r="Q1640" s="36"/>
      <c r="R1640" s="31"/>
      <c r="S1640" s="31"/>
      <c r="T1640" s="38"/>
      <c r="U1640" s="39">
        <f>IFERROR(_xlfn.XLOOKUP(E1640,[1]EMPREENDIMENTO!C:C,[1]EMPREENDIMENTO!D:D),"")</f>
        <v>0</v>
      </c>
    </row>
    <row r="1641" spans="1:21" hidden="1" x14ac:dyDescent="0.35">
      <c r="A1641" s="36" t="str">
        <f>IFERROR(_xlfn.XLOOKUP(C1641,[1]DIRETORIA!C:C,[1]DIRETORIA!A:A),"-")</f>
        <v>-</v>
      </c>
      <c r="B1641" s="36" t="str">
        <f>IFERROR(_xlfn.XLOOKUP(C1641,[1]DIRETORIA!C:C,[1]DIRETORIA!B:B),"-")</f>
        <v>-</v>
      </c>
      <c r="C1641" s="36">
        <f>IFERROR(_xlfn.XLOOKUP(E1641,[1]EMPREENDIMENTO!C:C,[1]EMPREENDIMENTO!A:A),"-")</f>
        <v>0</v>
      </c>
      <c r="D1641" s="36"/>
      <c r="E1641" s="36"/>
      <c r="F1641" s="36"/>
      <c r="G1641" s="36"/>
      <c r="H1641" s="36"/>
      <c r="I1641" s="29">
        <f>IFERROR(_xlfn.XLOOKUP(E1641,[1]EMPREENDIMENTO!C:C,[1]EMPREENDIMENTO!E:E),"0")</f>
        <v>0</v>
      </c>
      <c r="J1641" s="31"/>
      <c r="K1641" s="36"/>
      <c r="M1641" s="37"/>
      <c r="N1641" s="37"/>
      <c r="O1641" s="37"/>
      <c r="P1641" s="36"/>
      <c r="Q1641" s="36"/>
      <c r="R1641" s="31"/>
      <c r="S1641" s="31"/>
      <c r="T1641" s="38"/>
      <c r="U1641" s="39">
        <f>IFERROR(_xlfn.XLOOKUP(E1641,[1]EMPREENDIMENTO!C:C,[1]EMPREENDIMENTO!D:D),"")</f>
        <v>0</v>
      </c>
    </row>
    <row r="1642" spans="1:21" hidden="1" x14ac:dyDescent="0.35">
      <c r="A1642" s="36" t="str">
        <f>IFERROR(_xlfn.XLOOKUP(C1642,[1]DIRETORIA!C:C,[1]DIRETORIA!A:A),"-")</f>
        <v>-</v>
      </c>
      <c r="B1642" s="36" t="str">
        <f>IFERROR(_xlfn.XLOOKUP(C1642,[1]DIRETORIA!C:C,[1]DIRETORIA!B:B),"-")</f>
        <v>-</v>
      </c>
      <c r="C1642" s="36">
        <f>IFERROR(_xlfn.XLOOKUP(E1642,[1]EMPREENDIMENTO!C:C,[1]EMPREENDIMENTO!A:A),"-")</f>
        <v>0</v>
      </c>
      <c r="D1642" s="36"/>
      <c r="E1642" s="36"/>
      <c r="F1642" s="36"/>
      <c r="G1642" s="36"/>
      <c r="H1642" s="36"/>
      <c r="I1642" s="29">
        <f>IFERROR(_xlfn.XLOOKUP(E1642,[1]EMPREENDIMENTO!C:C,[1]EMPREENDIMENTO!E:E),"0")</f>
        <v>0</v>
      </c>
      <c r="J1642" s="31"/>
      <c r="K1642" s="36"/>
      <c r="M1642" s="37"/>
      <c r="N1642" s="37"/>
      <c r="O1642" s="37"/>
      <c r="P1642" s="36"/>
      <c r="Q1642" s="36"/>
      <c r="R1642" s="31"/>
      <c r="S1642" s="31"/>
      <c r="T1642" s="38"/>
      <c r="U1642" s="39">
        <f>IFERROR(_xlfn.XLOOKUP(E1642,[1]EMPREENDIMENTO!C:C,[1]EMPREENDIMENTO!D:D),"")</f>
        <v>0</v>
      </c>
    </row>
    <row r="1643" spans="1:21" hidden="1" x14ac:dyDescent="0.35">
      <c r="A1643" s="36" t="str">
        <f>IFERROR(_xlfn.XLOOKUP(C1643,[1]DIRETORIA!C:C,[1]DIRETORIA!A:A),"-")</f>
        <v>-</v>
      </c>
      <c r="B1643" s="36" t="str">
        <f>IFERROR(_xlfn.XLOOKUP(C1643,[1]DIRETORIA!C:C,[1]DIRETORIA!B:B),"-")</f>
        <v>-</v>
      </c>
      <c r="C1643" s="36">
        <f>IFERROR(_xlfn.XLOOKUP(E1643,[1]EMPREENDIMENTO!C:C,[1]EMPREENDIMENTO!A:A),"-")</f>
        <v>0</v>
      </c>
      <c r="D1643" s="36"/>
      <c r="E1643" s="36"/>
      <c r="F1643" s="36"/>
      <c r="G1643" s="36"/>
      <c r="H1643" s="36"/>
      <c r="I1643" s="29">
        <f>IFERROR(_xlfn.XLOOKUP(E1643,[1]EMPREENDIMENTO!C:C,[1]EMPREENDIMENTO!E:E),"0")</f>
        <v>0</v>
      </c>
      <c r="J1643" s="31"/>
      <c r="K1643" s="36"/>
      <c r="M1643" s="37"/>
      <c r="N1643" s="37"/>
      <c r="O1643" s="37"/>
      <c r="P1643" s="36"/>
      <c r="Q1643" s="36"/>
      <c r="R1643" s="31"/>
      <c r="S1643" s="31"/>
      <c r="T1643" s="38"/>
      <c r="U1643" s="39">
        <f>IFERROR(_xlfn.XLOOKUP(E1643,[1]EMPREENDIMENTO!C:C,[1]EMPREENDIMENTO!D:D),"")</f>
        <v>0</v>
      </c>
    </row>
    <row r="1644" spans="1:21" hidden="1" x14ac:dyDescent="0.35">
      <c r="A1644" s="36" t="str">
        <f>IFERROR(_xlfn.XLOOKUP(C1644,[1]DIRETORIA!C:C,[1]DIRETORIA!A:A),"-")</f>
        <v>-</v>
      </c>
      <c r="B1644" s="36" t="str">
        <f>IFERROR(_xlfn.XLOOKUP(C1644,[1]DIRETORIA!C:C,[1]DIRETORIA!B:B),"-")</f>
        <v>-</v>
      </c>
      <c r="C1644" s="36">
        <f>IFERROR(_xlfn.XLOOKUP(E1644,[1]EMPREENDIMENTO!C:C,[1]EMPREENDIMENTO!A:A),"-")</f>
        <v>0</v>
      </c>
      <c r="D1644" s="36"/>
      <c r="E1644" s="36"/>
      <c r="F1644" s="36"/>
      <c r="G1644" s="36"/>
      <c r="H1644" s="36"/>
      <c r="I1644" s="29">
        <f>IFERROR(_xlfn.XLOOKUP(E1644,[1]EMPREENDIMENTO!C:C,[1]EMPREENDIMENTO!E:E),"0")</f>
        <v>0</v>
      </c>
      <c r="J1644" s="31"/>
      <c r="K1644" s="36"/>
      <c r="M1644" s="37"/>
      <c r="N1644" s="37"/>
      <c r="O1644" s="37"/>
      <c r="P1644" s="36"/>
      <c r="Q1644" s="36"/>
      <c r="R1644" s="31"/>
      <c r="S1644" s="31"/>
      <c r="T1644" s="38"/>
      <c r="U1644" s="39">
        <f>IFERROR(_xlfn.XLOOKUP(E1644,[1]EMPREENDIMENTO!C:C,[1]EMPREENDIMENTO!D:D),"")</f>
        <v>0</v>
      </c>
    </row>
    <row r="1645" spans="1:21" hidden="1" x14ac:dyDescent="0.35">
      <c r="A1645" s="36" t="str">
        <f>IFERROR(_xlfn.XLOOKUP(C1645,[1]DIRETORIA!C:C,[1]DIRETORIA!A:A),"-")</f>
        <v>-</v>
      </c>
      <c r="B1645" s="36" t="str">
        <f>IFERROR(_xlfn.XLOOKUP(C1645,[1]DIRETORIA!C:C,[1]DIRETORIA!B:B),"-")</f>
        <v>-</v>
      </c>
      <c r="C1645" s="36">
        <f>IFERROR(_xlfn.XLOOKUP(E1645,[1]EMPREENDIMENTO!C:C,[1]EMPREENDIMENTO!A:A),"-")</f>
        <v>0</v>
      </c>
      <c r="D1645" s="36"/>
      <c r="E1645" s="36"/>
      <c r="F1645" s="36"/>
      <c r="G1645" s="36"/>
      <c r="H1645" s="36"/>
      <c r="I1645" s="29">
        <f>IFERROR(_xlfn.XLOOKUP(E1645,[1]EMPREENDIMENTO!C:C,[1]EMPREENDIMENTO!E:E),"0")</f>
        <v>0</v>
      </c>
      <c r="J1645" s="31"/>
      <c r="K1645" s="36"/>
      <c r="M1645" s="37"/>
      <c r="N1645" s="37"/>
      <c r="O1645" s="37"/>
      <c r="P1645" s="36"/>
      <c r="Q1645" s="36"/>
      <c r="R1645" s="31"/>
      <c r="S1645" s="31"/>
      <c r="T1645" s="38"/>
      <c r="U1645" s="39">
        <f>IFERROR(_xlfn.XLOOKUP(E1645,[1]EMPREENDIMENTO!C:C,[1]EMPREENDIMENTO!D:D),"")</f>
        <v>0</v>
      </c>
    </row>
    <row r="1646" spans="1:21" hidden="1" x14ac:dyDescent="0.35">
      <c r="A1646" s="36" t="str">
        <f>IFERROR(_xlfn.XLOOKUP(C1646,[1]DIRETORIA!C:C,[1]DIRETORIA!A:A),"-")</f>
        <v>-</v>
      </c>
      <c r="B1646" s="36" t="str">
        <f>IFERROR(_xlfn.XLOOKUP(C1646,[1]DIRETORIA!C:C,[1]DIRETORIA!B:B),"-")</f>
        <v>-</v>
      </c>
      <c r="C1646" s="36">
        <f>IFERROR(_xlfn.XLOOKUP(E1646,[1]EMPREENDIMENTO!C:C,[1]EMPREENDIMENTO!A:A),"-")</f>
        <v>0</v>
      </c>
      <c r="D1646" s="36"/>
      <c r="E1646" s="36"/>
      <c r="F1646" s="36"/>
      <c r="G1646" s="36"/>
      <c r="H1646" s="36"/>
      <c r="I1646" s="29">
        <f>IFERROR(_xlfn.XLOOKUP(E1646,[1]EMPREENDIMENTO!C:C,[1]EMPREENDIMENTO!E:E),"0")</f>
        <v>0</v>
      </c>
      <c r="J1646" s="31"/>
      <c r="K1646" s="36"/>
      <c r="M1646" s="37"/>
      <c r="N1646" s="37"/>
      <c r="O1646" s="37"/>
      <c r="P1646" s="36"/>
      <c r="Q1646" s="36"/>
      <c r="R1646" s="31"/>
      <c r="S1646" s="31"/>
      <c r="T1646" s="38"/>
      <c r="U1646" s="39">
        <f>IFERROR(_xlfn.XLOOKUP(E1646,[1]EMPREENDIMENTO!C:C,[1]EMPREENDIMENTO!D:D),"")</f>
        <v>0</v>
      </c>
    </row>
    <row r="1647" spans="1:21" hidden="1" x14ac:dyDescent="0.35">
      <c r="A1647" s="36" t="str">
        <f>IFERROR(_xlfn.XLOOKUP(C1647,[1]DIRETORIA!C:C,[1]DIRETORIA!A:A),"-")</f>
        <v>-</v>
      </c>
      <c r="B1647" s="36" t="str">
        <f>IFERROR(_xlfn.XLOOKUP(C1647,[1]DIRETORIA!C:C,[1]DIRETORIA!B:B),"-")</f>
        <v>-</v>
      </c>
      <c r="C1647" s="36">
        <f>IFERROR(_xlfn.XLOOKUP(E1647,[1]EMPREENDIMENTO!C:C,[1]EMPREENDIMENTO!A:A),"-")</f>
        <v>0</v>
      </c>
      <c r="D1647" s="36"/>
      <c r="E1647" s="36"/>
      <c r="F1647" s="36"/>
      <c r="G1647" s="36"/>
      <c r="H1647" s="36"/>
      <c r="I1647" s="29">
        <f>IFERROR(_xlfn.XLOOKUP(E1647,[1]EMPREENDIMENTO!C:C,[1]EMPREENDIMENTO!E:E),"0")</f>
        <v>0</v>
      </c>
      <c r="J1647" s="31"/>
      <c r="K1647" s="36"/>
      <c r="M1647" s="37"/>
      <c r="N1647" s="37"/>
      <c r="O1647" s="37"/>
      <c r="P1647" s="36"/>
      <c r="Q1647" s="36"/>
      <c r="R1647" s="31"/>
      <c r="S1647" s="31"/>
      <c r="T1647" s="38"/>
      <c r="U1647" s="39">
        <f>IFERROR(_xlfn.XLOOKUP(E1647,[1]EMPREENDIMENTO!C:C,[1]EMPREENDIMENTO!D:D),"")</f>
        <v>0</v>
      </c>
    </row>
    <row r="1648" spans="1:21" hidden="1" x14ac:dyDescent="0.35">
      <c r="A1648" s="36" t="str">
        <f>IFERROR(_xlfn.XLOOKUP(C1648,[1]DIRETORIA!C:C,[1]DIRETORIA!A:A),"-")</f>
        <v>-</v>
      </c>
      <c r="B1648" s="36" t="str">
        <f>IFERROR(_xlfn.XLOOKUP(C1648,[1]DIRETORIA!C:C,[1]DIRETORIA!B:B),"-")</f>
        <v>-</v>
      </c>
      <c r="C1648" s="36">
        <f>IFERROR(_xlfn.XLOOKUP(E1648,[1]EMPREENDIMENTO!C:C,[1]EMPREENDIMENTO!A:A),"-")</f>
        <v>0</v>
      </c>
      <c r="D1648" s="36"/>
      <c r="E1648" s="36"/>
      <c r="F1648" s="36"/>
      <c r="G1648" s="36"/>
      <c r="H1648" s="36"/>
      <c r="I1648" s="29">
        <f>IFERROR(_xlfn.XLOOKUP(E1648,[1]EMPREENDIMENTO!C:C,[1]EMPREENDIMENTO!E:E),"0")</f>
        <v>0</v>
      </c>
      <c r="J1648" s="31"/>
      <c r="K1648" s="36"/>
      <c r="M1648" s="37"/>
      <c r="N1648" s="37"/>
      <c r="O1648" s="37"/>
      <c r="P1648" s="36"/>
      <c r="Q1648" s="36"/>
      <c r="R1648" s="31"/>
      <c r="S1648" s="31"/>
      <c r="T1648" s="38"/>
      <c r="U1648" s="39">
        <f>IFERROR(_xlfn.XLOOKUP(E1648,[1]EMPREENDIMENTO!C:C,[1]EMPREENDIMENTO!D:D),"")</f>
        <v>0</v>
      </c>
    </row>
    <row r="1649" spans="1:21" hidden="1" x14ac:dyDescent="0.35">
      <c r="A1649" s="36" t="str">
        <f>IFERROR(_xlfn.XLOOKUP(C1649,[1]DIRETORIA!C:C,[1]DIRETORIA!A:A),"-")</f>
        <v>-</v>
      </c>
      <c r="B1649" s="36" t="str">
        <f>IFERROR(_xlfn.XLOOKUP(C1649,[1]DIRETORIA!C:C,[1]DIRETORIA!B:B),"-")</f>
        <v>-</v>
      </c>
      <c r="C1649" s="36">
        <f>IFERROR(_xlfn.XLOOKUP(E1649,[1]EMPREENDIMENTO!C:C,[1]EMPREENDIMENTO!A:A),"-")</f>
        <v>0</v>
      </c>
      <c r="D1649" s="36"/>
      <c r="E1649" s="36"/>
      <c r="F1649" s="36"/>
      <c r="G1649" s="36"/>
      <c r="H1649" s="36"/>
      <c r="I1649" s="29">
        <f>IFERROR(_xlfn.XLOOKUP(E1649,[1]EMPREENDIMENTO!C:C,[1]EMPREENDIMENTO!E:E),"0")</f>
        <v>0</v>
      </c>
      <c r="J1649" s="31"/>
      <c r="K1649" s="36"/>
      <c r="M1649" s="37"/>
      <c r="N1649" s="37"/>
      <c r="O1649" s="37"/>
      <c r="P1649" s="36"/>
      <c r="Q1649" s="36"/>
      <c r="R1649" s="31"/>
      <c r="S1649" s="31"/>
      <c r="T1649" s="38"/>
      <c r="U1649" s="39">
        <f>IFERROR(_xlfn.XLOOKUP(E1649,[1]EMPREENDIMENTO!C:C,[1]EMPREENDIMENTO!D:D),"")</f>
        <v>0</v>
      </c>
    </row>
    <row r="1650" spans="1:21" hidden="1" x14ac:dyDescent="0.35">
      <c r="A1650" s="36" t="str">
        <f>IFERROR(_xlfn.XLOOKUP(C1650,[1]DIRETORIA!C:C,[1]DIRETORIA!A:A),"-")</f>
        <v>-</v>
      </c>
      <c r="B1650" s="36" t="str">
        <f>IFERROR(_xlfn.XLOOKUP(C1650,[1]DIRETORIA!C:C,[1]DIRETORIA!B:B),"-")</f>
        <v>-</v>
      </c>
      <c r="C1650" s="36">
        <f>IFERROR(_xlfn.XLOOKUP(E1650,[1]EMPREENDIMENTO!C:C,[1]EMPREENDIMENTO!A:A),"-")</f>
        <v>0</v>
      </c>
      <c r="D1650" s="36"/>
      <c r="E1650" s="36"/>
      <c r="F1650" s="36"/>
      <c r="G1650" s="36"/>
      <c r="H1650" s="36"/>
      <c r="I1650" s="29">
        <f>IFERROR(_xlfn.XLOOKUP(E1650,[1]EMPREENDIMENTO!C:C,[1]EMPREENDIMENTO!E:E),"0")</f>
        <v>0</v>
      </c>
      <c r="J1650" s="31"/>
      <c r="K1650" s="36"/>
      <c r="M1650" s="37"/>
      <c r="N1650" s="37"/>
      <c r="O1650" s="37"/>
      <c r="P1650" s="36"/>
      <c r="Q1650" s="36"/>
      <c r="R1650" s="31"/>
      <c r="S1650" s="31"/>
      <c r="T1650" s="38"/>
      <c r="U1650" s="39">
        <f>IFERROR(_xlfn.XLOOKUP(E1650,[1]EMPREENDIMENTO!C:C,[1]EMPREENDIMENTO!D:D),"")</f>
        <v>0</v>
      </c>
    </row>
    <row r="1651" spans="1:21" hidden="1" x14ac:dyDescent="0.35">
      <c r="A1651" s="36" t="str">
        <f>IFERROR(_xlfn.XLOOKUP(C1651,[1]DIRETORIA!C:C,[1]DIRETORIA!A:A),"-")</f>
        <v>-</v>
      </c>
      <c r="B1651" s="36" t="str">
        <f>IFERROR(_xlfn.XLOOKUP(C1651,[1]DIRETORIA!C:C,[1]DIRETORIA!B:B),"-")</f>
        <v>-</v>
      </c>
      <c r="C1651" s="36">
        <f>IFERROR(_xlfn.XLOOKUP(E1651,[1]EMPREENDIMENTO!C:C,[1]EMPREENDIMENTO!A:A),"-")</f>
        <v>0</v>
      </c>
      <c r="D1651" s="36"/>
      <c r="E1651" s="36"/>
      <c r="F1651" s="36"/>
      <c r="G1651" s="36"/>
      <c r="H1651" s="36"/>
      <c r="I1651" s="29">
        <f>IFERROR(_xlfn.XLOOKUP(E1651,[1]EMPREENDIMENTO!C:C,[1]EMPREENDIMENTO!E:E),"0")</f>
        <v>0</v>
      </c>
      <c r="J1651" s="31"/>
      <c r="K1651" s="36"/>
      <c r="M1651" s="37"/>
      <c r="N1651" s="37"/>
      <c r="O1651" s="37"/>
      <c r="P1651" s="36"/>
      <c r="Q1651" s="36"/>
      <c r="R1651" s="31"/>
      <c r="S1651" s="31"/>
      <c r="T1651" s="38"/>
      <c r="U1651" s="39">
        <f>IFERROR(_xlfn.XLOOKUP(E1651,[1]EMPREENDIMENTO!C:C,[1]EMPREENDIMENTO!D:D),"")</f>
        <v>0</v>
      </c>
    </row>
    <row r="1652" spans="1:21" hidden="1" x14ac:dyDescent="0.35">
      <c r="A1652" s="36" t="str">
        <f>IFERROR(_xlfn.XLOOKUP(C1652,[1]DIRETORIA!C:C,[1]DIRETORIA!A:A),"-")</f>
        <v>-</v>
      </c>
      <c r="B1652" s="36" t="str">
        <f>IFERROR(_xlfn.XLOOKUP(C1652,[1]DIRETORIA!C:C,[1]DIRETORIA!B:B),"-")</f>
        <v>-</v>
      </c>
      <c r="C1652" s="36">
        <f>IFERROR(_xlfn.XLOOKUP(E1652,[1]EMPREENDIMENTO!C:C,[1]EMPREENDIMENTO!A:A),"-")</f>
        <v>0</v>
      </c>
      <c r="D1652" s="36"/>
      <c r="E1652" s="36"/>
      <c r="F1652" s="36"/>
      <c r="G1652" s="36"/>
      <c r="H1652" s="36"/>
      <c r="I1652" s="29">
        <f>IFERROR(_xlfn.XLOOKUP(E1652,[1]EMPREENDIMENTO!C:C,[1]EMPREENDIMENTO!E:E),"0")</f>
        <v>0</v>
      </c>
      <c r="J1652" s="31"/>
      <c r="K1652" s="36"/>
      <c r="M1652" s="37"/>
      <c r="N1652" s="37"/>
      <c r="O1652" s="37"/>
      <c r="P1652" s="36"/>
      <c r="Q1652" s="36"/>
      <c r="R1652" s="31"/>
      <c r="S1652" s="31"/>
      <c r="T1652" s="38"/>
      <c r="U1652" s="39">
        <f>IFERROR(_xlfn.XLOOKUP(E1652,[1]EMPREENDIMENTO!C:C,[1]EMPREENDIMENTO!D:D),"")</f>
        <v>0</v>
      </c>
    </row>
    <row r="1653" spans="1:21" hidden="1" x14ac:dyDescent="0.35">
      <c r="A1653" s="36" t="str">
        <f>IFERROR(_xlfn.XLOOKUP(C1653,[1]DIRETORIA!C:C,[1]DIRETORIA!A:A),"-")</f>
        <v>-</v>
      </c>
      <c r="B1653" s="36" t="str">
        <f>IFERROR(_xlfn.XLOOKUP(C1653,[1]DIRETORIA!C:C,[1]DIRETORIA!B:B),"-")</f>
        <v>-</v>
      </c>
      <c r="C1653" s="36">
        <f>IFERROR(_xlfn.XLOOKUP(E1653,[1]EMPREENDIMENTO!C:C,[1]EMPREENDIMENTO!A:A),"-")</f>
        <v>0</v>
      </c>
      <c r="D1653" s="36"/>
      <c r="E1653" s="36"/>
      <c r="F1653" s="36"/>
      <c r="G1653" s="36"/>
      <c r="H1653" s="36"/>
      <c r="I1653" s="29">
        <f>IFERROR(_xlfn.XLOOKUP(E1653,[1]EMPREENDIMENTO!C:C,[1]EMPREENDIMENTO!E:E),"0")</f>
        <v>0</v>
      </c>
      <c r="J1653" s="31"/>
      <c r="K1653" s="36"/>
      <c r="M1653" s="37"/>
      <c r="N1653" s="37"/>
      <c r="O1653" s="37"/>
      <c r="P1653" s="36"/>
      <c r="Q1653" s="36"/>
      <c r="R1653" s="31"/>
      <c r="S1653" s="31"/>
      <c r="T1653" s="38"/>
      <c r="U1653" s="39">
        <f>IFERROR(_xlfn.XLOOKUP(E1653,[1]EMPREENDIMENTO!C:C,[1]EMPREENDIMENTO!D:D),"")</f>
        <v>0</v>
      </c>
    </row>
    <row r="1654" spans="1:21" hidden="1" x14ac:dyDescent="0.35">
      <c r="A1654" s="36" t="str">
        <f>IFERROR(_xlfn.XLOOKUP(C1654,[1]DIRETORIA!C:C,[1]DIRETORIA!A:A),"-")</f>
        <v>-</v>
      </c>
      <c r="B1654" s="36" t="str">
        <f>IFERROR(_xlfn.XLOOKUP(C1654,[1]DIRETORIA!C:C,[1]DIRETORIA!B:B),"-")</f>
        <v>-</v>
      </c>
      <c r="C1654" s="36">
        <f>IFERROR(_xlfn.XLOOKUP(E1654,[1]EMPREENDIMENTO!C:C,[1]EMPREENDIMENTO!A:A),"-")</f>
        <v>0</v>
      </c>
      <c r="D1654" s="36"/>
      <c r="E1654" s="36"/>
      <c r="F1654" s="36"/>
      <c r="G1654" s="36"/>
      <c r="H1654" s="36"/>
      <c r="I1654" s="29">
        <f>IFERROR(_xlfn.XLOOKUP(E1654,[1]EMPREENDIMENTO!C:C,[1]EMPREENDIMENTO!E:E),"0")</f>
        <v>0</v>
      </c>
      <c r="J1654" s="31"/>
      <c r="K1654" s="36"/>
      <c r="M1654" s="37"/>
      <c r="N1654" s="37"/>
      <c r="O1654" s="37"/>
      <c r="P1654" s="36"/>
      <c r="Q1654" s="36"/>
      <c r="R1654" s="31"/>
      <c r="S1654" s="31"/>
      <c r="T1654" s="38"/>
      <c r="U1654" s="39">
        <f>IFERROR(_xlfn.XLOOKUP(E1654,[1]EMPREENDIMENTO!C:C,[1]EMPREENDIMENTO!D:D),"")</f>
        <v>0</v>
      </c>
    </row>
    <row r="1655" spans="1:21" hidden="1" x14ac:dyDescent="0.35">
      <c r="A1655" s="36" t="str">
        <f>IFERROR(_xlfn.XLOOKUP(C1655,[1]DIRETORIA!C:C,[1]DIRETORIA!A:A),"-")</f>
        <v>-</v>
      </c>
      <c r="B1655" s="36" t="str">
        <f>IFERROR(_xlfn.XLOOKUP(C1655,[1]DIRETORIA!C:C,[1]DIRETORIA!B:B),"-")</f>
        <v>-</v>
      </c>
      <c r="C1655" s="36">
        <f>IFERROR(_xlfn.XLOOKUP(E1655,[1]EMPREENDIMENTO!C:C,[1]EMPREENDIMENTO!A:A),"-")</f>
        <v>0</v>
      </c>
      <c r="D1655" s="36"/>
      <c r="E1655" s="36"/>
      <c r="F1655" s="36"/>
      <c r="G1655" s="36"/>
      <c r="H1655" s="36"/>
      <c r="I1655" s="29">
        <f>IFERROR(_xlfn.XLOOKUP(E1655,[1]EMPREENDIMENTO!C:C,[1]EMPREENDIMENTO!E:E),"0")</f>
        <v>0</v>
      </c>
      <c r="J1655" s="31"/>
      <c r="K1655" s="36"/>
      <c r="M1655" s="37"/>
      <c r="N1655" s="37"/>
      <c r="O1655" s="37"/>
      <c r="P1655" s="36"/>
      <c r="Q1655" s="36"/>
      <c r="R1655" s="31"/>
      <c r="S1655" s="31"/>
      <c r="T1655" s="38"/>
      <c r="U1655" s="39">
        <f>IFERROR(_xlfn.XLOOKUP(E1655,[1]EMPREENDIMENTO!C:C,[1]EMPREENDIMENTO!D:D),"")</f>
        <v>0</v>
      </c>
    </row>
    <row r="1656" spans="1:21" hidden="1" x14ac:dyDescent="0.35">
      <c r="A1656" s="36" t="str">
        <f>IFERROR(_xlfn.XLOOKUP(C1656,[1]DIRETORIA!C:C,[1]DIRETORIA!A:A),"-")</f>
        <v>-</v>
      </c>
      <c r="B1656" s="36" t="str">
        <f>IFERROR(_xlfn.XLOOKUP(C1656,[1]DIRETORIA!C:C,[1]DIRETORIA!B:B),"-")</f>
        <v>-</v>
      </c>
      <c r="C1656" s="36">
        <f>IFERROR(_xlfn.XLOOKUP(E1656,[1]EMPREENDIMENTO!C:C,[1]EMPREENDIMENTO!A:A),"-")</f>
        <v>0</v>
      </c>
      <c r="D1656" s="36"/>
      <c r="E1656" s="36"/>
      <c r="F1656" s="36"/>
      <c r="G1656" s="36"/>
      <c r="H1656" s="36"/>
      <c r="I1656" s="29">
        <f>IFERROR(_xlfn.XLOOKUP(E1656,[1]EMPREENDIMENTO!C:C,[1]EMPREENDIMENTO!E:E),"0")</f>
        <v>0</v>
      </c>
      <c r="J1656" s="31"/>
      <c r="K1656" s="36"/>
      <c r="M1656" s="37"/>
      <c r="N1656" s="37"/>
      <c r="O1656" s="37"/>
      <c r="P1656" s="36"/>
      <c r="Q1656" s="36"/>
      <c r="R1656" s="31"/>
      <c r="S1656" s="31"/>
      <c r="T1656" s="38"/>
      <c r="U1656" s="39">
        <f>IFERROR(_xlfn.XLOOKUP(E1656,[1]EMPREENDIMENTO!C:C,[1]EMPREENDIMENTO!D:D),"")</f>
        <v>0</v>
      </c>
    </row>
    <row r="1657" spans="1:21" hidden="1" x14ac:dyDescent="0.35">
      <c r="A1657" s="36" t="str">
        <f>IFERROR(_xlfn.XLOOKUP(C1657,[1]DIRETORIA!C:C,[1]DIRETORIA!A:A),"-")</f>
        <v>-</v>
      </c>
      <c r="B1657" s="36" t="str">
        <f>IFERROR(_xlfn.XLOOKUP(C1657,[1]DIRETORIA!C:C,[1]DIRETORIA!B:B),"-")</f>
        <v>-</v>
      </c>
      <c r="C1657" s="36">
        <f>IFERROR(_xlfn.XLOOKUP(E1657,[1]EMPREENDIMENTO!C:C,[1]EMPREENDIMENTO!A:A),"-")</f>
        <v>0</v>
      </c>
      <c r="D1657" s="36"/>
      <c r="E1657" s="36"/>
      <c r="F1657" s="36"/>
      <c r="G1657" s="36"/>
      <c r="H1657" s="36"/>
      <c r="I1657" s="29">
        <f>IFERROR(_xlfn.XLOOKUP(E1657,[1]EMPREENDIMENTO!C:C,[1]EMPREENDIMENTO!E:E),"0")</f>
        <v>0</v>
      </c>
      <c r="J1657" s="31"/>
      <c r="K1657" s="36"/>
      <c r="M1657" s="37"/>
      <c r="N1657" s="37"/>
      <c r="O1657" s="37"/>
      <c r="P1657" s="36"/>
      <c r="Q1657" s="36"/>
      <c r="R1657" s="31"/>
      <c r="S1657" s="31"/>
      <c r="T1657" s="38"/>
      <c r="U1657" s="39">
        <f>IFERROR(_xlfn.XLOOKUP(E1657,[1]EMPREENDIMENTO!C:C,[1]EMPREENDIMENTO!D:D),"")</f>
        <v>0</v>
      </c>
    </row>
    <row r="1658" spans="1:21" hidden="1" x14ac:dyDescent="0.35">
      <c r="A1658" s="36" t="str">
        <f>IFERROR(_xlfn.XLOOKUP(C1658,[1]DIRETORIA!C:C,[1]DIRETORIA!A:A),"-")</f>
        <v>-</v>
      </c>
      <c r="B1658" s="36" t="str">
        <f>IFERROR(_xlfn.XLOOKUP(C1658,[1]DIRETORIA!C:C,[1]DIRETORIA!B:B),"-")</f>
        <v>-</v>
      </c>
      <c r="C1658" s="36">
        <f>IFERROR(_xlfn.XLOOKUP(E1658,[1]EMPREENDIMENTO!C:C,[1]EMPREENDIMENTO!A:A),"-")</f>
        <v>0</v>
      </c>
      <c r="D1658" s="36"/>
      <c r="E1658" s="36"/>
      <c r="F1658" s="36"/>
      <c r="G1658" s="36"/>
      <c r="H1658" s="36"/>
      <c r="I1658" s="29">
        <f>IFERROR(_xlfn.XLOOKUP(E1658,[1]EMPREENDIMENTO!C:C,[1]EMPREENDIMENTO!E:E),"0")</f>
        <v>0</v>
      </c>
      <c r="J1658" s="31"/>
      <c r="K1658" s="36"/>
      <c r="M1658" s="37"/>
      <c r="N1658" s="37"/>
      <c r="O1658" s="37"/>
      <c r="P1658" s="36"/>
      <c r="Q1658" s="36"/>
      <c r="R1658" s="31"/>
      <c r="S1658" s="31"/>
      <c r="T1658" s="38"/>
      <c r="U1658" s="39">
        <f>IFERROR(_xlfn.XLOOKUP(E1658,[1]EMPREENDIMENTO!C:C,[1]EMPREENDIMENTO!D:D),"")</f>
        <v>0</v>
      </c>
    </row>
    <row r="1659" spans="1:21" hidden="1" x14ac:dyDescent="0.35">
      <c r="A1659" s="36" t="str">
        <f>IFERROR(_xlfn.XLOOKUP(C1659,[1]DIRETORIA!C:C,[1]DIRETORIA!A:A),"-")</f>
        <v>-</v>
      </c>
      <c r="B1659" s="36" t="str">
        <f>IFERROR(_xlfn.XLOOKUP(C1659,[1]DIRETORIA!C:C,[1]DIRETORIA!B:B),"-")</f>
        <v>-</v>
      </c>
      <c r="C1659" s="36">
        <f>IFERROR(_xlfn.XLOOKUP(E1659,[1]EMPREENDIMENTO!C:C,[1]EMPREENDIMENTO!A:A),"-")</f>
        <v>0</v>
      </c>
      <c r="D1659" s="36"/>
      <c r="E1659" s="36"/>
      <c r="F1659" s="36"/>
      <c r="G1659" s="36"/>
      <c r="H1659" s="36"/>
      <c r="I1659" s="29">
        <f>IFERROR(_xlfn.XLOOKUP(E1659,[1]EMPREENDIMENTO!C:C,[1]EMPREENDIMENTO!E:E),"0")</f>
        <v>0</v>
      </c>
      <c r="J1659" s="31"/>
      <c r="K1659" s="36"/>
      <c r="M1659" s="37"/>
      <c r="N1659" s="37"/>
      <c r="O1659" s="37"/>
      <c r="P1659" s="36"/>
      <c r="Q1659" s="36"/>
      <c r="R1659" s="31"/>
      <c r="S1659" s="31"/>
      <c r="T1659" s="38"/>
      <c r="U1659" s="39">
        <f>IFERROR(_xlfn.XLOOKUP(E1659,[1]EMPREENDIMENTO!C:C,[1]EMPREENDIMENTO!D:D),"")</f>
        <v>0</v>
      </c>
    </row>
    <row r="1660" spans="1:21" hidden="1" x14ac:dyDescent="0.35">
      <c r="A1660" s="36" t="str">
        <f>IFERROR(_xlfn.XLOOKUP(C1660,[1]DIRETORIA!C:C,[1]DIRETORIA!A:A),"-")</f>
        <v>-</v>
      </c>
      <c r="B1660" s="36" t="str">
        <f>IFERROR(_xlfn.XLOOKUP(C1660,[1]DIRETORIA!C:C,[1]DIRETORIA!B:B),"-")</f>
        <v>-</v>
      </c>
      <c r="C1660" s="36">
        <f>IFERROR(_xlfn.XLOOKUP(E1660,[1]EMPREENDIMENTO!C:C,[1]EMPREENDIMENTO!A:A),"-")</f>
        <v>0</v>
      </c>
      <c r="D1660" s="36"/>
      <c r="E1660" s="36"/>
      <c r="F1660" s="36"/>
      <c r="G1660" s="36"/>
      <c r="H1660" s="36"/>
      <c r="I1660" s="29">
        <f>IFERROR(_xlfn.XLOOKUP(E1660,[1]EMPREENDIMENTO!C:C,[1]EMPREENDIMENTO!E:E),"0")</f>
        <v>0</v>
      </c>
      <c r="J1660" s="31"/>
      <c r="K1660" s="36"/>
      <c r="M1660" s="37"/>
      <c r="N1660" s="37"/>
      <c r="O1660" s="37"/>
      <c r="P1660" s="36"/>
      <c r="Q1660" s="36"/>
      <c r="R1660" s="31"/>
      <c r="S1660" s="31"/>
      <c r="T1660" s="38"/>
      <c r="U1660" s="39">
        <f>IFERROR(_xlfn.XLOOKUP(E1660,[1]EMPREENDIMENTO!C:C,[1]EMPREENDIMENTO!D:D),"")</f>
        <v>0</v>
      </c>
    </row>
    <row r="1661" spans="1:21" hidden="1" x14ac:dyDescent="0.35">
      <c r="A1661" s="36" t="str">
        <f>IFERROR(_xlfn.XLOOKUP(C1661,[1]DIRETORIA!C:C,[1]DIRETORIA!A:A),"-")</f>
        <v>-</v>
      </c>
      <c r="B1661" s="36" t="str">
        <f>IFERROR(_xlfn.XLOOKUP(C1661,[1]DIRETORIA!C:C,[1]DIRETORIA!B:B),"-")</f>
        <v>-</v>
      </c>
      <c r="C1661" s="36">
        <f>IFERROR(_xlfn.XLOOKUP(E1661,[1]EMPREENDIMENTO!C:C,[1]EMPREENDIMENTO!A:A),"-")</f>
        <v>0</v>
      </c>
      <c r="D1661" s="36"/>
      <c r="E1661" s="36"/>
      <c r="F1661" s="36"/>
      <c r="G1661" s="36"/>
      <c r="H1661" s="36"/>
      <c r="I1661" s="29">
        <f>IFERROR(_xlfn.XLOOKUP(E1661,[1]EMPREENDIMENTO!C:C,[1]EMPREENDIMENTO!E:E),"0")</f>
        <v>0</v>
      </c>
      <c r="J1661" s="31"/>
      <c r="K1661" s="36"/>
      <c r="M1661" s="37"/>
      <c r="N1661" s="37"/>
      <c r="O1661" s="37"/>
      <c r="P1661" s="36"/>
      <c r="Q1661" s="36"/>
      <c r="R1661" s="31"/>
      <c r="S1661" s="31"/>
      <c r="T1661" s="38"/>
      <c r="U1661" s="39">
        <f>IFERROR(_xlfn.XLOOKUP(E1661,[1]EMPREENDIMENTO!C:C,[1]EMPREENDIMENTO!D:D),"")</f>
        <v>0</v>
      </c>
    </row>
    <row r="1662" spans="1:21" hidden="1" x14ac:dyDescent="0.35">
      <c r="A1662" s="36" t="str">
        <f>IFERROR(_xlfn.XLOOKUP(C1662,[1]DIRETORIA!C:C,[1]DIRETORIA!A:A),"-")</f>
        <v>-</v>
      </c>
      <c r="B1662" s="36" t="str">
        <f>IFERROR(_xlfn.XLOOKUP(C1662,[1]DIRETORIA!C:C,[1]DIRETORIA!B:B),"-")</f>
        <v>-</v>
      </c>
      <c r="C1662" s="36">
        <f>IFERROR(_xlfn.XLOOKUP(E1662,[1]EMPREENDIMENTO!C:C,[1]EMPREENDIMENTO!A:A),"-")</f>
        <v>0</v>
      </c>
      <c r="D1662" s="36"/>
      <c r="E1662" s="36"/>
      <c r="F1662" s="36"/>
      <c r="G1662" s="36"/>
      <c r="H1662" s="36"/>
      <c r="I1662" s="29">
        <f>IFERROR(_xlfn.XLOOKUP(E1662,[1]EMPREENDIMENTO!C:C,[1]EMPREENDIMENTO!E:E),"0")</f>
        <v>0</v>
      </c>
      <c r="J1662" s="31"/>
      <c r="K1662" s="36"/>
      <c r="M1662" s="37"/>
      <c r="N1662" s="37"/>
      <c r="O1662" s="37"/>
      <c r="P1662" s="36"/>
      <c r="Q1662" s="36"/>
      <c r="R1662" s="31"/>
      <c r="S1662" s="31"/>
      <c r="T1662" s="38"/>
      <c r="U1662" s="39">
        <f>IFERROR(_xlfn.XLOOKUP(E1662,[1]EMPREENDIMENTO!C:C,[1]EMPREENDIMENTO!D:D),"")</f>
        <v>0</v>
      </c>
    </row>
    <row r="1663" spans="1:21" hidden="1" x14ac:dyDescent="0.35">
      <c r="A1663" s="36" t="str">
        <f>IFERROR(_xlfn.XLOOKUP(C1663,[1]DIRETORIA!C:C,[1]DIRETORIA!A:A),"-")</f>
        <v>-</v>
      </c>
      <c r="B1663" s="36" t="str">
        <f>IFERROR(_xlfn.XLOOKUP(C1663,[1]DIRETORIA!C:C,[1]DIRETORIA!B:B),"-")</f>
        <v>-</v>
      </c>
      <c r="C1663" s="36">
        <f>IFERROR(_xlfn.XLOOKUP(E1663,[1]EMPREENDIMENTO!C:C,[1]EMPREENDIMENTO!A:A),"-")</f>
        <v>0</v>
      </c>
      <c r="D1663" s="36"/>
      <c r="E1663" s="36"/>
      <c r="F1663" s="36"/>
      <c r="G1663" s="36"/>
      <c r="H1663" s="36"/>
      <c r="I1663" s="29">
        <f>IFERROR(_xlfn.XLOOKUP(E1663,[1]EMPREENDIMENTO!C:C,[1]EMPREENDIMENTO!E:E),"0")</f>
        <v>0</v>
      </c>
      <c r="J1663" s="31"/>
      <c r="K1663" s="36"/>
      <c r="M1663" s="37"/>
      <c r="N1663" s="37"/>
      <c r="O1663" s="37"/>
      <c r="P1663" s="36"/>
      <c r="Q1663" s="36"/>
      <c r="R1663" s="31"/>
      <c r="S1663" s="31"/>
      <c r="T1663" s="38"/>
      <c r="U1663" s="39">
        <f>IFERROR(_xlfn.XLOOKUP(E1663,[1]EMPREENDIMENTO!C:C,[1]EMPREENDIMENTO!D:D),"")</f>
        <v>0</v>
      </c>
    </row>
    <row r="1664" spans="1:21" hidden="1" x14ac:dyDescent="0.35">
      <c r="A1664" s="36" t="str">
        <f>IFERROR(_xlfn.XLOOKUP(C1664,[1]DIRETORIA!C:C,[1]DIRETORIA!A:A),"-")</f>
        <v>-</v>
      </c>
      <c r="B1664" s="36" t="str">
        <f>IFERROR(_xlfn.XLOOKUP(C1664,[1]DIRETORIA!C:C,[1]DIRETORIA!B:B),"-")</f>
        <v>-</v>
      </c>
      <c r="C1664" s="36">
        <f>IFERROR(_xlfn.XLOOKUP(E1664,[1]EMPREENDIMENTO!C:C,[1]EMPREENDIMENTO!A:A),"-")</f>
        <v>0</v>
      </c>
      <c r="D1664" s="36"/>
      <c r="E1664" s="36"/>
      <c r="F1664" s="36"/>
      <c r="G1664" s="36"/>
      <c r="H1664" s="36"/>
      <c r="I1664" s="29">
        <f>IFERROR(_xlfn.XLOOKUP(E1664,[1]EMPREENDIMENTO!C:C,[1]EMPREENDIMENTO!E:E),"0")</f>
        <v>0</v>
      </c>
      <c r="J1664" s="31"/>
      <c r="K1664" s="36"/>
      <c r="M1664" s="37"/>
      <c r="N1664" s="37"/>
      <c r="O1664" s="37"/>
      <c r="P1664" s="36"/>
      <c r="Q1664" s="36"/>
      <c r="R1664" s="31"/>
      <c r="S1664" s="31"/>
      <c r="T1664" s="38"/>
      <c r="U1664" s="39">
        <f>IFERROR(_xlfn.XLOOKUP(E1664,[1]EMPREENDIMENTO!C:C,[1]EMPREENDIMENTO!D:D),"")</f>
        <v>0</v>
      </c>
    </row>
    <row r="1665" spans="1:21" hidden="1" x14ac:dyDescent="0.35">
      <c r="A1665" s="36" t="str">
        <f>IFERROR(_xlfn.XLOOKUP(C1665,[1]DIRETORIA!C:C,[1]DIRETORIA!A:A),"-")</f>
        <v>-</v>
      </c>
      <c r="B1665" s="36" t="str">
        <f>IFERROR(_xlfn.XLOOKUP(C1665,[1]DIRETORIA!C:C,[1]DIRETORIA!B:B),"-")</f>
        <v>-</v>
      </c>
      <c r="C1665" s="36">
        <f>IFERROR(_xlfn.XLOOKUP(E1665,[1]EMPREENDIMENTO!C:C,[1]EMPREENDIMENTO!A:A),"-")</f>
        <v>0</v>
      </c>
      <c r="D1665" s="36"/>
      <c r="E1665" s="36"/>
      <c r="F1665" s="36"/>
      <c r="G1665" s="36"/>
      <c r="H1665" s="36"/>
      <c r="I1665" s="29">
        <f>IFERROR(_xlfn.XLOOKUP(E1665,[1]EMPREENDIMENTO!C:C,[1]EMPREENDIMENTO!E:E),"0")</f>
        <v>0</v>
      </c>
      <c r="J1665" s="31"/>
      <c r="K1665" s="36"/>
      <c r="M1665" s="37"/>
      <c r="N1665" s="37"/>
      <c r="O1665" s="37"/>
      <c r="P1665" s="36"/>
      <c r="Q1665" s="36"/>
      <c r="R1665" s="31"/>
      <c r="S1665" s="31"/>
      <c r="T1665" s="38"/>
      <c r="U1665" s="39">
        <f>IFERROR(_xlfn.XLOOKUP(E1665,[1]EMPREENDIMENTO!C:C,[1]EMPREENDIMENTO!D:D),"")</f>
        <v>0</v>
      </c>
    </row>
    <row r="1666" spans="1:21" hidden="1" x14ac:dyDescent="0.35">
      <c r="A1666" s="36" t="str">
        <f>IFERROR(_xlfn.XLOOKUP(C1666,[1]DIRETORIA!C:C,[1]DIRETORIA!A:A),"-")</f>
        <v>-</v>
      </c>
      <c r="B1666" s="36" t="str">
        <f>IFERROR(_xlfn.XLOOKUP(C1666,[1]DIRETORIA!C:C,[1]DIRETORIA!B:B),"-")</f>
        <v>-</v>
      </c>
      <c r="C1666" s="36">
        <f>IFERROR(_xlfn.XLOOKUP(E1666,[1]EMPREENDIMENTO!C:C,[1]EMPREENDIMENTO!A:A),"-")</f>
        <v>0</v>
      </c>
      <c r="D1666" s="36"/>
      <c r="E1666" s="36"/>
      <c r="F1666" s="36"/>
      <c r="G1666" s="36"/>
      <c r="H1666" s="36"/>
      <c r="I1666" s="29">
        <f>IFERROR(_xlfn.XLOOKUP(E1666,[1]EMPREENDIMENTO!C:C,[1]EMPREENDIMENTO!E:E),"0")</f>
        <v>0</v>
      </c>
      <c r="J1666" s="31"/>
      <c r="K1666" s="36"/>
      <c r="M1666" s="37"/>
      <c r="N1666" s="37"/>
      <c r="O1666" s="37"/>
      <c r="P1666" s="36"/>
      <c r="Q1666" s="36"/>
      <c r="R1666" s="31"/>
      <c r="S1666" s="31"/>
      <c r="T1666" s="38"/>
      <c r="U1666" s="39">
        <f>IFERROR(_xlfn.XLOOKUP(E1666,[1]EMPREENDIMENTO!C:C,[1]EMPREENDIMENTO!D:D),"")</f>
        <v>0</v>
      </c>
    </row>
    <row r="1667" spans="1:21" hidden="1" x14ac:dyDescent="0.35">
      <c r="A1667" s="36" t="str">
        <f>IFERROR(_xlfn.XLOOKUP(C1667,[1]DIRETORIA!C:C,[1]DIRETORIA!A:A),"-")</f>
        <v>-</v>
      </c>
      <c r="B1667" s="36" t="str">
        <f>IFERROR(_xlfn.XLOOKUP(C1667,[1]DIRETORIA!C:C,[1]DIRETORIA!B:B),"-")</f>
        <v>-</v>
      </c>
      <c r="C1667" s="36">
        <f>IFERROR(_xlfn.XLOOKUP(E1667,[1]EMPREENDIMENTO!C:C,[1]EMPREENDIMENTO!A:A),"-")</f>
        <v>0</v>
      </c>
      <c r="D1667" s="36"/>
      <c r="E1667" s="36"/>
      <c r="F1667" s="36"/>
      <c r="G1667" s="36"/>
      <c r="H1667" s="36"/>
      <c r="I1667" s="29">
        <f>IFERROR(_xlfn.XLOOKUP(E1667,[1]EMPREENDIMENTO!C:C,[1]EMPREENDIMENTO!E:E),"0")</f>
        <v>0</v>
      </c>
      <c r="J1667" s="31"/>
      <c r="K1667" s="36"/>
      <c r="M1667" s="37"/>
      <c r="N1667" s="37"/>
      <c r="O1667" s="37"/>
      <c r="P1667" s="36"/>
      <c r="Q1667" s="36"/>
      <c r="R1667" s="31"/>
      <c r="S1667" s="31"/>
      <c r="T1667" s="38"/>
      <c r="U1667" s="39">
        <f>IFERROR(_xlfn.XLOOKUP(E1667,[1]EMPREENDIMENTO!C:C,[1]EMPREENDIMENTO!D:D),"")</f>
        <v>0</v>
      </c>
    </row>
    <row r="1668" spans="1:21" hidden="1" x14ac:dyDescent="0.35">
      <c r="A1668" s="36" t="str">
        <f>IFERROR(_xlfn.XLOOKUP(C1668,[1]DIRETORIA!C:C,[1]DIRETORIA!A:A),"-")</f>
        <v>-</v>
      </c>
      <c r="B1668" s="36" t="str">
        <f>IFERROR(_xlfn.XLOOKUP(C1668,[1]DIRETORIA!C:C,[1]DIRETORIA!B:B),"-")</f>
        <v>-</v>
      </c>
      <c r="C1668" s="36">
        <f>IFERROR(_xlfn.XLOOKUP(E1668,[1]EMPREENDIMENTO!C:C,[1]EMPREENDIMENTO!A:A),"-")</f>
        <v>0</v>
      </c>
      <c r="D1668" s="36"/>
      <c r="E1668" s="36"/>
      <c r="F1668" s="36"/>
      <c r="G1668" s="36"/>
      <c r="H1668" s="36"/>
      <c r="I1668" s="29">
        <f>IFERROR(_xlfn.XLOOKUP(E1668,[1]EMPREENDIMENTO!C:C,[1]EMPREENDIMENTO!E:E),"0")</f>
        <v>0</v>
      </c>
      <c r="J1668" s="31"/>
      <c r="K1668" s="36"/>
      <c r="M1668" s="37"/>
      <c r="N1668" s="37"/>
      <c r="O1668" s="37"/>
      <c r="P1668" s="36"/>
      <c r="Q1668" s="36"/>
      <c r="R1668" s="31"/>
      <c r="S1668" s="31"/>
      <c r="T1668" s="38"/>
      <c r="U1668" s="39">
        <f>IFERROR(_xlfn.XLOOKUP(E1668,[1]EMPREENDIMENTO!C:C,[1]EMPREENDIMENTO!D:D),"")</f>
        <v>0</v>
      </c>
    </row>
    <row r="1669" spans="1:21" hidden="1" x14ac:dyDescent="0.35">
      <c r="A1669" s="36" t="str">
        <f>IFERROR(_xlfn.XLOOKUP(C1669,[1]DIRETORIA!C:C,[1]DIRETORIA!A:A),"-")</f>
        <v>-</v>
      </c>
      <c r="B1669" s="36" t="str">
        <f>IFERROR(_xlfn.XLOOKUP(C1669,[1]DIRETORIA!C:C,[1]DIRETORIA!B:B),"-")</f>
        <v>-</v>
      </c>
      <c r="C1669" s="36">
        <f>IFERROR(_xlfn.XLOOKUP(E1669,[1]EMPREENDIMENTO!C:C,[1]EMPREENDIMENTO!A:A),"-")</f>
        <v>0</v>
      </c>
      <c r="D1669" s="36"/>
      <c r="E1669" s="36"/>
      <c r="F1669" s="36"/>
      <c r="G1669" s="36"/>
      <c r="H1669" s="36"/>
      <c r="I1669" s="29">
        <f>IFERROR(_xlfn.XLOOKUP(E1669,[1]EMPREENDIMENTO!C:C,[1]EMPREENDIMENTO!E:E),"0")</f>
        <v>0</v>
      </c>
      <c r="J1669" s="31"/>
      <c r="K1669" s="36"/>
      <c r="M1669" s="37"/>
      <c r="N1669" s="37"/>
      <c r="O1669" s="37"/>
      <c r="P1669" s="36"/>
      <c r="Q1669" s="36"/>
      <c r="R1669" s="31"/>
      <c r="S1669" s="31"/>
      <c r="T1669" s="38"/>
      <c r="U1669" s="39">
        <f>IFERROR(_xlfn.XLOOKUP(E1669,[1]EMPREENDIMENTO!C:C,[1]EMPREENDIMENTO!D:D),"")</f>
        <v>0</v>
      </c>
    </row>
    <row r="1670" spans="1:21" hidden="1" x14ac:dyDescent="0.35">
      <c r="A1670" s="36" t="str">
        <f>IFERROR(_xlfn.XLOOKUP(C1670,[1]DIRETORIA!C:C,[1]DIRETORIA!A:A),"-")</f>
        <v>-</v>
      </c>
      <c r="B1670" s="36" t="str">
        <f>IFERROR(_xlfn.XLOOKUP(C1670,[1]DIRETORIA!C:C,[1]DIRETORIA!B:B),"-")</f>
        <v>-</v>
      </c>
      <c r="C1670" s="36">
        <f>IFERROR(_xlfn.XLOOKUP(E1670,[1]EMPREENDIMENTO!C:C,[1]EMPREENDIMENTO!A:A),"-")</f>
        <v>0</v>
      </c>
      <c r="D1670" s="36"/>
      <c r="E1670" s="36"/>
      <c r="F1670" s="36"/>
      <c r="G1670" s="36"/>
      <c r="H1670" s="36"/>
      <c r="I1670" s="29">
        <f>IFERROR(_xlfn.XLOOKUP(E1670,[1]EMPREENDIMENTO!C:C,[1]EMPREENDIMENTO!E:E),"0")</f>
        <v>0</v>
      </c>
      <c r="J1670" s="31"/>
      <c r="K1670" s="36"/>
      <c r="M1670" s="37"/>
      <c r="N1670" s="37"/>
      <c r="O1670" s="37"/>
      <c r="P1670" s="36"/>
      <c r="Q1670" s="36"/>
      <c r="R1670" s="31"/>
      <c r="S1670" s="31"/>
      <c r="T1670" s="38"/>
      <c r="U1670" s="39">
        <f>IFERROR(_xlfn.XLOOKUP(E1670,[1]EMPREENDIMENTO!C:C,[1]EMPREENDIMENTO!D:D),"")</f>
        <v>0</v>
      </c>
    </row>
    <row r="1671" spans="1:21" hidden="1" x14ac:dyDescent="0.35">
      <c r="A1671" s="36" t="str">
        <f>IFERROR(_xlfn.XLOOKUP(C1671,[1]DIRETORIA!C:C,[1]DIRETORIA!A:A),"-")</f>
        <v>-</v>
      </c>
      <c r="B1671" s="36" t="str">
        <f>IFERROR(_xlfn.XLOOKUP(C1671,[1]DIRETORIA!C:C,[1]DIRETORIA!B:B),"-")</f>
        <v>-</v>
      </c>
      <c r="C1671" s="36">
        <f>IFERROR(_xlfn.XLOOKUP(E1671,[1]EMPREENDIMENTO!C:C,[1]EMPREENDIMENTO!A:A),"-")</f>
        <v>0</v>
      </c>
      <c r="D1671" s="36"/>
      <c r="E1671" s="36"/>
      <c r="F1671" s="36"/>
      <c r="G1671" s="36"/>
      <c r="H1671" s="36"/>
      <c r="I1671" s="29">
        <f>IFERROR(_xlfn.XLOOKUP(E1671,[1]EMPREENDIMENTO!C:C,[1]EMPREENDIMENTO!E:E),"0")</f>
        <v>0</v>
      </c>
      <c r="J1671" s="31"/>
      <c r="K1671" s="36"/>
      <c r="M1671" s="37"/>
      <c r="N1671" s="37"/>
      <c r="O1671" s="37"/>
      <c r="P1671" s="36"/>
      <c r="Q1671" s="36"/>
      <c r="R1671" s="31"/>
      <c r="S1671" s="31"/>
      <c r="T1671" s="38"/>
      <c r="U1671" s="39">
        <f>IFERROR(_xlfn.XLOOKUP(E1671,[1]EMPREENDIMENTO!C:C,[1]EMPREENDIMENTO!D:D),"")</f>
        <v>0</v>
      </c>
    </row>
    <row r="1672" spans="1:21" hidden="1" x14ac:dyDescent="0.35">
      <c r="A1672" s="36" t="str">
        <f>IFERROR(_xlfn.XLOOKUP(C1672,[1]DIRETORIA!C:C,[1]DIRETORIA!A:A),"-")</f>
        <v>-</v>
      </c>
      <c r="B1672" s="36" t="str">
        <f>IFERROR(_xlfn.XLOOKUP(C1672,[1]DIRETORIA!C:C,[1]DIRETORIA!B:B),"-")</f>
        <v>-</v>
      </c>
      <c r="C1672" s="36">
        <f>IFERROR(_xlfn.XLOOKUP(E1672,[1]EMPREENDIMENTO!C:C,[1]EMPREENDIMENTO!A:A),"-")</f>
        <v>0</v>
      </c>
      <c r="D1672" s="36"/>
      <c r="E1672" s="36"/>
      <c r="F1672" s="36"/>
      <c r="G1672" s="36"/>
      <c r="H1672" s="36"/>
      <c r="I1672" s="29">
        <f>IFERROR(_xlfn.XLOOKUP(E1672,[1]EMPREENDIMENTO!C:C,[1]EMPREENDIMENTO!E:E),"0")</f>
        <v>0</v>
      </c>
      <c r="J1672" s="31"/>
      <c r="K1672" s="36"/>
      <c r="M1672" s="37"/>
      <c r="N1672" s="37"/>
      <c r="O1672" s="37"/>
      <c r="P1672" s="36"/>
      <c r="Q1672" s="36"/>
      <c r="R1672" s="31"/>
      <c r="S1672" s="31"/>
      <c r="T1672" s="38"/>
      <c r="U1672" s="39">
        <f>IFERROR(_xlfn.XLOOKUP(E1672,[1]EMPREENDIMENTO!C:C,[1]EMPREENDIMENTO!D:D),"")</f>
        <v>0</v>
      </c>
    </row>
    <row r="1673" spans="1:21" hidden="1" x14ac:dyDescent="0.35">
      <c r="A1673" s="36" t="str">
        <f>IFERROR(_xlfn.XLOOKUP(C1673,[1]DIRETORIA!C:C,[1]DIRETORIA!A:A),"-")</f>
        <v>-</v>
      </c>
      <c r="B1673" s="36" t="str">
        <f>IFERROR(_xlfn.XLOOKUP(C1673,[1]DIRETORIA!C:C,[1]DIRETORIA!B:B),"-")</f>
        <v>-</v>
      </c>
      <c r="C1673" s="36">
        <f>IFERROR(_xlfn.XLOOKUP(E1673,[1]EMPREENDIMENTO!C:C,[1]EMPREENDIMENTO!A:A),"-")</f>
        <v>0</v>
      </c>
      <c r="D1673" s="36"/>
      <c r="E1673" s="36"/>
      <c r="F1673" s="36"/>
      <c r="G1673" s="36"/>
      <c r="H1673" s="36"/>
      <c r="I1673" s="29">
        <f>IFERROR(_xlfn.XLOOKUP(E1673,[1]EMPREENDIMENTO!C:C,[1]EMPREENDIMENTO!E:E),"0")</f>
        <v>0</v>
      </c>
      <c r="J1673" s="31"/>
      <c r="K1673" s="36"/>
      <c r="M1673" s="37"/>
      <c r="N1673" s="37"/>
      <c r="O1673" s="37"/>
      <c r="P1673" s="36"/>
      <c r="Q1673" s="36"/>
      <c r="R1673" s="31"/>
      <c r="S1673" s="31"/>
      <c r="T1673" s="38"/>
      <c r="U1673" s="39">
        <f>IFERROR(_xlfn.XLOOKUP(E1673,[1]EMPREENDIMENTO!C:C,[1]EMPREENDIMENTO!D:D),"")</f>
        <v>0</v>
      </c>
    </row>
    <row r="1674" spans="1:21" hidden="1" x14ac:dyDescent="0.35">
      <c r="A1674" s="36" t="str">
        <f>IFERROR(_xlfn.XLOOKUP(C1674,[1]DIRETORIA!C:C,[1]DIRETORIA!A:A),"-")</f>
        <v>-</v>
      </c>
      <c r="B1674" s="36" t="str">
        <f>IFERROR(_xlfn.XLOOKUP(C1674,[1]DIRETORIA!C:C,[1]DIRETORIA!B:B),"-")</f>
        <v>-</v>
      </c>
      <c r="C1674" s="36">
        <f>IFERROR(_xlfn.XLOOKUP(E1674,[1]EMPREENDIMENTO!C:C,[1]EMPREENDIMENTO!A:A),"-")</f>
        <v>0</v>
      </c>
      <c r="D1674" s="36"/>
      <c r="E1674" s="36"/>
      <c r="F1674" s="36"/>
      <c r="G1674" s="36"/>
      <c r="H1674" s="36"/>
      <c r="I1674" s="29">
        <f>IFERROR(_xlfn.XLOOKUP(E1674,[1]EMPREENDIMENTO!C:C,[1]EMPREENDIMENTO!E:E),"0")</f>
        <v>0</v>
      </c>
      <c r="J1674" s="31"/>
      <c r="K1674" s="36"/>
      <c r="M1674" s="37"/>
      <c r="N1674" s="37"/>
      <c r="O1674" s="37"/>
      <c r="P1674" s="36"/>
      <c r="Q1674" s="36"/>
      <c r="R1674" s="31"/>
      <c r="S1674" s="31"/>
      <c r="T1674" s="38"/>
      <c r="U1674" s="39">
        <f>IFERROR(_xlfn.XLOOKUP(E1674,[1]EMPREENDIMENTO!C:C,[1]EMPREENDIMENTO!D:D),"")</f>
        <v>0</v>
      </c>
    </row>
    <row r="1675" spans="1:21" hidden="1" x14ac:dyDescent="0.35">
      <c r="A1675" s="36" t="str">
        <f>IFERROR(_xlfn.XLOOKUP(C1675,[1]DIRETORIA!C:C,[1]DIRETORIA!A:A),"-")</f>
        <v>-</v>
      </c>
      <c r="B1675" s="36" t="str">
        <f>IFERROR(_xlfn.XLOOKUP(C1675,[1]DIRETORIA!C:C,[1]DIRETORIA!B:B),"-")</f>
        <v>-</v>
      </c>
      <c r="C1675" s="36">
        <f>IFERROR(_xlfn.XLOOKUP(E1675,[1]EMPREENDIMENTO!C:C,[1]EMPREENDIMENTO!A:A),"-")</f>
        <v>0</v>
      </c>
      <c r="D1675" s="36"/>
      <c r="E1675" s="36"/>
      <c r="F1675" s="36"/>
      <c r="G1675" s="36"/>
      <c r="H1675" s="36"/>
      <c r="I1675" s="29">
        <f>IFERROR(_xlfn.XLOOKUP(E1675,[1]EMPREENDIMENTO!C:C,[1]EMPREENDIMENTO!E:E),"0")</f>
        <v>0</v>
      </c>
      <c r="J1675" s="31"/>
      <c r="K1675" s="36"/>
      <c r="M1675" s="37"/>
      <c r="N1675" s="37"/>
      <c r="O1675" s="37"/>
      <c r="P1675" s="36"/>
      <c r="Q1675" s="36"/>
      <c r="R1675" s="31"/>
      <c r="S1675" s="31"/>
      <c r="T1675" s="38"/>
      <c r="U1675" s="39">
        <f>IFERROR(_xlfn.XLOOKUP(E1675,[1]EMPREENDIMENTO!C:C,[1]EMPREENDIMENTO!D:D),"")</f>
        <v>0</v>
      </c>
    </row>
    <row r="1676" spans="1:21" hidden="1" x14ac:dyDescent="0.35">
      <c r="A1676" s="36" t="str">
        <f>IFERROR(_xlfn.XLOOKUP(C1676,[1]DIRETORIA!C:C,[1]DIRETORIA!A:A),"-")</f>
        <v>-</v>
      </c>
      <c r="B1676" s="36" t="str">
        <f>IFERROR(_xlfn.XLOOKUP(C1676,[1]DIRETORIA!C:C,[1]DIRETORIA!B:B),"-")</f>
        <v>-</v>
      </c>
      <c r="C1676" s="36">
        <f>IFERROR(_xlfn.XLOOKUP(E1676,[1]EMPREENDIMENTO!C:C,[1]EMPREENDIMENTO!A:A),"-")</f>
        <v>0</v>
      </c>
      <c r="D1676" s="36"/>
      <c r="E1676" s="36"/>
      <c r="F1676" s="36"/>
      <c r="G1676" s="36"/>
      <c r="H1676" s="36"/>
      <c r="I1676" s="29">
        <f>IFERROR(_xlfn.XLOOKUP(E1676,[1]EMPREENDIMENTO!C:C,[1]EMPREENDIMENTO!E:E),"0")</f>
        <v>0</v>
      </c>
      <c r="J1676" s="31"/>
      <c r="K1676" s="36"/>
      <c r="M1676" s="37"/>
      <c r="N1676" s="37"/>
      <c r="O1676" s="37"/>
      <c r="P1676" s="36"/>
      <c r="Q1676" s="36"/>
      <c r="R1676" s="31"/>
      <c r="S1676" s="31"/>
      <c r="T1676" s="38"/>
      <c r="U1676" s="39">
        <f>IFERROR(_xlfn.XLOOKUP(E1676,[1]EMPREENDIMENTO!C:C,[1]EMPREENDIMENTO!D:D),"")</f>
        <v>0</v>
      </c>
    </row>
    <row r="1677" spans="1:21" hidden="1" x14ac:dyDescent="0.35">
      <c r="A1677" s="36" t="str">
        <f>IFERROR(_xlfn.XLOOKUP(C1677,[1]DIRETORIA!C:C,[1]DIRETORIA!A:A),"-")</f>
        <v>-</v>
      </c>
      <c r="B1677" s="36" t="str">
        <f>IFERROR(_xlfn.XLOOKUP(C1677,[1]DIRETORIA!C:C,[1]DIRETORIA!B:B),"-")</f>
        <v>-</v>
      </c>
      <c r="C1677" s="36">
        <f>IFERROR(_xlfn.XLOOKUP(E1677,[1]EMPREENDIMENTO!C:C,[1]EMPREENDIMENTO!A:A),"-")</f>
        <v>0</v>
      </c>
      <c r="D1677" s="36"/>
      <c r="E1677" s="36"/>
      <c r="F1677" s="36"/>
      <c r="G1677" s="36"/>
      <c r="H1677" s="36"/>
      <c r="I1677" s="29">
        <f>IFERROR(_xlfn.XLOOKUP(E1677,[1]EMPREENDIMENTO!C:C,[1]EMPREENDIMENTO!E:E),"0")</f>
        <v>0</v>
      </c>
      <c r="J1677" s="31"/>
      <c r="K1677" s="36"/>
      <c r="M1677" s="37"/>
      <c r="N1677" s="37"/>
      <c r="O1677" s="37"/>
      <c r="P1677" s="36"/>
      <c r="Q1677" s="36"/>
      <c r="R1677" s="31"/>
      <c r="S1677" s="31"/>
      <c r="T1677" s="38"/>
      <c r="U1677" s="39">
        <f>IFERROR(_xlfn.XLOOKUP(E1677,[1]EMPREENDIMENTO!C:C,[1]EMPREENDIMENTO!D:D),"")</f>
        <v>0</v>
      </c>
    </row>
    <row r="1678" spans="1:21" hidden="1" x14ac:dyDescent="0.35">
      <c r="A1678" s="36" t="str">
        <f>IFERROR(_xlfn.XLOOKUP(C1678,[1]DIRETORIA!C:C,[1]DIRETORIA!A:A),"-")</f>
        <v>-</v>
      </c>
      <c r="B1678" s="36" t="str">
        <f>IFERROR(_xlfn.XLOOKUP(C1678,[1]DIRETORIA!C:C,[1]DIRETORIA!B:B),"-")</f>
        <v>-</v>
      </c>
      <c r="C1678" s="36">
        <f>IFERROR(_xlfn.XLOOKUP(E1678,[1]EMPREENDIMENTO!C:C,[1]EMPREENDIMENTO!A:A),"-")</f>
        <v>0</v>
      </c>
      <c r="D1678" s="36"/>
      <c r="E1678" s="36"/>
      <c r="F1678" s="36"/>
      <c r="G1678" s="36"/>
      <c r="H1678" s="36"/>
      <c r="I1678" s="29">
        <f>IFERROR(_xlfn.XLOOKUP(E1678,[1]EMPREENDIMENTO!C:C,[1]EMPREENDIMENTO!E:E),"0")</f>
        <v>0</v>
      </c>
      <c r="J1678" s="31"/>
      <c r="K1678" s="36"/>
      <c r="M1678" s="37"/>
      <c r="N1678" s="37"/>
      <c r="O1678" s="37"/>
      <c r="P1678" s="36"/>
      <c r="Q1678" s="36"/>
      <c r="R1678" s="31"/>
      <c r="S1678" s="31"/>
      <c r="T1678" s="38"/>
      <c r="U1678" s="39">
        <f>IFERROR(_xlfn.XLOOKUP(E1678,[1]EMPREENDIMENTO!C:C,[1]EMPREENDIMENTO!D:D),"")</f>
        <v>0</v>
      </c>
    </row>
    <row r="1679" spans="1:21" hidden="1" x14ac:dyDescent="0.35">
      <c r="A1679" s="36" t="str">
        <f>IFERROR(_xlfn.XLOOKUP(C1679,[1]DIRETORIA!C:C,[1]DIRETORIA!A:A),"-")</f>
        <v>-</v>
      </c>
      <c r="B1679" s="36" t="str">
        <f>IFERROR(_xlfn.XLOOKUP(C1679,[1]DIRETORIA!C:C,[1]DIRETORIA!B:B),"-")</f>
        <v>-</v>
      </c>
      <c r="C1679" s="36">
        <f>IFERROR(_xlfn.XLOOKUP(E1679,[1]EMPREENDIMENTO!C:C,[1]EMPREENDIMENTO!A:A),"-")</f>
        <v>0</v>
      </c>
      <c r="D1679" s="36"/>
      <c r="E1679" s="36"/>
      <c r="F1679" s="36"/>
      <c r="G1679" s="36"/>
      <c r="H1679" s="36"/>
      <c r="I1679" s="29">
        <f>IFERROR(_xlfn.XLOOKUP(E1679,[1]EMPREENDIMENTO!C:C,[1]EMPREENDIMENTO!E:E),"0")</f>
        <v>0</v>
      </c>
      <c r="J1679" s="31"/>
      <c r="K1679" s="36"/>
      <c r="M1679" s="37"/>
      <c r="N1679" s="37"/>
      <c r="O1679" s="37"/>
      <c r="P1679" s="36"/>
      <c r="Q1679" s="36"/>
      <c r="R1679" s="31"/>
      <c r="S1679" s="31"/>
      <c r="T1679" s="38"/>
      <c r="U1679" s="39">
        <f>IFERROR(_xlfn.XLOOKUP(E1679,[1]EMPREENDIMENTO!C:C,[1]EMPREENDIMENTO!D:D),"")</f>
        <v>0</v>
      </c>
    </row>
    <row r="1680" spans="1:21" hidden="1" x14ac:dyDescent="0.35">
      <c r="A1680" s="36" t="str">
        <f>IFERROR(_xlfn.XLOOKUP(C1680,[1]DIRETORIA!C:C,[1]DIRETORIA!A:A),"-")</f>
        <v>-</v>
      </c>
      <c r="B1680" s="36" t="str">
        <f>IFERROR(_xlfn.XLOOKUP(C1680,[1]DIRETORIA!C:C,[1]DIRETORIA!B:B),"-")</f>
        <v>-</v>
      </c>
      <c r="C1680" s="36">
        <f>IFERROR(_xlfn.XLOOKUP(E1680,[1]EMPREENDIMENTO!C:C,[1]EMPREENDIMENTO!A:A),"-")</f>
        <v>0</v>
      </c>
      <c r="D1680" s="36"/>
      <c r="E1680" s="36"/>
      <c r="F1680" s="36"/>
      <c r="G1680" s="36"/>
      <c r="H1680" s="36"/>
      <c r="I1680" s="29">
        <f>IFERROR(_xlfn.XLOOKUP(E1680,[1]EMPREENDIMENTO!C:C,[1]EMPREENDIMENTO!E:E),"0")</f>
        <v>0</v>
      </c>
      <c r="J1680" s="31"/>
      <c r="K1680" s="36"/>
      <c r="M1680" s="37"/>
      <c r="N1680" s="37"/>
      <c r="O1680" s="37"/>
      <c r="P1680" s="36"/>
      <c r="Q1680" s="36"/>
      <c r="R1680" s="31"/>
      <c r="S1680" s="31"/>
      <c r="T1680" s="38"/>
      <c r="U1680" s="39">
        <f>IFERROR(_xlfn.XLOOKUP(E1680,[1]EMPREENDIMENTO!C:C,[1]EMPREENDIMENTO!D:D),"")</f>
        <v>0</v>
      </c>
    </row>
    <row r="1681" spans="1:21" hidden="1" x14ac:dyDescent="0.35">
      <c r="A1681" s="36" t="str">
        <f>IFERROR(_xlfn.XLOOKUP(C1681,[1]DIRETORIA!C:C,[1]DIRETORIA!A:A),"-")</f>
        <v>-</v>
      </c>
      <c r="B1681" s="36" t="str">
        <f>IFERROR(_xlfn.XLOOKUP(C1681,[1]DIRETORIA!C:C,[1]DIRETORIA!B:B),"-")</f>
        <v>-</v>
      </c>
      <c r="C1681" s="36">
        <f>IFERROR(_xlfn.XLOOKUP(E1681,[1]EMPREENDIMENTO!C:C,[1]EMPREENDIMENTO!A:A),"-")</f>
        <v>0</v>
      </c>
      <c r="D1681" s="36"/>
      <c r="E1681" s="36"/>
      <c r="F1681" s="36"/>
      <c r="G1681" s="36"/>
      <c r="H1681" s="36"/>
      <c r="I1681" s="29">
        <f>IFERROR(_xlfn.XLOOKUP(E1681,[1]EMPREENDIMENTO!C:C,[1]EMPREENDIMENTO!E:E),"0")</f>
        <v>0</v>
      </c>
      <c r="J1681" s="31"/>
      <c r="K1681" s="36"/>
      <c r="M1681" s="37"/>
      <c r="N1681" s="37"/>
      <c r="O1681" s="37"/>
      <c r="P1681" s="36"/>
      <c r="Q1681" s="36"/>
      <c r="R1681" s="31"/>
      <c r="S1681" s="31"/>
      <c r="T1681" s="38"/>
      <c r="U1681" s="39">
        <f>IFERROR(_xlfn.XLOOKUP(E1681,[1]EMPREENDIMENTO!C:C,[1]EMPREENDIMENTO!D:D),"")</f>
        <v>0</v>
      </c>
    </row>
    <row r="1682" spans="1:21" hidden="1" x14ac:dyDescent="0.35">
      <c r="A1682" s="36" t="str">
        <f>IFERROR(_xlfn.XLOOKUP(C1682,[1]DIRETORIA!C:C,[1]DIRETORIA!A:A),"-")</f>
        <v>-</v>
      </c>
      <c r="B1682" s="36" t="str">
        <f>IFERROR(_xlfn.XLOOKUP(C1682,[1]DIRETORIA!C:C,[1]DIRETORIA!B:B),"-")</f>
        <v>-</v>
      </c>
      <c r="C1682" s="36">
        <f>IFERROR(_xlfn.XLOOKUP(E1682,[1]EMPREENDIMENTO!C:C,[1]EMPREENDIMENTO!A:A),"-")</f>
        <v>0</v>
      </c>
      <c r="D1682" s="36"/>
      <c r="E1682" s="36"/>
      <c r="F1682" s="36"/>
      <c r="G1682" s="36"/>
      <c r="H1682" s="36"/>
      <c r="I1682" s="29">
        <f>IFERROR(_xlfn.XLOOKUP(E1682,[1]EMPREENDIMENTO!C:C,[1]EMPREENDIMENTO!E:E),"0")</f>
        <v>0</v>
      </c>
      <c r="J1682" s="31"/>
      <c r="K1682" s="36"/>
      <c r="M1682" s="37"/>
      <c r="N1682" s="37"/>
      <c r="O1682" s="37"/>
      <c r="P1682" s="36"/>
      <c r="Q1682" s="36"/>
      <c r="R1682" s="31"/>
      <c r="S1682" s="31"/>
      <c r="T1682" s="38"/>
      <c r="U1682" s="39">
        <f>IFERROR(_xlfn.XLOOKUP(E1682,[1]EMPREENDIMENTO!C:C,[1]EMPREENDIMENTO!D:D),"")</f>
        <v>0</v>
      </c>
    </row>
    <row r="1683" spans="1:21" hidden="1" x14ac:dyDescent="0.35">
      <c r="A1683" s="36" t="str">
        <f>IFERROR(_xlfn.XLOOKUP(C1683,[1]DIRETORIA!C:C,[1]DIRETORIA!A:A),"-")</f>
        <v>-</v>
      </c>
      <c r="B1683" s="36" t="str">
        <f>IFERROR(_xlfn.XLOOKUP(C1683,[1]DIRETORIA!C:C,[1]DIRETORIA!B:B),"-")</f>
        <v>-</v>
      </c>
      <c r="C1683" s="36">
        <f>IFERROR(_xlfn.XLOOKUP(E1683,[1]EMPREENDIMENTO!C:C,[1]EMPREENDIMENTO!A:A),"-")</f>
        <v>0</v>
      </c>
      <c r="D1683" s="36"/>
      <c r="E1683" s="36"/>
      <c r="F1683" s="36"/>
      <c r="G1683" s="36"/>
      <c r="H1683" s="36"/>
      <c r="I1683" s="29">
        <f>IFERROR(_xlfn.XLOOKUP(E1683,[1]EMPREENDIMENTO!C:C,[1]EMPREENDIMENTO!E:E),"0")</f>
        <v>0</v>
      </c>
      <c r="J1683" s="31"/>
      <c r="K1683" s="36"/>
      <c r="M1683" s="37"/>
      <c r="N1683" s="37"/>
      <c r="O1683" s="37"/>
      <c r="P1683" s="36"/>
      <c r="Q1683" s="36"/>
      <c r="R1683" s="31"/>
      <c r="S1683" s="31"/>
      <c r="T1683" s="38"/>
      <c r="U1683" s="39">
        <f>IFERROR(_xlfn.XLOOKUP(E1683,[1]EMPREENDIMENTO!C:C,[1]EMPREENDIMENTO!D:D),"")</f>
        <v>0</v>
      </c>
    </row>
    <row r="1684" spans="1:21" hidden="1" x14ac:dyDescent="0.35">
      <c r="A1684" s="36" t="str">
        <f>IFERROR(_xlfn.XLOOKUP(C1684,[1]DIRETORIA!C:C,[1]DIRETORIA!A:A),"-")</f>
        <v>-</v>
      </c>
      <c r="B1684" s="36" t="str">
        <f>IFERROR(_xlfn.XLOOKUP(C1684,[1]DIRETORIA!C:C,[1]DIRETORIA!B:B),"-")</f>
        <v>-</v>
      </c>
      <c r="C1684" s="36">
        <f>IFERROR(_xlfn.XLOOKUP(E1684,[1]EMPREENDIMENTO!C:C,[1]EMPREENDIMENTO!A:A),"-")</f>
        <v>0</v>
      </c>
      <c r="D1684" s="36"/>
      <c r="E1684" s="36"/>
      <c r="F1684" s="36"/>
      <c r="G1684" s="36"/>
      <c r="H1684" s="36"/>
      <c r="I1684" s="29">
        <f>IFERROR(_xlfn.XLOOKUP(E1684,[1]EMPREENDIMENTO!C:C,[1]EMPREENDIMENTO!E:E),"0")</f>
        <v>0</v>
      </c>
      <c r="J1684" s="31"/>
      <c r="K1684" s="36"/>
      <c r="M1684" s="37"/>
      <c r="N1684" s="37"/>
      <c r="O1684" s="37"/>
      <c r="P1684" s="36"/>
      <c r="Q1684" s="36"/>
      <c r="R1684" s="31"/>
      <c r="S1684" s="31"/>
      <c r="T1684" s="38"/>
      <c r="U1684" s="39">
        <f>IFERROR(_xlfn.XLOOKUP(E1684,[1]EMPREENDIMENTO!C:C,[1]EMPREENDIMENTO!D:D),"")</f>
        <v>0</v>
      </c>
    </row>
    <row r="1685" spans="1:21" hidden="1" x14ac:dyDescent="0.35">
      <c r="A1685" s="36" t="str">
        <f>IFERROR(_xlfn.XLOOKUP(C1685,[1]DIRETORIA!C:C,[1]DIRETORIA!A:A),"-")</f>
        <v>-</v>
      </c>
      <c r="B1685" s="36" t="str">
        <f>IFERROR(_xlfn.XLOOKUP(C1685,[1]DIRETORIA!C:C,[1]DIRETORIA!B:B),"-")</f>
        <v>-</v>
      </c>
      <c r="C1685" s="36">
        <f>IFERROR(_xlfn.XLOOKUP(E1685,[1]EMPREENDIMENTO!C:C,[1]EMPREENDIMENTO!A:A),"-")</f>
        <v>0</v>
      </c>
      <c r="D1685" s="36"/>
      <c r="E1685" s="36"/>
      <c r="F1685" s="36"/>
      <c r="G1685" s="36"/>
      <c r="H1685" s="36"/>
      <c r="I1685" s="29">
        <f>IFERROR(_xlfn.XLOOKUP(E1685,[1]EMPREENDIMENTO!C:C,[1]EMPREENDIMENTO!E:E),"0")</f>
        <v>0</v>
      </c>
      <c r="J1685" s="31"/>
      <c r="K1685" s="36"/>
      <c r="M1685" s="37"/>
      <c r="N1685" s="37"/>
      <c r="O1685" s="37"/>
      <c r="P1685" s="36"/>
      <c r="Q1685" s="36"/>
      <c r="R1685" s="31"/>
      <c r="S1685" s="31"/>
      <c r="T1685" s="38"/>
      <c r="U1685" s="39">
        <f>IFERROR(_xlfn.XLOOKUP(E1685,[1]EMPREENDIMENTO!C:C,[1]EMPREENDIMENTO!D:D),"")</f>
        <v>0</v>
      </c>
    </row>
    <row r="1686" spans="1:21" hidden="1" x14ac:dyDescent="0.35">
      <c r="A1686" s="36" t="str">
        <f>IFERROR(_xlfn.XLOOKUP(C1686,[1]DIRETORIA!C:C,[1]DIRETORIA!A:A),"-")</f>
        <v>-</v>
      </c>
      <c r="B1686" s="36" t="str">
        <f>IFERROR(_xlfn.XLOOKUP(C1686,[1]DIRETORIA!C:C,[1]DIRETORIA!B:B),"-")</f>
        <v>-</v>
      </c>
      <c r="C1686" s="36">
        <f>IFERROR(_xlfn.XLOOKUP(E1686,[1]EMPREENDIMENTO!C:C,[1]EMPREENDIMENTO!A:A),"-")</f>
        <v>0</v>
      </c>
      <c r="D1686" s="36"/>
      <c r="E1686" s="36"/>
      <c r="F1686" s="36"/>
      <c r="G1686" s="36"/>
      <c r="H1686" s="36"/>
      <c r="I1686" s="29">
        <f>IFERROR(_xlfn.XLOOKUP(E1686,[1]EMPREENDIMENTO!C:C,[1]EMPREENDIMENTO!E:E),"0")</f>
        <v>0</v>
      </c>
      <c r="J1686" s="31"/>
      <c r="K1686" s="36"/>
      <c r="M1686" s="37"/>
      <c r="N1686" s="37"/>
      <c r="O1686" s="37"/>
      <c r="P1686" s="36"/>
      <c r="Q1686" s="36"/>
      <c r="R1686" s="31"/>
      <c r="S1686" s="31"/>
      <c r="T1686" s="38"/>
      <c r="U1686" s="39">
        <f>IFERROR(_xlfn.XLOOKUP(E1686,[1]EMPREENDIMENTO!C:C,[1]EMPREENDIMENTO!D:D),"")</f>
        <v>0</v>
      </c>
    </row>
    <row r="1687" spans="1:21" hidden="1" x14ac:dyDescent="0.35">
      <c r="A1687" s="36" t="str">
        <f>IFERROR(_xlfn.XLOOKUP(C1687,[1]DIRETORIA!C:C,[1]DIRETORIA!A:A),"-")</f>
        <v>-</v>
      </c>
      <c r="B1687" s="36" t="str">
        <f>IFERROR(_xlfn.XLOOKUP(C1687,[1]DIRETORIA!C:C,[1]DIRETORIA!B:B),"-")</f>
        <v>-</v>
      </c>
      <c r="C1687" s="36">
        <f>IFERROR(_xlfn.XLOOKUP(E1687,[1]EMPREENDIMENTO!C:C,[1]EMPREENDIMENTO!A:A),"-")</f>
        <v>0</v>
      </c>
      <c r="D1687" s="36"/>
      <c r="E1687" s="36"/>
      <c r="F1687" s="36"/>
      <c r="G1687" s="36"/>
      <c r="H1687" s="36"/>
      <c r="I1687" s="29">
        <f>IFERROR(_xlfn.XLOOKUP(E1687,[1]EMPREENDIMENTO!C:C,[1]EMPREENDIMENTO!E:E),"0")</f>
        <v>0</v>
      </c>
      <c r="J1687" s="31"/>
      <c r="K1687" s="36"/>
      <c r="M1687" s="37"/>
      <c r="N1687" s="37"/>
      <c r="O1687" s="37"/>
      <c r="P1687" s="36"/>
      <c r="Q1687" s="36"/>
      <c r="R1687" s="31"/>
      <c r="S1687" s="31"/>
      <c r="T1687" s="38"/>
      <c r="U1687" s="39">
        <f>IFERROR(_xlfn.XLOOKUP(E1687,[1]EMPREENDIMENTO!C:C,[1]EMPREENDIMENTO!D:D),"")</f>
        <v>0</v>
      </c>
    </row>
    <row r="1688" spans="1:21" hidden="1" x14ac:dyDescent="0.35">
      <c r="A1688" s="36" t="str">
        <f>IFERROR(_xlfn.XLOOKUP(C1688,[1]DIRETORIA!C:C,[1]DIRETORIA!A:A),"-")</f>
        <v>-</v>
      </c>
      <c r="B1688" s="36" t="str">
        <f>IFERROR(_xlfn.XLOOKUP(C1688,[1]DIRETORIA!C:C,[1]DIRETORIA!B:B),"-")</f>
        <v>-</v>
      </c>
      <c r="C1688" s="36">
        <f>IFERROR(_xlfn.XLOOKUP(E1688,[1]EMPREENDIMENTO!C:C,[1]EMPREENDIMENTO!A:A),"-")</f>
        <v>0</v>
      </c>
      <c r="D1688" s="36"/>
      <c r="E1688" s="36"/>
      <c r="F1688" s="36"/>
      <c r="G1688" s="36"/>
      <c r="H1688" s="36"/>
      <c r="I1688" s="29">
        <f>IFERROR(_xlfn.XLOOKUP(E1688,[1]EMPREENDIMENTO!C:C,[1]EMPREENDIMENTO!E:E),"0")</f>
        <v>0</v>
      </c>
      <c r="J1688" s="31"/>
      <c r="K1688" s="36"/>
      <c r="M1688" s="37"/>
      <c r="N1688" s="37"/>
      <c r="O1688" s="37"/>
      <c r="P1688" s="36"/>
      <c r="Q1688" s="36"/>
      <c r="R1688" s="31"/>
      <c r="S1688" s="31"/>
      <c r="T1688" s="38"/>
      <c r="U1688" s="39">
        <f>IFERROR(_xlfn.XLOOKUP(E1688,[1]EMPREENDIMENTO!C:C,[1]EMPREENDIMENTO!D:D),"")</f>
        <v>0</v>
      </c>
    </row>
    <row r="1689" spans="1:21" hidden="1" x14ac:dyDescent="0.35">
      <c r="A1689" s="36" t="str">
        <f>IFERROR(_xlfn.XLOOKUP(C1689,[1]DIRETORIA!C:C,[1]DIRETORIA!A:A),"-")</f>
        <v>-</v>
      </c>
      <c r="B1689" s="36" t="str">
        <f>IFERROR(_xlfn.XLOOKUP(C1689,[1]DIRETORIA!C:C,[1]DIRETORIA!B:B),"-")</f>
        <v>-</v>
      </c>
      <c r="C1689" s="36">
        <f>IFERROR(_xlfn.XLOOKUP(E1689,[1]EMPREENDIMENTO!C:C,[1]EMPREENDIMENTO!A:A),"-")</f>
        <v>0</v>
      </c>
      <c r="D1689" s="36"/>
      <c r="E1689" s="36"/>
      <c r="F1689" s="36"/>
      <c r="G1689" s="36"/>
      <c r="H1689" s="36"/>
      <c r="I1689" s="29">
        <f>IFERROR(_xlfn.XLOOKUP(E1689,[1]EMPREENDIMENTO!C:C,[1]EMPREENDIMENTO!E:E),"0")</f>
        <v>0</v>
      </c>
      <c r="J1689" s="31"/>
      <c r="K1689" s="36"/>
      <c r="M1689" s="37"/>
      <c r="N1689" s="37"/>
      <c r="O1689" s="37"/>
      <c r="P1689" s="36"/>
      <c r="Q1689" s="36"/>
      <c r="R1689" s="31"/>
      <c r="S1689" s="31"/>
      <c r="T1689" s="38"/>
      <c r="U1689" s="39">
        <f>IFERROR(_xlfn.XLOOKUP(E1689,[1]EMPREENDIMENTO!C:C,[1]EMPREENDIMENTO!D:D),"")</f>
        <v>0</v>
      </c>
    </row>
    <row r="1690" spans="1:21" hidden="1" x14ac:dyDescent="0.35">
      <c r="A1690" s="36" t="str">
        <f>IFERROR(_xlfn.XLOOKUP(C1690,[1]DIRETORIA!C:C,[1]DIRETORIA!A:A),"-")</f>
        <v>-</v>
      </c>
      <c r="B1690" s="36" t="str">
        <f>IFERROR(_xlfn.XLOOKUP(C1690,[1]DIRETORIA!C:C,[1]DIRETORIA!B:B),"-")</f>
        <v>-</v>
      </c>
      <c r="C1690" s="36">
        <f>IFERROR(_xlfn.XLOOKUP(E1690,[1]EMPREENDIMENTO!C:C,[1]EMPREENDIMENTO!A:A),"-")</f>
        <v>0</v>
      </c>
      <c r="D1690" s="36"/>
      <c r="E1690" s="36"/>
      <c r="F1690" s="36"/>
      <c r="G1690" s="36"/>
      <c r="H1690" s="36"/>
      <c r="I1690" s="29">
        <f>IFERROR(_xlfn.XLOOKUP(E1690,[1]EMPREENDIMENTO!C:C,[1]EMPREENDIMENTO!E:E),"0")</f>
        <v>0</v>
      </c>
      <c r="J1690" s="31"/>
      <c r="K1690" s="36"/>
      <c r="M1690" s="37"/>
      <c r="N1690" s="37"/>
      <c r="O1690" s="37"/>
      <c r="P1690" s="36"/>
      <c r="Q1690" s="36"/>
      <c r="R1690" s="31"/>
      <c r="S1690" s="31"/>
      <c r="T1690" s="38"/>
      <c r="U1690" s="39">
        <f>IFERROR(_xlfn.XLOOKUP(E1690,[1]EMPREENDIMENTO!C:C,[1]EMPREENDIMENTO!D:D),"")</f>
        <v>0</v>
      </c>
    </row>
    <row r="1691" spans="1:21" hidden="1" x14ac:dyDescent="0.35">
      <c r="A1691" s="36" t="str">
        <f>IFERROR(_xlfn.XLOOKUP(C1691,[1]DIRETORIA!C:C,[1]DIRETORIA!A:A),"-")</f>
        <v>-</v>
      </c>
      <c r="B1691" s="36" t="str">
        <f>IFERROR(_xlfn.XLOOKUP(C1691,[1]DIRETORIA!C:C,[1]DIRETORIA!B:B),"-")</f>
        <v>-</v>
      </c>
      <c r="C1691" s="36">
        <f>IFERROR(_xlfn.XLOOKUP(E1691,[1]EMPREENDIMENTO!C:C,[1]EMPREENDIMENTO!A:A),"-")</f>
        <v>0</v>
      </c>
      <c r="D1691" s="36"/>
      <c r="E1691" s="36"/>
      <c r="F1691" s="36"/>
      <c r="G1691" s="36"/>
      <c r="H1691" s="36"/>
      <c r="I1691" s="29">
        <f>IFERROR(_xlfn.XLOOKUP(E1691,[1]EMPREENDIMENTO!C:C,[1]EMPREENDIMENTO!E:E),"0")</f>
        <v>0</v>
      </c>
      <c r="J1691" s="31"/>
      <c r="K1691" s="36"/>
      <c r="M1691" s="37"/>
      <c r="N1691" s="37"/>
      <c r="O1691" s="37"/>
      <c r="P1691" s="36"/>
      <c r="Q1691" s="36"/>
      <c r="R1691" s="31"/>
      <c r="S1691" s="31"/>
      <c r="T1691" s="38"/>
      <c r="U1691" s="39">
        <f>IFERROR(_xlfn.XLOOKUP(E1691,[1]EMPREENDIMENTO!C:C,[1]EMPREENDIMENTO!D:D),"")</f>
        <v>0</v>
      </c>
    </row>
    <row r="1692" spans="1:21" hidden="1" x14ac:dyDescent="0.35">
      <c r="A1692" s="36" t="str">
        <f>IFERROR(_xlfn.XLOOKUP(C1692,[1]DIRETORIA!C:C,[1]DIRETORIA!A:A),"-")</f>
        <v>-</v>
      </c>
      <c r="B1692" s="36" t="str">
        <f>IFERROR(_xlfn.XLOOKUP(C1692,[1]DIRETORIA!C:C,[1]DIRETORIA!B:B),"-")</f>
        <v>-</v>
      </c>
      <c r="C1692" s="36">
        <f>IFERROR(_xlfn.XLOOKUP(E1692,[1]EMPREENDIMENTO!C:C,[1]EMPREENDIMENTO!A:A),"-")</f>
        <v>0</v>
      </c>
      <c r="D1692" s="36"/>
      <c r="E1692" s="36"/>
      <c r="F1692" s="36"/>
      <c r="G1692" s="36"/>
      <c r="H1692" s="36"/>
      <c r="I1692" s="29">
        <f>IFERROR(_xlfn.XLOOKUP(E1692,[1]EMPREENDIMENTO!C:C,[1]EMPREENDIMENTO!E:E),"0")</f>
        <v>0</v>
      </c>
      <c r="J1692" s="31"/>
      <c r="K1692" s="36"/>
      <c r="M1692" s="37"/>
      <c r="N1692" s="37"/>
      <c r="O1692" s="37"/>
      <c r="P1692" s="36"/>
      <c r="Q1692" s="36"/>
      <c r="R1692" s="31"/>
      <c r="S1692" s="31"/>
      <c r="T1692" s="38"/>
      <c r="U1692" s="39">
        <f>IFERROR(_xlfn.XLOOKUP(E1692,[1]EMPREENDIMENTO!C:C,[1]EMPREENDIMENTO!D:D),"")</f>
        <v>0</v>
      </c>
    </row>
    <row r="1693" spans="1:21" hidden="1" x14ac:dyDescent="0.35">
      <c r="A1693" s="36" t="str">
        <f>IFERROR(_xlfn.XLOOKUP(C1693,[1]DIRETORIA!C:C,[1]DIRETORIA!A:A),"-")</f>
        <v>-</v>
      </c>
      <c r="B1693" s="36" t="str">
        <f>IFERROR(_xlfn.XLOOKUP(C1693,[1]DIRETORIA!C:C,[1]DIRETORIA!B:B),"-")</f>
        <v>-</v>
      </c>
      <c r="C1693" s="36">
        <f>IFERROR(_xlfn.XLOOKUP(E1693,[1]EMPREENDIMENTO!C:C,[1]EMPREENDIMENTO!A:A),"-")</f>
        <v>0</v>
      </c>
      <c r="D1693" s="36"/>
      <c r="E1693" s="36"/>
      <c r="F1693" s="36"/>
      <c r="G1693" s="36"/>
      <c r="H1693" s="36"/>
      <c r="I1693" s="29">
        <f>IFERROR(_xlfn.XLOOKUP(E1693,[1]EMPREENDIMENTO!C:C,[1]EMPREENDIMENTO!E:E),"0")</f>
        <v>0</v>
      </c>
      <c r="J1693" s="31"/>
      <c r="K1693" s="36"/>
      <c r="M1693" s="37"/>
      <c r="N1693" s="37"/>
      <c r="O1693" s="37"/>
      <c r="P1693" s="36"/>
      <c r="Q1693" s="36"/>
      <c r="R1693" s="31"/>
      <c r="S1693" s="31"/>
      <c r="T1693" s="38"/>
      <c r="U1693" s="39">
        <f>IFERROR(_xlfn.XLOOKUP(E1693,[1]EMPREENDIMENTO!C:C,[1]EMPREENDIMENTO!D:D),"")</f>
        <v>0</v>
      </c>
    </row>
    <row r="1694" spans="1:21" hidden="1" x14ac:dyDescent="0.35">
      <c r="A1694" s="36" t="str">
        <f>IFERROR(_xlfn.XLOOKUP(C1694,[1]DIRETORIA!C:C,[1]DIRETORIA!A:A),"-")</f>
        <v>-</v>
      </c>
      <c r="B1694" s="36" t="str">
        <f>IFERROR(_xlfn.XLOOKUP(C1694,[1]DIRETORIA!C:C,[1]DIRETORIA!B:B),"-")</f>
        <v>-</v>
      </c>
      <c r="C1694" s="36">
        <f>IFERROR(_xlfn.XLOOKUP(E1694,[1]EMPREENDIMENTO!C:C,[1]EMPREENDIMENTO!A:A),"-")</f>
        <v>0</v>
      </c>
      <c r="D1694" s="36"/>
      <c r="E1694" s="36"/>
      <c r="F1694" s="36"/>
      <c r="G1694" s="36"/>
      <c r="H1694" s="36"/>
      <c r="I1694" s="29">
        <f>IFERROR(_xlfn.XLOOKUP(E1694,[1]EMPREENDIMENTO!C:C,[1]EMPREENDIMENTO!E:E),"0")</f>
        <v>0</v>
      </c>
      <c r="J1694" s="31"/>
      <c r="K1694" s="36"/>
      <c r="M1694" s="37"/>
      <c r="N1694" s="37"/>
      <c r="O1694" s="37"/>
      <c r="P1694" s="36"/>
      <c r="Q1694" s="36"/>
      <c r="R1694" s="31"/>
      <c r="S1694" s="31"/>
      <c r="T1694" s="38"/>
      <c r="U1694" s="39">
        <f>IFERROR(_xlfn.XLOOKUP(E1694,[1]EMPREENDIMENTO!C:C,[1]EMPREENDIMENTO!D:D),"")</f>
        <v>0</v>
      </c>
    </row>
    <row r="1695" spans="1:21" hidden="1" x14ac:dyDescent="0.35">
      <c r="A1695" s="36" t="str">
        <f>IFERROR(_xlfn.XLOOKUP(C1695,[1]DIRETORIA!C:C,[1]DIRETORIA!A:A),"-")</f>
        <v>-</v>
      </c>
      <c r="B1695" s="36" t="str">
        <f>IFERROR(_xlfn.XLOOKUP(C1695,[1]DIRETORIA!C:C,[1]DIRETORIA!B:B),"-")</f>
        <v>-</v>
      </c>
      <c r="C1695" s="36">
        <f>IFERROR(_xlfn.XLOOKUP(E1695,[1]EMPREENDIMENTO!C:C,[1]EMPREENDIMENTO!A:A),"-")</f>
        <v>0</v>
      </c>
      <c r="D1695" s="36"/>
      <c r="E1695" s="36"/>
      <c r="F1695" s="36"/>
      <c r="G1695" s="36"/>
      <c r="H1695" s="36"/>
      <c r="I1695" s="29">
        <f>IFERROR(_xlfn.XLOOKUP(E1695,[1]EMPREENDIMENTO!C:C,[1]EMPREENDIMENTO!E:E),"0")</f>
        <v>0</v>
      </c>
      <c r="J1695" s="31"/>
      <c r="K1695" s="36"/>
      <c r="M1695" s="37"/>
      <c r="N1695" s="37"/>
      <c r="O1695" s="37"/>
      <c r="P1695" s="36"/>
      <c r="Q1695" s="36"/>
      <c r="R1695" s="31"/>
      <c r="S1695" s="31"/>
      <c r="T1695" s="38"/>
      <c r="U1695" s="39">
        <f>IFERROR(_xlfn.XLOOKUP(E1695,[1]EMPREENDIMENTO!C:C,[1]EMPREENDIMENTO!D:D),"")</f>
        <v>0</v>
      </c>
    </row>
    <row r="1696" spans="1:21" hidden="1" x14ac:dyDescent="0.35">
      <c r="A1696" s="36" t="str">
        <f>IFERROR(_xlfn.XLOOKUP(C1696,[1]DIRETORIA!C:C,[1]DIRETORIA!A:A),"-")</f>
        <v>-</v>
      </c>
      <c r="B1696" s="36" t="str">
        <f>IFERROR(_xlfn.XLOOKUP(C1696,[1]DIRETORIA!C:C,[1]DIRETORIA!B:B),"-")</f>
        <v>-</v>
      </c>
      <c r="C1696" s="36">
        <f>IFERROR(_xlfn.XLOOKUP(E1696,[1]EMPREENDIMENTO!C:C,[1]EMPREENDIMENTO!A:A),"-")</f>
        <v>0</v>
      </c>
      <c r="D1696" s="36"/>
      <c r="E1696" s="36"/>
      <c r="F1696" s="36"/>
      <c r="G1696" s="36"/>
      <c r="H1696" s="36"/>
      <c r="I1696" s="29">
        <f>IFERROR(_xlfn.XLOOKUP(E1696,[1]EMPREENDIMENTO!C:C,[1]EMPREENDIMENTO!E:E),"0")</f>
        <v>0</v>
      </c>
      <c r="J1696" s="31"/>
      <c r="K1696" s="36"/>
      <c r="M1696" s="37"/>
      <c r="N1696" s="37"/>
      <c r="O1696" s="37"/>
      <c r="P1696" s="36"/>
      <c r="Q1696" s="36"/>
      <c r="R1696" s="31"/>
      <c r="S1696" s="31"/>
      <c r="T1696" s="38"/>
      <c r="U1696" s="39">
        <f>IFERROR(_xlfn.XLOOKUP(E1696,[1]EMPREENDIMENTO!C:C,[1]EMPREENDIMENTO!D:D),"")</f>
        <v>0</v>
      </c>
    </row>
    <row r="1697" spans="1:21" hidden="1" x14ac:dyDescent="0.35">
      <c r="A1697" s="36" t="str">
        <f>IFERROR(_xlfn.XLOOKUP(C1697,[1]DIRETORIA!C:C,[1]DIRETORIA!A:A),"-")</f>
        <v>-</v>
      </c>
      <c r="B1697" s="36" t="str">
        <f>IFERROR(_xlfn.XLOOKUP(C1697,[1]DIRETORIA!C:C,[1]DIRETORIA!B:B),"-")</f>
        <v>-</v>
      </c>
      <c r="C1697" s="36">
        <f>IFERROR(_xlfn.XLOOKUP(E1697,[1]EMPREENDIMENTO!C:C,[1]EMPREENDIMENTO!A:A),"-")</f>
        <v>0</v>
      </c>
      <c r="D1697" s="36"/>
      <c r="E1697" s="36"/>
      <c r="F1697" s="36"/>
      <c r="G1697" s="36"/>
      <c r="H1697" s="36"/>
      <c r="I1697" s="29">
        <f>IFERROR(_xlfn.XLOOKUP(E1697,[1]EMPREENDIMENTO!C:C,[1]EMPREENDIMENTO!E:E),"0")</f>
        <v>0</v>
      </c>
      <c r="J1697" s="31"/>
      <c r="K1697" s="36"/>
      <c r="M1697" s="37"/>
      <c r="N1697" s="37"/>
      <c r="O1697" s="37"/>
      <c r="P1697" s="36"/>
      <c r="Q1697" s="36"/>
      <c r="R1697" s="31"/>
      <c r="S1697" s="31"/>
      <c r="T1697" s="38"/>
      <c r="U1697" s="39">
        <f>IFERROR(_xlfn.XLOOKUP(E1697,[1]EMPREENDIMENTO!C:C,[1]EMPREENDIMENTO!D:D),"")</f>
        <v>0</v>
      </c>
    </row>
    <row r="1698" spans="1:21" hidden="1" x14ac:dyDescent="0.35">
      <c r="A1698" s="36" t="str">
        <f>IFERROR(_xlfn.XLOOKUP(C1698,[1]DIRETORIA!C:C,[1]DIRETORIA!A:A),"-")</f>
        <v>-</v>
      </c>
      <c r="B1698" s="36" t="str">
        <f>IFERROR(_xlfn.XLOOKUP(C1698,[1]DIRETORIA!C:C,[1]DIRETORIA!B:B),"-")</f>
        <v>-</v>
      </c>
      <c r="C1698" s="36">
        <f>IFERROR(_xlfn.XLOOKUP(E1698,[1]EMPREENDIMENTO!C:C,[1]EMPREENDIMENTO!A:A),"-")</f>
        <v>0</v>
      </c>
      <c r="D1698" s="36"/>
      <c r="E1698" s="36"/>
      <c r="F1698" s="36"/>
      <c r="G1698" s="36"/>
      <c r="H1698" s="36"/>
      <c r="I1698" s="29">
        <f>IFERROR(_xlfn.XLOOKUP(E1698,[1]EMPREENDIMENTO!C:C,[1]EMPREENDIMENTO!E:E),"0")</f>
        <v>0</v>
      </c>
      <c r="J1698" s="31"/>
      <c r="K1698" s="36"/>
      <c r="M1698" s="37"/>
      <c r="N1698" s="37"/>
      <c r="O1698" s="37"/>
      <c r="P1698" s="36"/>
      <c r="Q1698" s="36"/>
      <c r="R1698" s="31"/>
      <c r="S1698" s="31"/>
      <c r="T1698" s="38"/>
      <c r="U1698" s="39">
        <f>IFERROR(_xlfn.XLOOKUP(E1698,[1]EMPREENDIMENTO!C:C,[1]EMPREENDIMENTO!D:D),"")</f>
        <v>0</v>
      </c>
    </row>
    <row r="1699" spans="1:21" hidden="1" x14ac:dyDescent="0.35">
      <c r="A1699" s="36" t="str">
        <f>IFERROR(_xlfn.XLOOKUP(C1699,[1]DIRETORIA!C:C,[1]DIRETORIA!A:A),"-")</f>
        <v>-</v>
      </c>
      <c r="B1699" s="36" t="str">
        <f>IFERROR(_xlfn.XLOOKUP(C1699,[1]DIRETORIA!C:C,[1]DIRETORIA!B:B),"-")</f>
        <v>-</v>
      </c>
      <c r="C1699" s="36">
        <f>IFERROR(_xlfn.XLOOKUP(E1699,[1]EMPREENDIMENTO!C:C,[1]EMPREENDIMENTO!A:A),"-")</f>
        <v>0</v>
      </c>
      <c r="D1699" s="36"/>
      <c r="E1699" s="36"/>
      <c r="F1699" s="36"/>
      <c r="G1699" s="36"/>
      <c r="H1699" s="36"/>
      <c r="I1699" s="29">
        <f>IFERROR(_xlfn.XLOOKUP(E1699,[1]EMPREENDIMENTO!C:C,[1]EMPREENDIMENTO!E:E),"0")</f>
        <v>0</v>
      </c>
      <c r="J1699" s="31"/>
      <c r="K1699" s="36"/>
      <c r="M1699" s="37"/>
      <c r="N1699" s="37"/>
      <c r="O1699" s="37"/>
      <c r="P1699" s="36"/>
      <c r="Q1699" s="36"/>
      <c r="R1699" s="31"/>
      <c r="S1699" s="31"/>
      <c r="T1699" s="38"/>
      <c r="U1699" s="39">
        <f>IFERROR(_xlfn.XLOOKUP(E1699,[1]EMPREENDIMENTO!C:C,[1]EMPREENDIMENTO!D:D),"")</f>
        <v>0</v>
      </c>
    </row>
    <row r="1700" spans="1:21" hidden="1" x14ac:dyDescent="0.35">
      <c r="A1700" s="36" t="str">
        <f>IFERROR(_xlfn.XLOOKUP(C1700,[1]DIRETORIA!C:C,[1]DIRETORIA!A:A),"-")</f>
        <v>-</v>
      </c>
      <c r="B1700" s="36" t="str">
        <f>IFERROR(_xlfn.XLOOKUP(C1700,[1]DIRETORIA!C:C,[1]DIRETORIA!B:B),"-")</f>
        <v>-</v>
      </c>
      <c r="C1700" s="36">
        <f>IFERROR(_xlfn.XLOOKUP(E1700,[1]EMPREENDIMENTO!C:C,[1]EMPREENDIMENTO!A:A),"-")</f>
        <v>0</v>
      </c>
      <c r="D1700" s="36"/>
      <c r="E1700" s="36"/>
      <c r="F1700" s="36"/>
      <c r="G1700" s="36"/>
      <c r="H1700" s="36"/>
      <c r="I1700" s="29">
        <f>IFERROR(_xlfn.XLOOKUP(E1700,[1]EMPREENDIMENTO!C:C,[1]EMPREENDIMENTO!E:E),"0")</f>
        <v>0</v>
      </c>
      <c r="J1700" s="31"/>
      <c r="K1700" s="36"/>
      <c r="M1700" s="37"/>
      <c r="N1700" s="37"/>
      <c r="O1700" s="37"/>
      <c r="P1700" s="36"/>
      <c r="Q1700" s="36"/>
      <c r="R1700" s="31"/>
      <c r="S1700" s="31"/>
      <c r="T1700" s="38"/>
      <c r="U1700" s="39">
        <f>IFERROR(_xlfn.XLOOKUP(E1700,[1]EMPREENDIMENTO!C:C,[1]EMPREENDIMENTO!D:D),"")</f>
        <v>0</v>
      </c>
    </row>
    <row r="1701" spans="1:21" hidden="1" x14ac:dyDescent="0.35">
      <c r="A1701" s="36" t="str">
        <f>IFERROR(_xlfn.XLOOKUP(C1701,[1]DIRETORIA!C:C,[1]DIRETORIA!A:A),"-")</f>
        <v>-</v>
      </c>
      <c r="B1701" s="36" t="str">
        <f>IFERROR(_xlfn.XLOOKUP(C1701,[1]DIRETORIA!C:C,[1]DIRETORIA!B:B),"-")</f>
        <v>-</v>
      </c>
      <c r="C1701" s="36">
        <f>IFERROR(_xlfn.XLOOKUP(E1701,[1]EMPREENDIMENTO!C:C,[1]EMPREENDIMENTO!A:A),"-")</f>
        <v>0</v>
      </c>
      <c r="D1701" s="36"/>
      <c r="E1701" s="36"/>
      <c r="F1701" s="36"/>
      <c r="G1701" s="36"/>
      <c r="H1701" s="36"/>
      <c r="I1701" s="29">
        <f>IFERROR(_xlfn.XLOOKUP(E1701,[1]EMPREENDIMENTO!C:C,[1]EMPREENDIMENTO!E:E),"0")</f>
        <v>0</v>
      </c>
      <c r="J1701" s="31"/>
      <c r="K1701" s="36"/>
      <c r="M1701" s="37"/>
      <c r="N1701" s="37"/>
      <c r="O1701" s="37"/>
      <c r="P1701" s="36"/>
      <c r="Q1701" s="36"/>
      <c r="R1701" s="31"/>
      <c r="S1701" s="31"/>
      <c r="T1701" s="38"/>
      <c r="U1701" s="39">
        <f>IFERROR(_xlfn.XLOOKUP(E1701,[1]EMPREENDIMENTO!C:C,[1]EMPREENDIMENTO!D:D),"")</f>
        <v>0</v>
      </c>
    </row>
    <row r="1702" spans="1:21" hidden="1" x14ac:dyDescent="0.35">
      <c r="A1702" s="36" t="str">
        <f>IFERROR(_xlfn.XLOOKUP(C1702,[1]DIRETORIA!C:C,[1]DIRETORIA!A:A),"-")</f>
        <v>-</v>
      </c>
      <c r="B1702" s="36" t="str">
        <f>IFERROR(_xlfn.XLOOKUP(C1702,[1]DIRETORIA!C:C,[1]DIRETORIA!B:B),"-")</f>
        <v>-</v>
      </c>
      <c r="C1702" s="36">
        <f>IFERROR(_xlfn.XLOOKUP(E1702,[1]EMPREENDIMENTO!C:C,[1]EMPREENDIMENTO!A:A),"-")</f>
        <v>0</v>
      </c>
      <c r="D1702" s="36"/>
      <c r="E1702" s="36"/>
      <c r="F1702" s="36"/>
      <c r="G1702" s="36"/>
      <c r="H1702" s="36"/>
      <c r="I1702" s="29">
        <f>IFERROR(_xlfn.XLOOKUP(E1702,[1]EMPREENDIMENTO!C:C,[1]EMPREENDIMENTO!E:E),"0")</f>
        <v>0</v>
      </c>
      <c r="J1702" s="31"/>
      <c r="K1702" s="36"/>
      <c r="M1702" s="37"/>
      <c r="N1702" s="37"/>
      <c r="O1702" s="37"/>
      <c r="P1702" s="36"/>
      <c r="Q1702" s="36"/>
      <c r="R1702" s="31"/>
      <c r="S1702" s="31"/>
      <c r="T1702" s="38"/>
      <c r="U1702" s="39">
        <f>IFERROR(_xlfn.XLOOKUP(E1702,[1]EMPREENDIMENTO!C:C,[1]EMPREENDIMENTO!D:D),"")</f>
        <v>0</v>
      </c>
    </row>
    <row r="1703" spans="1:21" hidden="1" x14ac:dyDescent="0.35">
      <c r="A1703" s="36" t="str">
        <f>IFERROR(_xlfn.XLOOKUP(C1703,[1]DIRETORIA!C:C,[1]DIRETORIA!A:A),"-")</f>
        <v>-</v>
      </c>
      <c r="B1703" s="36" t="str">
        <f>IFERROR(_xlfn.XLOOKUP(C1703,[1]DIRETORIA!C:C,[1]DIRETORIA!B:B),"-")</f>
        <v>-</v>
      </c>
      <c r="C1703" s="36">
        <f>IFERROR(_xlfn.XLOOKUP(E1703,[1]EMPREENDIMENTO!C:C,[1]EMPREENDIMENTO!A:A),"-")</f>
        <v>0</v>
      </c>
      <c r="D1703" s="36"/>
      <c r="E1703" s="36"/>
      <c r="F1703" s="36"/>
      <c r="G1703" s="36"/>
      <c r="H1703" s="36"/>
      <c r="I1703" s="29">
        <f>IFERROR(_xlfn.XLOOKUP(E1703,[1]EMPREENDIMENTO!C:C,[1]EMPREENDIMENTO!E:E),"0")</f>
        <v>0</v>
      </c>
      <c r="J1703" s="31"/>
      <c r="K1703" s="36"/>
      <c r="M1703" s="37"/>
      <c r="N1703" s="37"/>
      <c r="O1703" s="37"/>
      <c r="P1703" s="36"/>
      <c r="Q1703" s="36"/>
      <c r="R1703" s="31"/>
      <c r="S1703" s="31"/>
      <c r="T1703" s="38"/>
      <c r="U1703" s="39">
        <f>IFERROR(_xlfn.XLOOKUP(E1703,[1]EMPREENDIMENTO!C:C,[1]EMPREENDIMENTO!D:D),"")</f>
        <v>0</v>
      </c>
    </row>
    <row r="1704" spans="1:21" hidden="1" x14ac:dyDescent="0.35">
      <c r="A1704" s="36" t="str">
        <f>IFERROR(_xlfn.XLOOKUP(C1704,[1]DIRETORIA!C:C,[1]DIRETORIA!A:A),"-")</f>
        <v>-</v>
      </c>
      <c r="B1704" s="36" t="str">
        <f>IFERROR(_xlfn.XLOOKUP(C1704,[1]DIRETORIA!C:C,[1]DIRETORIA!B:B),"-")</f>
        <v>-</v>
      </c>
      <c r="C1704" s="36">
        <f>IFERROR(_xlfn.XLOOKUP(E1704,[1]EMPREENDIMENTO!C:C,[1]EMPREENDIMENTO!A:A),"-")</f>
        <v>0</v>
      </c>
      <c r="D1704" s="36"/>
      <c r="E1704" s="36"/>
      <c r="F1704" s="36"/>
      <c r="G1704" s="36"/>
      <c r="H1704" s="36"/>
      <c r="I1704" s="29">
        <f>IFERROR(_xlfn.XLOOKUP(E1704,[1]EMPREENDIMENTO!C:C,[1]EMPREENDIMENTO!E:E),"0")</f>
        <v>0</v>
      </c>
      <c r="J1704" s="31"/>
      <c r="K1704" s="36"/>
      <c r="M1704" s="37"/>
      <c r="N1704" s="37"/>
      <c r="O1704" s="37"/>
      <c r="P1704" s="36"/>
      <c r="Q1704" s="36"/>
      <c r="R1704" s="31"/>
      <c r="S1704" s="31"/>
      <c r="T1704" s="38"/>
      <c r="U1704" s="39">
        <f>IFERROR(_xlfn.XLOOKUP(E1704,[1]EMPREENDIMENTO!C:C,[1]EMPREENDIMENTO!D:D),"")</f>
        <v>0</v>
      </c>
    </row>
    <row r="1705" spans="1:21" hidden="1" x14ac:dyDescent="0.35">
      <c r="A1705" s="36" t="str">
        <f>IFERROR(_xlfn.XLOOKUP(C1705,[1]DIRETORIA!C:C,[1]DIRETORIA!A:A),"-")</f>
        <v>-</v>
      </c>
      <c r="B1705" s="36" t="str">
        <f>IFERROR(_xlfn.XLOOKUP(C1705,[1]DIRETORIA!C:C,[1]DIRETORIA!B:B),"-")</f>
        <v>-</v>
      </c>
      <c r="C1705" s="36">
        <f>IFERROR(_xlfn.XLOOKUP(E1705,[1]EMPREENDIMENTO!C:C,[1]EMPREENDIMENTO!A:A),"-")</f>
        <v>0</v>
      </c>
      <c r="D1705" s="36"/>
      <c r="E1705" s="36"/>
      <c r="F1705" s="36"/>
      <c r="G1705" s="36"/>
      <c r="H1705" s="36"/>
      <c r="I1705" s="29">
        <f>IFERROR(_xlfn.XLOOKUP(E1705,[1]EMPREENDIMENTO!C:C,[1]EMPREENDIMENTO!E:E),"0")</f>
        <v>0</v>
      </c>
      <c r="J1705" s="31"/>
      <c r="K1705" s="36"/>
      <c r="M1705" s="37"/>
      <c r="N1705" s="37"/>
      <c r="O1705" s="37"/>
      <c r="P1705" s="36"/>
      <c r="Q1705" s="36"/>
      <c r="R1705" s="31"/>
      <c r="S1705" s="31"/>
      <c r="T1705" s="38"/>
      <c r="U1705" s="39">
        <f>IFERROR(_xlfn.XLOOKUP(E1705,[1]EMPREENDIMENTO!C:C,[1]EMPREENDIMENTO!D:D),"")</f>
        <v>0</v>
      </c>
    </row>
    <row r="1706" spans="1:21" hidden="1" x14ac:dyDescent="0.35">
      <c r="A1706" s="36" t="str">
        <f>IFERROR(_xlfn.XLOOKUP(C1706,[1]DIRETORIA!C:C,[1]DIRETORIA!A:A),"-")</f>
        <v>-</v>
      </c>
      <c r="B1706" s="36" t="str">
        <f>IFERROR(_xlfn.XLOOKUP(C1706,[1]DIRETORIA!C:C,[1]DIRETORIA!B:B),"-")</f>
        <v>-</v>
      </c>
      <c r="C1706" s="36">
        <f>IFERROR(_xlfn.XLOOKUP(E1706,[1]EMPREENDIMENTO!C:C,[1]EMPREENDIMENTO!A:A),"-")</f>
        <v>0</v>
      </c>
      <c r="D1706" s="36"/>
      <c r="E1706" s="36"/>
      <c r="F1706" s="36"/>
      <c r="G1706" s="36"/>
      <c r="H1706" s="36"/>
      <c r="I1706" s="29">
        <f>IFERROR(_xlfn.XLOOKUP(E1706,[1]EMPREENDIMENTO!C:C,[1]EMPREENDIMENTO!E:E),"0")</f>
        <v>0</v>
      </c>
      <c r="J1706" s="31"/>
      <c r="K1706" s="36"/>
      <c r="M1706" s="37"/>
      <c r="N1706" s="37"/>
      <c r="O1706" s="37"/>
      <c r="P1706" s="36"/>
      <c r="Q1706" s="36"/>
      <c r="R1706" s="31"/>
      <c r="S1706" s="31"/>
      <c r="T1706" s="38"/>
      <c r="U1706" s="39">
        <f>IFERROR(_xlfn.XLOOKUP(E1706,[1]EMPREENDIMENTO!C:C,[1]EMPREENDIMENTO!D:D),"")</f>
        <v>0</v>
      </c>
    </row>
    <row r="1707" spans="1:21" hidden="1" x14ac:dyDescent="0.35">
      <c r="A1707" s="36" t="str">
        <f>IFERROR(_xlfn.XLOOKUP(C1707,[1]DIRETORIA!C:C,[1]DIRETORIA!A:A),"-")</f>
        <v>-</v>
      </c>
      <c r="B1707" s="36" t="str">
        <f>IFERROR(_xlfn.XLOOKUP(C1707,[1]DIRETORIA!C:C,[1]DIRETORIA!B:B),"-")</f>
        <v>-</v>
      </c>
      <c r="C1707" s="36">
        <f>IFERROR(_xlfn.XLOOKUP(E1707,[1]EMPREENDIMENTO!C:C,[1]EMPREENDIMENTO!A:A),"-")</f>
        <v>0</v>
      </c>
      <c r="D1707" s="36"/>
      <c r="E1707" s="36"/>
      <c r="F1707" s="36"/>
      <c r="G1707" s="36"/>
      <c r="H1707" s="36"/>
      <c r="I1707" s="29">
        <f>IFERROR(_xlfn.XLOOKUP(E1707,[1]EMPREENDIMENTO!C:C,[1]EMPREENDIMENTO!E:E),"0")</f>
        <v>0</v>
      </c>
      <c r="J1707" s="31"/>
      <c r="K1707" s="36"/>
      <c r="M1707" s="37"/>
      <c r="N1707" s="37"/>
      <c r="O1707" s="37"/>
      <c r="P1707" s="36"/>
      <c r="Q1707" s="36"/>
      <c r="R1707" s="31"/>
      <c r="S1707" s="31"/>
      <c r="T1707" s="38"/>
      <c r="U1707" s="39">
        <f>IFERROR(_xlfn.XLOOKUP(E1707,[1]EMPREENDIMENTO!C:C,[1]EMPREENDIMENTO!D:D),"")</f>
        <v>0</v>
      </c>
    </row>
    <row r="1708" spans="1:21" hidden="1" x14ac:dyDescent="0.35">
      <c r="A1708" s="36" t="str">
        <f>IFERROR(_xlfn.XLOOKUP(C1708,[1]DIRETORIA!C:C,[1]DIRETORIA!A:A),"-")</f>
        <v>-</v>
      </c>
      <c r="B1708" s="36" t="str">
        <f>IFERROR(_xlfn.XLOOKUP(C1708,[1]DIRETORIA!C:C,[1]DIRETORIA!B:B),"-")</f>
        <v>-</v>
      </c>
      <c r="C1708" s="36">
        <f>IFERROR(_xlfn.XLOOKUP(E1708,[1]EMPREENDIMENTO!C:C,[1]EMPREENDIMENTO!A:A),"-")</f>
        <v>0</v>
      </c>
      <c r="D1708" s="36"/>
      <c r="E1708" s="36"/>
      <c r="F1708" s="36"/>
      <c r="G1708" s="36"/>
      <c r="H1708" s="36"/>
      <c r="I1708" s="29">
        <f>IFERROR(_xlfn.XLOOKUP(E1708,[1]EMPREENDIMENTO!C:C,[1]EMPREENDIMENTO!E:E),"0")</f>
        <v>0</v>
      </c>
      <c r="J1708" s="31"/>
      <c r="K1708" s="36"/>
      <c r="M1708" s="37"/>
      <c r="N1708" s="37"/>
      <c r="O1708" s="37"/>
      <c r="P1708" s="36"/>
      <c r="Q1708" s="36"/>
      <c r="R1708" s="31"/>
      <c r="S1708" s="31"/>
      <c r="T1708" s="38"/>
      <c r="U1708" s="39">
        <f>IFERROR(_xlfn.XLOOKUP(E1708,[1]EMPREENDIMENTO!C:C,[1]EMPREENDIMENTO!D:D),"")</f>
        <v>0</v>
      </c>
    </row>
    <row r="1709" spans="1:21" hidden="1" x14ac:dyDescent="0.35">
      <c r="A1709" s="36" t="str">
        <f>IFERROR(_xlfn.XLOOKUP(C1709,[1]DIRETORIA!C:C,[1]DIRETORIA!A:A),"-")</f>
        <v>-</v>
      </c>
      <c r="B1709" s="36" t="str">
        <f>IFERROR(_xlfn.XLOOKUP(C1709,[1]DIRETORIA!C:C,[1]DIRETORIA!B:B),"-")</f>
        <v>-</v>
      </c>
      <c r="C1709" s="36">
        <f>IFERROR(_xlfn.XLOOKUP(E1709,[1]EMPREENDIMENTO!C:C,[1]EMPREENDIMENTO!A:A),"-")</f>
        <v>0</v>
      </c>
      <c r="D1709" s="36"/>
      <c r="E1709" s="36"/>
      <c r="F1709" s="36"/>
      <c r="G1709" s="36"/>
      <c r="H1709" s="36"/>
      <c r="I1709" s="29">
        <f>IFERROR(_xlfn.XLOOKUP(E1709,[1]EMPREENDIMENTO!C:C,[1]EMPREENDIMENTO!E:E),"0")</f>
        <v>0</v>
      </c>
      <c r="J1709" s="31"/>
      <c r="K1709" s="36"/>
      <c r="M1709" s="37"/>
      <c r="N1709" s="37"/>
      <c r="O1709" s="37"/>
      <c r="P1709" s="36"/>
      <c r="Q1709" s="36"/>
      <c r="R1709" s="31"/>
      <c r="S1709" s="31"/>
      <c r="T1709" s="38"/>
      <c r="U1709" s="39">
        <f>IFERROR(_xlfn.XLOOKUP(E1709,[1]EMPREENDIMENTO!C:C,[1]EMPREENDIMENTO!D:D),"")</f>
        <v>0</v>
      </c>
    </row>
    <row r="1710" spans="1:21" hidden="1" x14ac:dyDescent="0.35">
      <c r="A1710" s="36" t="str">
        <f>IFERROR(_xlfn.XLOOKUP(C1710,[1]DIRETORIA!C:C,[1]DIRETORIA!A:A),"-")</f>
        <v>-</v>
      </c>
      <c r="B1710" s="36" t="str">
        <f>IFERROR(_xlfn.XLOOKUP(C1710,[1]DIRETORIA!C:C,[1]DIRETORIA!B:B),"-")</f>
        <v>-</v>
      </c>
      <c r="C1710" s="36">
        <f>IFERROR(_xlfn.XLOOKUP(E1710,[1]EMPREENDIMENTO!C:C,[1]EMPREENDIMENTO!A:A),"-")</f>
        <v>0</v>
      </c>
      <c r="D1710" s="36"/>
      <c r="E1710" s="36"/>
      <c r="F1710" s="36"/>
      <c r="G1710" s="36"/>
      <c r="H1710" s="36"/>
      <c r="I1710" s="29">
        <f>IFERROR(_xlfn.XLOOKUP(E1710,[1]EMPREENDIMENTO!C:C,[1]EMPREENDIMENTO!E:E),"0")</f>
        <v>0</v>
      </c>
      <c r="J1710" s="31"/>
      <c r="K1710" s="36"/>
      <c r="M1710" s="37"/>
      <c r="N1710" s="37"/>
      <c r="O1710" s="37"/>
      <c r="P1710" s="36"/>
      <c r="Q1710" s="36"/>
      <c r="R1710" s="31"/>
      <c r="S1710" s="31"/>
      <c r="T1710" s="38"/>
      <c r="U1710" s="39">
        <f>IFERROR(_xlfn.XLOOKUP(E1710,[1]EMPREENDIMENTO!C:C,[1]EMPREENDIMENTO!D:D),"")</f>
        <v>0</v>
      </c>
    </row>
    <row r="1711" spans="1:21" hidden="1" x14ac:dyDescent="0.35">
      <c r="A1711" s="36" t="str">
        <f>IFERROR(_xlfn.XLOOKUP(C1711,[1]DIRETORIA!C:C,[1]DIRETORIA!A:A),"-")</f>
        <v>-</v>
      </c>
      <c r="B1711" s="36" t="str">
        <f>IFERROR(_xlfn.XLOOKUP(C1711,[1]DIRETORIA!C:C,[1]DIRETORIA!B:B),"-")</f>
        <v>-</v>
      </c>
      <c r="C1711" s="36">
        <f>IFERROR(_xlfn.XLOOKUP(E1711,[1]EMPREENDIMENTO!C:C,[1]EMPREENDIMENTO!A:A),"-")</f>
        <v>0</v>
      </c>
      <c r="D1711" s="36"/>
      <c r="E1711" s="36"/>
      <c r="F1711" s="36"/>
      <c r="G1711" s="36"/>
      <c r="H1711" s="36"/>
      <c r="I1711" s="29">
        <f>IFERROR(_xlfn.XLOOKUP(E1711,[1]EMPREENDIMENTO!C:C,[1]EMPREENDIMENTO!E:E),"0")</f>
        <v>0</v>
      </c>
      <c r="J1711" s="31"/>
      <c r="K1711" s="36"/>
      <c r="M1711" s="37"/>
      <c r="N1711" s="37"/>
      <c r="O1711" s="37"/>
      <c r="P1711" s="36"/>
      <c r="Q1711" s="36"/>
      <c r="R1711" s="31"/>
      <c r="S1711" s="31"/>
      <c r="T1711" s="38"/>
      <c r="U1711" s="39">
        <f>IFERROR(_xlfn.XLOOKUP(E1711,[1]EMPREENDIMENTO!C:C,[1]EMPREENDIMENTO!D:D),"")</f>
        <v>0</v>
      </c>
    </row>
    <row r="1712" spans="1:21" hidden="1" x14ac:dyDescent="0.35">
      <c r="A1712" s="36" t="str">
        <f>IFERROR(_xlfn.XLOOKUP(C1712,[1]DIRETORIA!C:C,[1]DIRETORIA!A:A),"-")</f>
        <v>-</v>
      </c>
      <c r="B1712" s="36" t="str">
        <f>IFERROR(_xlfn.XLOOKUP(C1712,[1]DIRETORIA!C:C,[1]DIRETORIA!B:B),"-")</f>
        <v>-</v>
      </c>
      <c r="C1712" s="36">
        <f>IFERROR(_xlfn.XLOOKUP(E1712,[1]EMPREENDIMENTO!C:C,[1]EMPREENDIMENTO!A:A),"-")</f>
        <v>0</v>
      </c>
      <c r="D1712" s="36"/>
      <c r="E1712" s="36"/>
      <c r="F1712" s="36"/>
      <c r="G1712" s="36"/>
      <c r="H1712" s="36"/>
      <c r="I1712" s="29">
        <f>IFERROR(_xlfn.XLOOKUP(E1712,[1]EMPREENDIMENTO!C:C,[1]EMPREENDIMENTO!E:E),"0")</f>
        <v>0</v>
      </c>
      <c r="J1712" s="31"/>
      <c r="K1712" s="36"/>
      <c r="M1712" s="37"/>
      <c r="N1712" s="37"/>
      <c r="O1712" s="37"/>
      <c r="P1712" s="36"/>
      <c r="Q1712" s="36"/>
      <c r="R1712" s="31"/>
      <c r="S1712" s="31"/>
      <c r="T1712" s="38"/>
      <c r="U1712" s="39">
        <f>IFERROR(_xlfn.XLOOKUP(E1712,[1]EMPREENDIMENTO!C:C,[1]EMPREENDIMENTO!D:D),"")</f>
        <v>0</v>
      </c>
    </row>
    <row r="1713" spans="1:21" hidden="1" x14ac:dyDescent="0.35">
      <c r="A1713" s="36" t="str">
        <f>IFERROR(_xlfn.XLOOKUP(C1713,[1]DIRETORIA!C:C,[1]DIRETORIA!A:A),"-")</f>
        <v>-</v>
      </c>
      <c r="B1713" s="36" t="str">
        <f>IFERROR(_xlfn.XLOOKUP(C1713,[1]DIRETORIA!C:C,[1]DIRETORIA!B:B),"-")</f>
        <v>-</v>
      </c>
      <c r="C1713" s="36">
        <f>IFERROR(_xlfn.XLOOKUP(E1713,[1]EMPREENDIMENTO!C:C,[1]EMPREENDIMENTO!A:A),"-")</f>
        <v>0</v>
      </c>
      <c r="D1713" s="36"/>
      <c r="E1713" s="36"/>
      <c r="F1713" s="36"/>
      <c r="G1713" s="36"/>
      <c r="H1713" s="36"/>
      <c r="I1713" s="29">
        <f>IFERROR(_xlfn.XLOOKUP(E1713,[1]EMPREENDIMENTO!C:C,[1]EMPREENDIMENTO!E:E),"0")</f>
        <v>0</v>
      </c>
      <c r="J1713" s="31"/>
      <c r="K1713" s="36"/>
      <c r="M1713" s="37"/>
      <c r="N1713" s="37"/>
      <c r="O1713" s="37"/>
      <c r="P1713" s="36"/>
      <c r="Q1713" s="36"/>
      <c r="R1713" s="31"/>
      <c r="S1713" s="31"/>
      <c r="T1713" s="38"/>
      <c r="U1713" s="39">
        <f>IFERROR(_xlfn.XLOOKUP(E1713,[1]EMPREENDIMENTO!C:C,[1]EMPREENDIMENTO!D:D),"")</f>
        <v>0</v>
      </c>
    </row>
    <row r="1714" spans="1:21" hidden="1" x14ac:dyDescent="0.35">
      <c r="A1714" s="36" t="str">
        <f>IFERROR(_xlfn.XLOOKUP(C1714,[1]DIRETORIA!C:C,[1]DIRETORIA!A:A),"-")</f>
        <v>-</v>
      </c>
      <c r="B1714" s="36" t="str">
        <f>IFERROR(_xlfn.XLOOKUP(C1714,[1]DIRETORIA!C:C,[1]DIRETORIA!B:B),"-")</f>
        <v>-</v>
      </c>
      <c r="C1714" s="36">
        <f>IFERROR(_xlfn.XLOOKUP(E1714,[1]EMPREENDIMENTO!C:C,[1]EMPREENDIMENTO!A:A),"-")</f>
        <v>0</v>
      </c>
      <c r="D1714" s="36"/>
      <c r="E1714" s="36"/>
      <c r="F1714" s="36"/>
      <c r="G1714" s="36"/>
      <c r="H1714" s="36"/>
      <c r="I1714" s="29">
        <f>IFERROR(_xlfn.XLOOKUP(E1714,[1]EMPREENDIMENTO!C:C,[1]EMPREENDIMENTO!E:E),"0")</f>
        <v>0</v>
      </c>
      <c r="J1714" s="31"/>
      <c r="K1714" s="36"/>
      <c r="M1714" s="37"/>
      <c r="N1714" s="37"/>
      <c r="O1714" s="37"/>
      <c r="P1714" s="36"/>
      <c r="Q1714" s="36"/>
      <c r="R1714" s="31"/>
      <c r="S1714" s="31"/>
      <c r="T1714" s="38"/>
      <c r="U1714" s="39">
        <f>IFERROR(_xlfn.XLOOKUP(E1714,[1]EMPREENDIMENTO!C:C,[1]EMPREENDIMENTO!D:D),"")</f>
        <v>0</v>
      </c>
    </row>
    <row r="1715" spans="1:21" hidden="1" x14ac:dyDescent="0.35">
      <c r="A1715" s="36" t="str">
        <f>IFERROR(_xlfn.XLOOKUP(C1715,[1]DIRETORIA!C:C,[1]DIRETORIA!A:A),"-")</f>
        <v>-</v>
      </c>
      <c r="B1715" s="36" t="str">
        <f>IFERROR(_xlfn.XLOOKUP(C1715,[1]DIRETORIA!C:C,[1]DIRETORIA!B:B),"-")</f>
        <v>-</v>
      </c>
      <c r="C1715" s="36">
        <f>IFERROR(_xlfn.XLOOKUP(E1715,[1]EMPREENDIMENTO!C:C,[1]EMPREENDIMENTO!A:A),"-")</f>
        <v>0</v>
      </c>
      <c r="D1715" s="36"/>
      <c r="E1715" s="36"/>
      <c r="F1715" s="36"/>
      <c r="G1715" s="36"/>
      <c r="H1715" s="36"/>
      <c r="I1715" s="29">
        <f>IFERROR(_xlfn.XLOOKUP(E1715,[1]EMPREENDIMENTO!C:C,[1]EMPREENDIMENTO!E:E),"0")</f>
        <v>0</v>
      </c>
      <c r="J1715" s="31"/>
      <c r="K1715" s="36"/>
      <c r="M1715" s="37"/>
      <c r="N1715" s="37"/>
      <c r="O1715" s="37"/>
      <c r="P1715" s="36"/>
      <c r="Q1715" s="36"/>
      <c r="R1715" s="31"/>
      <c r="S1715" s="31"/>
      <c r="T1715" s="38"/>
      <c r="U1715" s="39">
        <f>IFERROR(_xlfn.XLOOKUP(E1715,[1]EMPREENDIMENTO!C:C,[1]EMPREENDIMENTO!D:D),"")</f>
        <v>0</v>
      </c>
    </row>
    <row r="1716" spans="1:21" hidden="1" x14ac:dyDescent="0.35">
      <c r="A1716" s="36" t="str">
        <f>IFERROR(_xlfn.XLOOKUP(C1716,[1]DIRETORIA!C:C,[1]DIRETORIA!A:A),"-")</f>
        <v>-</v>
      </c>
      <c r="B1716" s="36" t="str">
        <f>IFERROR(_xlfn.XLOOKUP(C1716,[1]DIRETORIA!C:C,[1]DIRETORIA!B:B),"-")</f>
        <v>-</v>
      </c>
      <c r="C1716" s="36">
        <f>IFERROR(_xlfn.XLOOKUP(E1716,[1]EMPREENDIMENTO!C:C,[1]EMPREENDIMENTO!A:A),"-")</f>
        <v>0</v>
      </c>
      <c r="D1716" s="36"/>
      <c r="E1716" s="36"/>
      <c r="F1716" s="36"/>
      <c r="G1716" s="36"/>
      <c r="H1716" s="36"/>
      <c r="I1716" s="29">
        <f>IFERROR(_xlfn.XLOOKUP(E1716,[1]EMPREENDIMENTO!C:C,[1]EMPREENDIMENTO!E:E),"0")</f>
        <v>0</v>
      </c>
      <c r="J1716" s="31"/>
      <c r="K1716" s="36"/>
      <c r="M1716" s="37"/>
      <c r="N1716" s="37"/>
      <c r="O1716" s="37"/>
      <c r="P1716" s="36"/>
      <c r="Q1716" s="36"/>
      <c r="R1716" s="31"/>
      <c r="S1716" s="31"/>
      <c r="T1716" s="38"/>
      <c r="U1716" s="39">
        <f>IFERROR(_xlfn.XLOOKUP(E1716,[1]EMPREENDIMENTO!C:C,[1]EMPREENDIMENTO!D:D),"")</f>
        <v>0</v>
      </c>
    </row>
    <row r="1717" spans="1:21" hidden="1" x14ac:dyDescent="0.35">
      <c r="A1717" s="36" t="str">
        <f>IFERROR(_xlfn.XLOOKUP(C1717,[1]DIRETORIA!C:C,[1]DIRETORIA!A:A),"-")</f>
        <v>-</v>
      </c>
      <c r="B1717" s="36" t="str">
        <f>IFERROR(_xlfn.XLOOKUP(C1717,[1]DIRETORIA!C:C,[1]DIRETORIA!B:B),"-")</f>
        <v>-</v>
      </c>
      <c r="C1717" s="36">
        <f>IFERROR(_xlfn.XLOOKUP(E1717,[1]EMPREENDIMENTO!C:C,[1]EMPREENDIMENTO!A:A),"-")</f>
        <v>0</v>
      </c>
      <c r="D1717" s="36"/>
      <c r="E1717" s="36"/>
      <c r="F1717" s="36"/>
      <c r="G1717" s="36"/>
      <c r="H1717" s="36"/>
      <c r="I1717" s="29">
        <f>IFERROR(_xlfn.XLOOKUP(E1717,[1]EMPREENDIMENTO!C:C,[1]EMPREENDIMENTO!E:E),"0")</f>
        <v>0</v>
      </c>
      <c r="J1717" s="31"/>
      <c r="K1717" s="36"/>
      <c r="M1717" s="37"/>
      <c r="N1717" s="37"/>
      <c r="O1717" s="37"/>
      <c r="P1717" s="36"/>
      <c r="Q1717" s="36"/>
      <c r="R1717" s="31"/>
      <c r="S1717" s="31"/>
      <c r="T1717" s="38"/>
      <c r="U1717" s="39">
        <f>IFERROR(_xlfn.XLOOKUP(E1717,[1]EMPREENDIMENTO!C:C,[1]EMPREENDIMENTO!D:D),"")</f>
        <v>0</v>
      </c>
    </row>
    <row r="1718" spans="1:21" hidden="1" x14ac:dyDescent="0.35">
      <c r="A1718" s="36" t="str">
        <f>IFERROR(_xlfn.XLOOKUP(C1718,[1]DIRETORIA!C:C,[1]DIRETORIA!A:A),"-")</f>
        <v>-</v>
      </c>
      <c r="B1718" s="36" t="str">
        <f>IFERROR(_xlfn.XLOOKUP(C1718,[1]DIRETORIA!C:C,[1]DIRETORIA!B:B),"-")</f>
        <v>-</v>
      </c>
      <c r="C1718" s="36">
        <f>IFERROR(_xlfn.XLOOKUP(E1718,[1]EMPREENDIMENTO!C:C,[1]EMPREENDIMENTO!A:A),"-")</f>
        <v>0</v>
      </c>
      <c r="D1718" s="36"/>
      <c r="E1718" s="36"/>
      <c r="F1718" s="36"/>
      <c r="G1718" s="36"/>
      <c r="H1718" s="36"/>
      <c r="I1718" s="29">
        <f>IFERROR(_xlfn.XLOOKUP(E1718,[1]EMPREENDIMENTO!C:C,[1]EMPREENDIMENTO!E:E),"0")</f>
        <v>0</v>
      </c>
      <c r="J1718" s="31"/>
      <c r="K1718" s="36"/>
      <c r="M1718" s="37"/>
      <c r="N1718" s="37"/>
      <c r="O1718" s="37"/>
      <c r="P1718" s="36"/>
      <c r="Q1718" s="36"/>
      <c r="R1718" s="31"/>
      <c r="S1718" s="31"/>
      <c r="T1718" s="38"/>
      <c r="U1718" s="39">
        <f>IFERROR(_xlfn.XLOOKUP(E1718,[1]EMPREENDIMENTO!C:C,[1]EMPREENDIMENTO!D:D),"")</f>
        <v>0</v>
      </c>
    </row>
    <row r="1719" spans="1:21" hidden="1" x14ac:dyDescent="0.35">
      <c r="A1719" s="36" t="str">
        <f>IFERROR(_xlfn.XLOOKUP(C1719,[1]DIRETORIA!C:C,[1]DIRETORIA!A:A),"-")</f>
        <v>-</v>
      </c>
      <c r="B1719" s="36" t="str">
        <f>IFERROR(_xlfn.XLOOKUP(C1719,[1]DIRETORIA!C:C,[1]DIRETORIA!B:B),"-")</f>
        <v>-</v>
      </c>
      <c r="C1719" s="36">
        <f>IFERROR(_xlfn.XLOOKUP(E1719,[1]EMPREENDIMENTO!C:C,[1]EMPREENDIMENTO!A:A),"-")</f>
        <v>0</v>
      </c>
      <c r="D1719" s="36"/>
      <c r="E1719" s="36"/>
      <c r="F1719" s="36"/>
      <c r="G1719" s="36"/>
      <c r="H1719" s="36"/>
      <c r="I1719" s="29">
        <f>IFERROR(_xlfn.XLOOKUP(E1719,[1]EMPREENDIMENTO!C:C,[1]EMPREENDIMENTO!E:E),"0")</f>
        <v>0</v>
      </c>
      <c r="J1719" s="31"/>
      <c r="K1719" s="36"/>
      <c r="M1719" s="37"/>
      <c r="N1719" s="37"/>
      <c r="O1719" s="37"/>
      <c r="P1719" s="36"/>
      <c r="Q1719" s="36"/>
      <c r="R1719" s="31"/>
      <c r="S1719" s="31"/>
      <c r="T1719" s="38"/>
      <c r="U1719" s="39">
        <f>IFERROR(_xlfn.XLOOKUP(E1719,[1]EMPREENDIMENTO!C:C,[1]EMPREENDIMENTO!D:D),"")</f>
        <v>0</v>
      </c>
    </row>
    <row r="1720" spans="1:21" hidden="1" x14ac:dyDescent="0.35">
      <c r="A1720" s="36" t="str">
        <f>IFERROR(_xlfn.XLOOKUP(C1720,[1]DIRETORIA!C:C,[1]DIRETORIA!A:A),"-")</f>
        <v>-</v>
      </c>
      <c r="B1720" s="36" t="str">
        <f>IFERROR(_xlfn.XLOOKUP(C1720,[1]DIRETORIA!C:C,[1]DIRETORIA!B:B),"-")</f>
        <v>-</v>
      </c>
      <c r="C1720" s="36">
        <f>IFERROR(_xlfn.XLOOKUP(E1720,[1]EMPREENDIMENTO!C:C,[1]EMPREENDIMENTO!A:A),"-")</f>
        <v>0</v>
      </c>
      <c r="D1720" s="36"/>
      <c r="E1720" s="36"/>
      <c r="F1720" s="36"/>
      <c r="G1720" s="36"/>
      <c r="H1720" s="36"/>
      <c r="I1720" s="29">
        <f>IFERROR(_xlfn.XLOOKUP(E1720,[1]EMPREENDIMENTO!C:C,[1]EMPREENDIMENTO!E:E),"0")</f>
        <v>0</v>
      </c>
      <c r="J1720" s="31"/>
      <c r="K1720" s="36"/>
      <c r="M1720" s="37"/>
      <c r="N1720" s="37"/>
      <c r="O1720" s="37"/>
      <c r="P1720" s="36"/>
      <c r="Q1720" s="36"/>
      <c r="R1720" s="31"/>
      <c r="S1720" s="31"/>
      <c r="T1720" s="38"/>
      <c r="U1720" s="39">
        <f>IFERROR(_xlfn.XLOOKUP(E1720,[1]EMPREENDIMENTO!C:C,[1]EMPREENDIMENTO!D:D),"")</f>
        <v>0</v>
      </c>
    </row>
    <row r="1721" spans="1:21" hidden="1" x14ac:dyDescent="0.35">
      <c r="A1721" s="36" t="str">
        <f>IFERROR(_xlfn.XLOOKUP(C1721,[1]DIRETORIA!C:C,[1]DIRETORIA!A:A),"-")</f>
        <v>-</v>
      </c>
      <c r="B1721" s="36" t="str">
        <f>IFERROR(_xlfn.XLOOKUP(C1721,[1]DIRETORIA!C:C,[1]DIRETORIA!B:B),"-")</f>
        <v>-</v>
      </c>
      <c r="C1721" s="36">
        <f>IFERROR(_xlfn.XLOOKUP(E1721,[1]EMPREENDIMENTO!C:C,[1]EMPREENDIMENTO!A:A),"-")</f>
        <v>0</v>
      </c>
      <c r="D1721" s="36"/>
      <c r="E1721" s="36"/>
      <c r="F1721" s="36"/>
      <c r="G1721" s="36"/>
      <c r="H1721" s="36"/>
      <c r="I1721" s="29">
        <f>IFERROR(_xlfn.XLOOKUP(E1721,[1]EMPREENDIMENTO!C:C,[1]EMPREENDIMENTO!E:E),"0")</f>
        <v>0</v>
      </c>
      <c r="J1721" s="31"/>
      <c r="K1721" s="36"/>
      <c r="M1721" s="37"/>
      <c r="N1721" s="37"/>
      <c r="O1721" s="37"/>
      <c r="P1721" s="36"/>
      <c r="Q1721" s="36"/>
      <c r="R1721" s="31"/>
      <c r="S1721" s="31"/>
      <c r="T1721" s="38"/>
      <c r="U1721" s="39">
        <f>IFERROR(_xlfn.XLOOKUP(E1721,[1]EMPREENDIMENTO!C:C,[1]EMPREENDIMENTO!D:D),"")</f>
        <v>0</v>
      </c>
    </row>
    <row r="1722" spans="1:21" hidden="1" x14ac:dyDescent="0.35">
      <c r="A1722" s="36" t="str">
        <f>IFERROR(_xlfn.XLOOKUP(C1722,[1]DIRETORIA!C:C,[1]DIRETORIA!A:A),"-")</f>
        <v>-</v>
      </c>
      <c r="B1722" s="36" t="str">
        <f>IFERROR(_xlfn.XLOOKUP(C1722,[1]DIRETORIA!C:C,[1]DIRETORIA!B:B),"-")</f>
        <v>-</v>
      </c>
      <c r="C1722" s="36">
        <f>IFERROR(_xlfn.XLOOKUP(E1722,[1]EMPREENDIMENTO!C:C,[1]EMPREENDIMENTO!A:A),"-")</f>
        <v>0</v>
      </c>
      <c r="D1722" s="36"/>
      <c r="E1722" s="36"/>
      <c r="F1722" s="36"/>
      <c r="G1722" s="36"/>
      <c r="H1722" s="36"/>
      <c r="I1722" s="29">
        <f>IFERROR(_xlfn.XLOOKUP(E1722,[1]EMPREENDIMENTO!C:C,[1]EMPREENDIMENTO!E:E),"0")</f>
        <v>0</v>
      </c>
      <c r="J1722" s="31"/>
      <c r="K1722" s="36"/>
      <c r="M1722" s="37"/>
      <c r="N1722" s="37"/>
      <c r="O1722" s="37"/>
      <c r="P1722" s="36"/>
      <c r="Q1722" s="36"/>
      <c r="R1722" s="31"/>
      <c r="S1722" s="31"/>
      <c r="T1722" s="38"/>
      <c r="U1722" s="39">
        <f>IFERROR(_xlfn.XLOOKUP(E1722,[1]EMPREENDIMENTO!C:C,[1]EMPREENDIMENTO!D:D),"")</f>
        <v>0</v>
      </c>
    </row>
    <row r="1723" spans="1:21" hidden="1" x14ac:dyDescent="0.35">
      <c r="A1723" s="36" t="str">
        <f>IFERROR(_xlfn.XLOOKUP(C1723,[1]DIRETORIA!C:C,[1]DIRETORIA!A:A),"-")</f>
        <v>-</v>
      </c>
      <c r="B1723" s="36" t="str">
        <f>IFERROR(_xlfn.XLOOKUP(C1723,[1]DIRETORIA!C:C,[1]DIRETORIA!B:B),"-")</f>
        <v>-</v>
      </c>
      <c r="C1723" s="36">
        <f>IFERROR(_xlfn.XLOOKUP(E1723,[1]EMPREENDIMENTO!C:C,[1]EMPREENDIMENTO!A:A),"-")</f>
        <v>0</v>
      </c>
      <c r="D1723" s="36"/>
      <c r="E1723" s="36"/>
      <c r="F1723" s="36"/>
      <c r="G1723" s="36"/>
      <c r="H1723" s="36"/>
      <c r="I1723" s="29">
        <f>IFERROR(_xlfn.XLOOKUP(E1723,[1]EMPREENDIMENTO!C:C,[1]EMPREENDIMENTO!E:E),"0")</f>
        <v>0</v>
      </c>
      <c r="J1723" s="31"/>
      <c r="K1723" s="36"/>
      <c r="M1723" s="37"/>
      <c r="N1723" s="37"/>
      <c r="O1723" s="37"/>
      <c r="P1723" s="36"/>
      <c r="Q1723" s="36"/>
      <c r="R1723" s="31"/>
      <c r="S1723" s="31"/>
      <c r="T1723" s="38"/>
      <c r="U1723" s="39">
        <f>IFERROR(_xlfn.XLOOKUP(E1723,[1]EMPREENDIMENTO!C:C,[1]EMPREENDIMENTO!D:D),"")</f>
        <v>0</v>
      </c>
    </row>
    <row r="1724" spans="1:21" hidden="1" x14ac:dyDescent="0.35">
      <c r="A1724" s="36" t="str">
        <f>IFERROR(_xlfn.XLOOKUP(C1724,[1]DIRETORIA!C:C,[1]DIRETORIA!A:A),"-")</f>
        <v>-</v>
      </c>
      <c r="B1724" s="36" t="str">
        <f>IFERROR(_xlfn.XLOOKUP(C1724,[1]DIRETORIA!C:C,[1]DIRETORIA!B:B),"-")</f>
        <v>-</v>
      </c>
      <c r="C1724" s="36">
        <f>IFERROR(_xlfn.XLOOKUP(E1724,[1]EMPREENDIMENTO!C:C,[1]EMPREENDIMENTO!A:A),"-")</f>
        <v>0</v>
      </c>
      <c r="D1724" s="36"/>
      <c r="E1724" s="36"/>
      <c r="F1724" s="36"/>
      <c r="G1724" s="36"/>
      <c r="H1724" s="36"/>
      <c r="I1724" s="29">
        <f>IFERROR(_xlfn.XLOOKUP(E1724,[1]EMPREENDIMENTO!C:C,[1]EMPREENDIMENTO!E:E),"0")</f>
        <v>0</v>
      </c>
      <c r="J1724" s="31"/>
      <c r="K1724" s="36"/>
      <c r="M1724" s="37"/>
      <c r="N1724" s="37"/>
      <c r="O1724" s="37"/>
      <c r="P1724" s="36"/>
      <c r="Q1724" s="36"/>
      <c r="R1724" s="31"/>
      <c r="S1724" s="31"/>
      <c r="T1724" s="38"/>
      <c r="U1724" s="39">
        <f>IFERROR(_xlfn.XLOOKUP(E1724,[1]EMPREENDIMENTO!C:C,[1]EMPREENDIMENTO!D:D),"")</f>
        <v>0</v>
      </c>
    </row>
    <row r="1725" spans="1:21" hidden="1" x14ac:dyDescent="0.35">
      <c r="A1725" s="36" t="str">
        <f>IFERROR(_xlfn.XLOOKUP(C1725,[1]DIRETORIA!C:C,[1]DIRETORIA!A:A),"-")</f>
        <v>-</v>
      </c>
      <c r="B1725" s="36" t="str">
        <f>IFERROR(_xlfn.XLOOKUP(C1725,[1]DIRETORIA!C:C,[1]DIRETORIA!B:B),"-")</f>
        <v>-</v>
      </c>
      <c r="C1725" s="36">
        <f>IFERROR(_xlfn.XLOOKUP(E1725,[1]EMPREENDIMENTO!C:C,[1]EMPREENDIMENTO!A:A),"-")</f>
        <v>0</v>
      </c>
      <c r="D1725" s="36"/>
      <c r="E1725" s="36"/>
      <c r="F1725" s="36"/>
      <c r="G1725" s="36"/>
      <c r="H1725" s="36"/>
      <c r="I1725" s="29">
        <f>IFERROR(_xlfn.XLOOKUP(E1725,[1]EMPREENDIMENTO!C:C,[1]EMPREENDIMENTO!E:E),"0")</f>
        <v>0</v>
      </c>
      <c r="J1725" s="31"/>
      <c r="K1725" s="36"/>
      <c r="M1725" s="37"/>
      <c r="N1725" s="37"/>
      <c r="O1725" s="37"/>
      <c r="P1725" s="36"/>
      <c r="Q1725" s="36"/>
      <c r="R1725" s="31"/>
      <c r="S1725" s="31"/>
      <c r="T1725" s="38"/>
      <c r="U1725" s="39">
        <f>IFERROR(_xlfn.XLOOKUP(E1725,[1]EMPREENDIMENTO!C:C,[1]EMPREENDIMENTO!D:D),"")</f>
        <v>0</v>
      </c>
    </row>
    <row r="1726" spans="1:21" hidden="1" x14ac:dyDescent="0.35">
      <c r="A1726" s="36" t="str">
        <f>IFERROR(_xlfn.XLOOKUP(C1726,[1]DIRETORIA!C:C,[1]DIRETORIA!A:A),"-")</f>
        <v>-</v>
      </c>
      <c r="B1726" s="36" t="str">
        <f>IFERROR(_xlfn.XLOOKUP(C1726,[1]DIRETORIA!C:C,[1]DIRETORIA!B:B),"-")</f>
        <v>-</v>
      </c>
      <c r="C1726" s="36">
        <f>IFERROR(_xlfn.XLOOKUP(E1726,[1]EMPREENDIMENTO!C:C,[1]EMPREENDIMENTO!A:A),"-")</f>
        <v>0</v>
      </c>
      <c r="D1726" s="36"/>
      <c r="E1726" s="36"/>
      <c r="F1726" s="36"/>
      <c r="G1726" s="36"/>
      <c r="H1726" s="36"/>
      <c r="I1726" s="29">
        <f>IFERROR(_xlfn.XLOOKUP(E1726,[1]EMPREENDIMENTO!C:C,[1]EMPREENDIMENTO!E:E),"0")</f>
        <v>0</v>
      </c>
      <c r="J1726" s="31"/>
      <c r="K1726" s="36"/>
      <c r="M1726" s="37"/>
      <c r="N1726" s="37"/>
      <c r="O1726" s="37"/>
      <c r="P1726" s="36"/>
      <c r="Q1726" s="36"/>
      <c r="R1726" s="31"/>
      <c r="S1726" s="31"/>
      <c r="T1726" s="38"/>
      <c r="U1726" s="39">
        <f>IFERROR(_xlfn.XLOOKUP(E1726,[1]EMPREENDIMENTO!C:C,[1]EMPREENDIMENTO!D:D),"")</f>
        <v>0</v>
      </c>
    </row>
    <row r="1727" spans="1:21" hidden="1" x14ac:dyDescent="0.35">
      <c r="A1727" s="36" t="str">
        <f>IFERROR(_xlfn.XLOOKUP(C1727,[1]DIRETORIA!C:C,[1]DIRETORIA!A:A),"-")</f>
        <v>-</v>
      </c>
      <c r="B1727" s="36" t="str">
        <f>IFERROR(_xlfn.XLOOKUP(C1727,[1]DIRETORIA!C:C,[1]DIRETORIA!B:B),"-")</f>
        <v>-</v>
      </c>
      <c r="C1727" s="36">
        <f>IFERROR(_xlfn.XLOOKUP(E1727,[1]EMPREENDIMENTO!C:C,[1]EMPREENDIMENTO!A:A),"-")</f>
        <v>0</v>
      </c>
      <c r="D1727" s="36"/>
      <c r="E1727" s="36"/>
      <c r="F1727" s="36"/>
      <c r="G1727" s="36"/>
      <c r="H1727" s="36"/>
      <c r="I1727" s="29">
        <f>IFERROR(_xlfn.XLOOKUP(E1727,[1]EMPREENDIMENTO!C:C,[1]EMPREENDIMENTO!E:E),"0")</f>
        <v>0</v>
      </c>
      <c r="J1727" s="31"/>
      <c r="K1727" s="36"/>
      <c r="M1727" s="37"/>
      <c r="N1727" s="37"/>
      <c r="O1727" s="37"/>
      <c r="P1727" s="36"/>
      <c r="Q1727" s="36"/>
      <c r="R1727" s="31"/>
      <c r="S1727" s="31"/>
      <c r="T1727" s="38"/>
      <c r="U1727" s="39">
        <f>IFERROR(_xlfn.XLOOKUP(E1727,[1]EMPREENDIMENTO!C:C,[1]EMPREENDIMENTO!D:D),"")</f>
        <v>0</v>
      </c>
    </row>
    <row r="1728" spans="1:21" hidden="1" x14ac:dyDescent="0.35">
      <c r="A1728" s="36" t="str">
        <f>IFERROR(_xlfn.XLOOKUP(C1728,[1]DIRETORIA!C:C,[1]DIRETORIA!A:A),"-")</f>
        <v>-</v>
      </c>
      <c r="B1728" s="36" t="str">
        <f>IFERROR(_xlfn.XLOOKUP(C1728,[1]DIRETORIA!C:C,[1]DIRETORIA!B:B),"-")</f>
        <v>-</v>
      </c>
      <c r="C1728" s="36">
        <f>IFERROR(_xlfn.XLOOKUP(E1728,[1]EMPREENDIMENTO!C:C,[1]EMPREENDIMENTO!A:A),"-")</f>
        <v>0</v>
      </c>
      <c r="D1728" s="36"/>
      <c r="E1728" s="36"/>
      <c r="F1728" s="36"/>
      <c r="G1728" s="36"/>
      <c r="H1728" s="36"/>
      <c r="I1728" s="29">
        <f>IFERROR(_xlfn.XLOOKUP(E1728,[1]EMPREENDIMENTO!C:C,[1]EMPREENDIMENTO!E:E),"0")</f>
        <v>0</v>
      </c>
      <c r="J1728" s="31"/>
      <c r="K1728" s="36"/>
      <c r="M1728" s="37"/>
      <c r="N1728" s="37"/>
      <c r="O1728" s="37"/>
      <c r="P1728" s="36"/>
      <c r="Q1728" s="36"/>
      <c r="R1728" s="31"/>
      <c r="S1728" s="31"/>
      <c r="T1728" s="38"/>
      <c r="U1728" s="39">
        <f>IFERROR(_xlfn.XLOOKUP(E1728,[1]EMPREENDIMENTO!C:C,[1]EMPREENDIMENTO!D:D),"")</f>
        <v>0</v>
      </c>
    </row>
    <row r="1729" spans="1:21" hidden="1" x14ac:dyDescent="0.35">
      <c r="A1729" s="36" t="str">
        <f>IFERROR(_xlfn.XLOOKUP(C1729,[1]DIRETORIA!C:C,[1]DIRETORIA!A:A),"-")</f>
        <v>-</v>
      </c>
      <c r="B1729" s="36" t="str">
        <f>IFERROR(_xlfn.XLOOKUP(C1729,[1]DIRETORIA!C:C,[1]DIRETORIA!B:B),"-")</f>
        <v>-</v>
      </c>
      <c r="C1729" s="36">
        <f>IFERROR(_xlfn.XLOOKUP(E1729,[1]EMPREENDIMENTO!C:C,[1]EMPREENDIMENTO!A:A),"-")</f>
        <v>0</v>
      </c>
      <c r="D1729" s="36"/>
      <c r="E1729" s="36"/>
      <c r="F1729" s="36"/>
      <c r="G1729" s="36"/>
      <c r="H1729" s="36"/>
      <c r="I1729" s="29">
        <f>IFERROR(_xlfn.XLOOKUP(E1729,[1]EMPREENDIMENTO!C:C,[1]EMPREENDIMENTO!E:E),"0")</f>
        <v>0</v>
      </c>
      <c r="J1729" s="31"/>
      <c r="K1729" s="36"/>
      <c r="M1729" s="37"/>
      <c r="N1729" s="37"/>
      <c r="O1729" s="37"/>
      <c r="P1729" s="36"/>
      <c r="Q1729" s="36"/>
      <c r="R1729" s="31"/>
      <c r="S1729" s="31"/>
      <c r="T1729" s="38"/>
      <c r="U1729" s="39">
        <f>IFERROR(_xlfn.XLOOKUP(E1729,[1]EMPREENDIMENTO!C:C,[1]EMPREENDIMENTO!D:D),"")</f>
        <v>0</v>
      </c>
    </row>
    <row r="1730" spans="1:21" hidden="1" x14ac:dyDescent="0.35">
      <c r="A1730" s="36" t="str">
        <f>IFERROR(_xlfn.XLOOKUP(C1730,[1]DIRETORIA!C:C,[1]DIRETORIA!A:A),"-")</f>
        <v>-</v>
      </c>
      <c r="B1730" s="36" t="str">
        <f>IFERROR(_xlfn.XLOOKUP(C1730,[1]DIRETORIA!C:C,[1]DIRETORIA!B:B),"-")</f>
        <v>-</v>
      </c>
      <c r="C1730" s="36">
        <f>IFERROR(_xlfn.XLOOKUP(E1730,[1]EMPREENDIMENTO!C:C,[1]EMPREENDIMENTO!A:A),"-")</f>
        <v>0</v>
      </c>
      <c r="D1730" s="36"/>
      <c r="E1730" s="36"/>
      <c r="F1730" s="36"/>
      <c r="G1730" s="36"/>
      <c r="H1730" s="36"/>
      <c r="I1730" s="29">
        <f>IFERROR(_xlfn.XLOOKUP(E1730,[1]EMPREENDIMENTO!C:C,[1]EMPREENDIMENTO!E:E),"0")</f>
        <v>0</v>
      </c>
      <c r="J1730" s="31"/>
      <c r="K1730" s="36"/>
      <c r="M1730" s="37"/>
      <c r="N1730" s="37"/>
      <c r="O1730" s="37"/>
      <c r="P1730" s="36"/>
      <c r="Q1730" s="36"/>
      <c r="R1730" s="31"/>
      <c r="S1730" s="31"/>
      <c r="T1730" s="38"/>
      <c r="U1730" s="39">
        <f>IFERROR(_xlfn.XLOOKUP(E1730,[1]EMPREENDIMENTO!C:C,[1]EMPREENDIMENTO!D:D),"")</f>
        <v>0</v>
      </c>
    </row>
    <row r="1731" spans="1:21" hidden="1" x14ac:dyDescent="0.35">
      <c r="A1731" s="36" t="str">
        <f>IFERROR(_xlfn.XLOOKUP(C1731,[1]DIRETORIA!C:C,[1]DIRETORIA!A:A),"-")</f>
        <v>-</v>
      </c>
      <c r="B1731" s="36" t="str">
        <f>IFERROR(_xlfn.XLOOKUP(C1731,[1]DIRETORIA!C:C,[1]DIRETORIA!B:B),"-")</f>
        <v>-</v>
      </c>
      <c r="C1731" s="36">
        <f>IFERROR(_xlfn.XLOOKUP(E1731,[1]EMPREENDIMENTO!C:C,[1]EMPREENDIMENTO!A:A),"-")</f>
        <v>0</v>
      </c>
      <c r="D1731" s="36"/>
      <c r="E1731" s="36"/>
      <c r="F1731" s="36"/>
      <c r="G1731" s="36"/>
      <c r="H1731" s="36"/>
      <c r="I1731" s="29">
        <f>IFERROR(_xlfn.XLOOKUP(E1731,[1]EMPREENDIMENTO!C:C,[1]EMPREENDIMENTO!E:E),"0")</f>
        <v>0</v>
      </c>
      <c r="J1731" s="31"/>
      <c r="K1731" s="36"/>
      <c r="M1731" s="37"/>
      <c r="N1731" s="37"/>
      <c r="O1731" s="37"/>
      <c r="P1731" s="36"/>
      <c r="Q1731" s="36"/>
      <c r="R1731" s="31"/>
      <c r="S1731" s="31"/>
      <c r="T1731" s="38"/>
      <c r="U1731" s="39">
        <f>IFERROR(_xlfn.XLOOKUP(E1731,[1]EMPREENDIMENTO!C:C,[1]EMPREENDIMENTO!D:D),"")</f>
        <v>0</v>
      </c>
    </row>
    <row r="1732" spans="1:21" hidden="1" x14ac:dyDescent="0.35">
      <c r="A1732" s="36" t="str">
        <f>IFERROR(_xlfn.XLOOKUP(C1732,[1]DIRETORIA!C:C,[1]DIRETORIA!A:A),"-")</f>
        <v>-</v>
      </c>
      <c r="B1732" s="36" t="str">
        <f>IFERROR(_xlfn.XLOOKUP(C1732,[1]DIRETORIA!C:C,[1]DIRETORIA!B:B),"-")</f>
        <v>-</v>
      </c>
      <c r="C1732" s="36">
        <f>IFERROR(_xlfn.XLOOKUP(E1732,[1]EMPREENDIMENTO!C:C,[1]EMPREENDIMENTO!A:A),"-")</f>
        <v>0</v>
      </c>
      <c r="D1732" s="36"/>
      <c r="E1732" s="36"/>
      <c r="F1732" s="36"/>
      <c r="G1732" s="36"/>
      <c r="H1732" s="36"/>
      <c r="I1732" s="29">
        <f>IFERROR(_xlfn.XLOOKUP(E1732,[1]EMPREENDIMENTO!C:C,[1]EMPREENDIMENTO!E:E),"0")</f>
        <v>0</v>
      </c>
      <c r="J1732" s="31"/>
      <c r="K1732" s="36"/>
      <c r="M1732" s="37"/>
      <c r="N1732" s="37"/>
      <c r="O1732" s="37"/>
      <c r="P1732" s="36"/>
      <c r="Q1732" s="36"/>
      <c r="R1732" s="31"/>
      <c r="S1732" s="31"/>
      <c r="T1732" s="38"/>
      <c r="U1732" s="39">
        <f>IFERROR(_xlfn.XLOOKUP(E1732,[1]EMPREENDIMENTO!C:C,[1]EMPREENDIMENTO!D:D),"")</f>
        <v>0</v>
      </c>
    </row>
    <row r="1733" spans="1:21" hidden="1" x14ac:dyDescent="0.35">
      <c r="A1733" s="36" t="str">
        <f>IFERROR(_xlfn.XLOOKUP(C1733,[1]DIRETORIA!C:C,[1]DIRETORIA!A:A),"-")</f>
        <v>-</v>
      </c>
      <c r="B1733" s="36" t="str">
        <f>IFERROR(_xlfn.XLOOKUP(C1733,[1]DIRETORIA!C:C,[1]DIRETORIA!B:B),"-")</f>
        <v>-</v>
      </c>
      <c r="C1733" s="36">
        <f>IFERROR(_xlfn.XLOOKUP(E1733,[1]EMPREENDIMENTO!C:C,[1]EMPREENDIMENTO!A:A),"-")</f>
        <v>0</v>
      </c>
      <c r="D1733" s="36"/>
      <c r="E1733" s="36"/>
      <c r="F1733" s="36"/>
      <c r="G1733" s="36"/>
      <c r="H1733" s="36"/>
      <c r="I1733" s="29">
        <f>IFERROR(_xlfn.XLOOKUP(E1733,[1]EMPREENDIMENTO!C:C,[1]EMPREENDIMENTO!E:E),"0")</f>
        <v>0</v>
      </c>
      <c r="J1733" s="31"/>
      <c r="K1733" s="36"/>
      <c r="M1733" s="37"/>
      <c r="N1733" s="37"/>
      <c r="O1733" s="37"/>
      <c r="P1733" s="36"/>
      <c r="Q1733" s="36"/>
      <c r="R1733" s="31"/>
      <c r="S1733" s="31"/>
      <c r="T1733" s="38"/>
      <c r="U1733" s="39">
        <f>IFERROR(_xlfn.XLOOKUP(E1733,[1]EMPREENDIMENTO!C:C,[1]EMPREENDIMENTO!D:D),"")</f>
        <v>0</v>
      </c>
    </row>
    <row r="1734" spans="1:21" hidden="1" x14ac:dyDescent="0.35">
      <c r="A1734" s="36" t="str">
        <f>IFERROR(_xlfn.XLOOKUP(C1734,[1]DIRETORIA!C:C,[1]DIRETORIA!A:A),"-")</f>
        <v>-</v>
      </c>
      <c r="B1734" s="36" t="str">
        <f>IFERROR(_xlfn.XLOOKUP(C1734,[1]DIRETORIA!C:C,[1]DIRETORIA!B:B),"-")</f>
        <v>-</v>
      </c>
      <c r="C1734" s="36">
        <f>IFERROR(_xlfn.XLOOKUP(E1734,[1]EMPREENDIMENTO!C:C,[1]EMPREENDIMENTO!A:A),"-")</f>
        <v>0</v>
      </c>
      <c r="D1734" s="36"/>
      <c r="E1734" s="36"/>
      <c r="F1734" s="36"/>
      <c r="G1734" s="36"/>
      <c r="H1734" s="36"/>
      <c r="I1734" s="29">
        <f>IFERROR(_xlfn.XLOOKUP(E1734,[1]EMPREENDIMENTO!C:C,[1]EMPREENDIMENTO!E:E),"0")</f>
        <v>0</v>
      </c>
      <c r="J1734" s="31"/>
      <c r="K1734" s="36"/>
      <c r="M1734" s="37"/>
      <c r="N1734" s="37"/>
      <c r="O1734" s="37"/>
      <c r="P1734" s="36"/>
      <c r="Q1734" s="36"/>
      <c r="R1734" s="31"/>
      <c r="S1734" s="31"/>
      <c r="T1734" s="38"/>
      <c r="U1734" s="39">
        <f>IFERROR(_xlfn.XLOOKUP(E1734,[1]EMPREENDIMENTO!C:C,[1]EMPREENDIMENTO!D:D),"")</f>
        <v>0</v>
      </c>
    </row>
    <row r="1735" spans="1:21" hidden="1" x14ac:dyDescent="0.35">
      <c r="A1735" s="36" t="str">
        <f>IFERROR(_xlfn.XLOOKUP(C1735,[1]DIRETORIA!C:C,[1]DIRETORIA!A:A),"-")</f>
        <v>-</v>
      </c>
      <c r="B1735" s="36" t="str">
        <f>IFERROR(_xlfn.XLOOKUP(C1735,[1]DIRETORIA!C:C,[1]DIRETORIA!B:B),"-")</f>
        <v>-</v>
      </c>
      <c r="C1735" s="36">
        <f>IFERROR(_xlfn.XLOOKUP(E1735,[1]EMPREENDIMENTO!C:C,[1]EMPREENDIMENTO!A:A),"-")</f>
        <v>0</v>
      </c>
      <c r="D1735" s="36"/>
      <c r="E1735" s="36"/>
      <c r="F1735" s="36"/>
      <c r="G1735" s="36"/>
      <c r="H1735" s="36"/>
      <c r="I1735" s="29">
        <f>IFERROR(_xlfn.XLOOKUP(E1735,[1]EMPREENDIMENTO!C:C,[1]EMPREENDIMENTO!E:E),"0")</f>
        <v>0</v>
      </c>
      <c r="J1735" s="31"/>
      <c r="K1735" s="36"/>
      <c r="M1735" s="37"/>
      <c r="N1735" s="37"/>
      <c r="O1735" s="37"/>
      <c r="P1735" s="36"/>
      <c r="Q1735" s="36"/>
      <c r="R1735" s="31"/>
      <c r="S1735" s="31"/>
      <c r="T1735" s="38"/>
      <c r="U1735" s="39">
        <f>IFERROR(_xlfn.XLOOKUP(E1735,[1]EMPREENDIMENTO!C:C,[1]EMPREENDIMENTO!D:D),"")</f>
        <v>0</v>
      </c>
    </row>
    <row r="1736" spans="1:21" hidden="1" x14ac:dyDescent="0.35">
      <c r="A1736" s="36" t="str">
        <f>IFERROR(_xlfn.XLOOKUP(C1736,[1]DIRETORIA!C:C,[1]DIRETORIA!A:A),"-")</f>
        <v>-</v>
      </c>
      <c r="B1736" s="36" t="str">
        <f>IFERROR(_xlfn.XLOOKUP(C1736,[1]DIRETORIA!C:C,[1]DIRETORIA!B:B),"-")</f>
        <v>-</v>
      </c>
      <c r="C1736" s="36">
        <f>IFERROR(_xlfn.XLOOKUP(E1736,[1]EMPREENDIMENTO!C:C,[1]EMPREENDIMENTO!A:A),"-")</f>
        <v>0</v>
      </c>
      <c r="D1736" s="36"/>
      <c r="E1736" s="36"/>
      <c r="F1736" s="36"/>
      <c r="G1736" s="36"/>
      <c r="H1736" s="36"/>
      <c r="I1736" s="29">
        <f>IFERROR(_xlfn.XLOOKUP(E1736,[1]EMPREENDIMENTO!C:C,[1]EMPREENDIMENTO!E:E),"0")</f>
        <v>0</v>
      </c>
      <c r="J1736" s="31"/>
      <c r="K1736" s="36"/>
      <c r="M1736" s="37"/>
      <c r="N1736" s="37"/>
      <c r="O1736" s="37"/>
      <c r="P1736" s="36"/>
      <c r="Q1736" s="36"/>
      <c r="R1736" s="31"/>
      <c r="S1736" s="31"/>
      <c r="T1736" s="38"/>
      <c r="U1736" s="39">
        <f>IFERROR(_xlfn.XLOOKUP(E1736,[1]EMPREENDIMENTO!C:C,[1]EMPREENDIMENTO!D:D),"")</f>
        <v>0</v>
      </c>
    </row>
    <row r="1737" spans="1:21" hidden="1" x14ac:dyDescent="0.35">
      <c r="A1737" s="36" t="str">
        <f>IFERROR(_xlfn.XLOOKUP(C1737,[1]DIRETORIA!C:C,[1]DIRETORIA!A:A),"-")</f>
        <v>-</v>
      </c>
      <c r="B1737" s="36" t="str">
        <f>IFERROR(_xlfn.XLOOKUP(C1737,[1]DIRETORIA!C:C,[1]DIRETORIA!B:B),"-")</f>
        <v>-</v>
      </c>
      <c r="C1737" s="36">
        <f>IFERROR(_xlfn.XLOOKUP(E1737,[1]EMPREENDIMENTO!C:C,[1]EMPREENDIMENTO!A:A),"-")</f>
        <v>0</v>
      </c>
      <c r="D1737" s="36"/>
      <c r="E1737" s="36"/>
      <c r="F1737" s="36"/>
      <c r="G1737" s="36"/>
      <c r="H1737" s="36"/>
      <c r="I1737" s="29">
        <f>IFERROR(_xlfn.XLOOKUP(E1737,[1]EMPREENDIMENTO!C:C,[1]EMPREENDIMENTO!E:E),"0")</f>
        <v>0</v>
      </c>
      <c r="J1737" s="31"/>
      <c r="K1737" s="36"/>
      <c r="M1737" s="37"/>
      <c r="N1737" s="37"/>
      <c r="O1737" s="37"/>
      <c r="P1737" s="36"/>
      <c r="Q1737" s="36"/>
      <c r="R1737" s="31"/>
      <c r="S1737" s="31"/>
      <c r="T1737" s="38"/>
      <c r="U1737" s="39">
        <f>IFERROR(_xlfn.XLOOKUP(E1737,[1]EMPREENDIMENTO!C:C,[1]EMPREENDIMENTO!D:D),"")</f>
        <v>0</v>
      </c>
    </row>
    <row r="1738" spans="1:21" hidden="1" x14ac:dyDescent="0.35">
      <c r="A1738" s="36" t="str">
        <f>IFERROR(_xlfn.XLOOKUP(C1738,[1]DIRETORIA!C:C,[1]DIRETORIA!A:A),"-")</f>
        <v>-</v>
      </c>
      <c r="B1738" s="36" t="str">
        <f>IFERROR(_xlfn.XLOOKUP(C1738,[1]DIRETORIA!C:C,[1]DIRETORIA!B:B),"-")</f>
        <v>-</v>
      </c>
      <c r="C1738" s="36">
        <f>IFERROR(_xlfn.XLOOKUP(E1738,[1]EMPREENDIMENTO!C:C,[1]EMPREENDIMENTO!A:A),"-")</f>
        <v>0</v>
      </c>
      <c r="D1738" s="36"/>
      <c r="E1738" s="36"/>
      <c r="F1738" s="36"/>
      <c r="G1738" s="36"/>
      <c r="H1738" s="36"/>
      <c r="I1738" s="29">
        <f>IFERROR(_xlfn.XLOOKUP(E1738,[1]EMPREENDIMENTO!C:C,[1]EMPREENDIMENTO!E:E),"0")</f>
        <v>0</v>
      </c>
      <c r="J1738" s="31"/>
      <c r="K1738" s="36"/>
      <c r="M1738" s="37"/>
      <c r="N1738" s="37"/>
      <c r="O1738" s="37"/>
      <c r="P1738" s="36"/>
      <c r="Q1738" s="36"/>
      <c r="R1738" s="31"/>
      <c r="S1738" s="31"/>
      <c r="T1738" s="38"/>
      <c r="U1738" s="39">
        <f>IFERROR(_xlfn.XLOOKUP(E1738,[1]EMPREENDIMENTO!C:C,[1]EMPREENDIMENTO!D:D),"")</f>
        <v>0</v>
      </c>
    </row>
    <row r="1739" spans="1:21" hidden="1" x14ac:dyDescent="0.35">
      <c r="A1739" s="36" t="str">
        <f>IFERROR(_xlfn.XLOOKUP(C1739,[1]DIRETORIA!C:C,[1]DIRETORIA!A:A),"-")</f>
        <v>-</v>
      </c>
      <c r="B1739" s="36" t="str">
        <f>IFERROR(_xlfn.XLOOKUP(C1739,[1]DIRETORIA!C:C,[1]DIRETORIA!B:B),"-")</f>
        <v>-</v>
      </c>
      <c r="C1739" s="36">
        <f>IFERROR(_xlfn.XLOOKUP(E1739,[1]EMPREENDIMENTO!C:C,[1]EMPREENDIMENTO!A:A),"-")</f>
        <v>0</v>
      </c>
      <c r="D1739" s="36"/>
      <c r="E1739" s="36"/>
      <c r="F1739" s="36"/>
      <c r="G1739" s="36"/>
      <c r="H1739" s="36"/>
      <c r="I1739" s="29">
        <f>IFERROR(_xlfn.XLOOKUP(E1739,[1]EMPREENDIMENTO!C:C,[1]EMPREENDIMENTO!E:E),"0")</f>
        <v>0</v>
      </c>
      <c r="J1739" s="31"/>
      <c r="K1739" s="36"/>
      <c r="M1739" s="37"/>
      <c r="N1739" s="37"/>
      <c r="O1739" s="37"/>
      <c r="P1739" s="36"/>
      <c r="Q1739" s="36"/>
      <c r="R1739" s="31"/>
      <c r="S1739" s="31"/>
      <c r="T1739" s="38"/>
      <c r="U1739" s="39">
        <f>IFERROR(_xlfn.XLOOKUP(E1739,[1]EMPREENDIMENTO!C:C,[1]EMPREENDIMENTO!D:D),"")</f>
        <v>0</v>
      </c>
    </row>
    <row r="1740" spans="1:21" hidden="1" x14ac:dyDescent="0.35">
      <c r="A1740" s="36" t="str">
        <f>IFERROR(_xlfn.XLOOKUP(C1740,[1]DIRETORIA!C:C,[1]DIRETORIA!A:A),"-")</f>
        <v>-</v>
      </c>
      <c r="B1740" s="36" t="str">
        <f>IFERROR(_xlfn.XLOOKUP(C1740,[1]DIRETORIA!C:C,[1]DIRETORIA!B:B),"-")</f>
        <v>-</v>
      </c>
      <c r="C1740" s="36">
        <f>IFERROR(_xlfn.XLOOKUP(E1740,[1]EMPREENDIMENTO!C:C,[1]EMPREENDIMENTO!A:A),"-")</f>
        <v>0</v>
      </c>
      <c r="D1740" s="36"/>
      <c r="E1740" s="36"/>
      <c r="F1740" s="36"/>
      <c r="G1740" s="36"/>
      <c r="H1740" s="36"/>
      <c r="I1740" s="29">
        <f>IFERROR(_xlfn.XLOOKUP(E1740,[1]EMPREENDIMENTO!C:C,[1]EMPREENDIMENTO!E:E),"0")</f>
        <v>0</v>
      </c>
      <c r="J1740" s="31"/>
      <c r="K1740" s="36"/>
      <c r="M1740" s="37"/>
      <c r="N1740" s="37"/>
      <c r="O1740" s="37"/>
      <c r="P1740" s="36"/>
      <c r="Q1740" s="36"/>
      <c r="R1740" s="31"/>
      <c r="S1740" s="31"/>
      <c r="T1740" s="38"/>
      <c r="U1740" s="39">
        <f>IFERROR(_xlfn.XLOOKUP(E1740,[1]EMPREENDIMENTO!C:C,[1]EMPREENDIMENTO!D:D),"")</f>
        <v>0</v>
      </c>
    </row>
    <row r="1741" spans="1:21" hidden="1" x14ac:dyDescent="0.35">
      <c r="A1741" s="36" t="str">
        <f>IFERROR(_xlfn.XLOOKUP(C1741,[1]DIRETORIA!C:C,[1]DIRETORIA!A:A),"-")</f>
        <v>-</v>
      </c>
      <c r="B1741" s="36" t="str">
        <f>IFERROR(_xlfn.XLOOKUP(C1741,[1]DIRETORIA!C:C,[1]DIRETORIA!B:B),"-")</f>
        <v>-</v>
      </c>
      <c r="C1741" s="36">
        <f>IFERROR(_xlfn.XLOOKUP(E1741,[1]EMPREENDIMENTO!C:C,[1]EMPREENDIMENTO!A:A),"-")</f>
        <v>0</v>
      </c>
      <c r="D1741" s="36"/>
      <c r="E1741" s="36"/>
      <c r="F1741" s="36"/>
      <c r="G1741" s="36"/>
      <c r="H1741" s="36"/>
      <c r="I1741" s="29">
        <f>IFERROR(_xlfn.XLOOKUP(E1741,[1]EMPREENDIMENTO!C:C,[1]EMPREENDIMENTO!E:E),"0")</f>
        <v>0</v>
      </c>
      <c r="J1741" s="31"/>
      <c r="K1741" s="36"/>
      <c r="M1741" s="37"/>
      <c r="N1741" s="37"/>
      <c r="O1741" s="37"/>
      <c r="P1741" s="36"/>
      <c r="Q1741" s="36"/>
      <c r="R1741" s="31"/>
      <c r="S1741" s="31"/>
      <c r="T1741" s="38"/>
      <c r="U1741" s="39">
        <f>IFERROR(_xlfn.XLOOKUP(E1741,[1]EMPREENDIMENTO!C:C,[1]EMPREENDIMENTO!D:D),"")</f>
        <v>0</v>
      </c>
    </row>
    <row r="1742" spans="1:21" hidden="1" x14ac:dyDescent="0.35">
      <c r="A1742" s="36" t="str">
        <f>IFERROR(_xlfn.XLOOKUP(C1742,[1]DIRETORIA!C:C,[1]DIRETORIA!A:A),"-")</f>
        <v>-</v>
      </c>
      <c r="B1742" s="36" t="str">
        <f>IFERROR(_xlfn.XLOOKUP(C1742,[1]DIRETORIA!C:C,[1]DIRETORIA!B:B),"-")</f>
        <v>-</v>
      </c>
      <c r="C1742" s="36">
        <f>IFERROR(_xlfn.XLOOKUP(E1742,[1]EMPREENDIMENTO!C:C,[1]EMPREENDIMENTO!A:A),"-")</f>
        <v>0</v>
      </c>
      <c r="D1742" s="36"/>
      <c r="E1742" s="36"/>
      <c r="F1742" s="36"/>
      <c r="G1742" s="36"/>
      <c r="H1742" s="36"/>
      <c r="I1742" s="29">
        <f>IFERROR(_xlfn.XLOOKUP(E1742,[1]EMPREENDIMENTO!C:C,[1]EMPREENDIMENTO!E:E),"0")</f>
        <v>0</v>
      </c>
      <c r="J1742" s="31"/>
      <c r="K1742" s="36"/>
      <c r="M1742" s="37"/>
      <c r="N1742" s="37"/>
      <c r="O1742" s="37"/>
      <c r="P1742" s="36"/>
      <c r="Q1742" s="36"/>
      <c r="R1742" s="31"/>
      <c r="S1742" s="31"/>
      <c r="T1742" s="38"/>
      <c r="U1742" s="39">
        <f>IFERROR(_xlfn.XLOOKUP(E1742,[1]EMPREENDIMENTO!C:C,[1]EMPREENDIMENTO!D:D),"")</f>
        <v>0</v>
      </c>
    </row>
    <row r="1743" spans="1:21" hidden="1" x14ac:dyDescent="0.35">
      <c r="A1743" s="36" t="str">
        <f>IFERROR(_xlfn.XLOOKUP(C1743,[1]DIRETORIA!C:C,[1]DIRETORIA!A:A),"-")</f>
        <v>-</v>
      </c>
      <c r="B1743" s="36" t="str">
        <f>IFERROR(_xlfn.XLOOKUP(C1743,[1]DIRETORIA!C:C,[1]DIRETORIA!B:B),"-")</f>
        <v>-</v>
      </c>
      <c r="C1743" s="36">
        <f>IFERROR(_xlfn.XLOOKUP(E1743,[1]EMPREENDIMENTO!C:C,[1]EMPREENDIMENTO!A:A),"-")</f>
        <v>0</v>
      </c>
      <c r="D1743" s="36"/>
      <c r="E1743" s="36"/>
      <c r="F1743" s="36"/>
      <c r="G1743" s="36"/>
      <c r="H1743" s="36"/>
      <c r="I1743" s="29">
        <f>IFERROR(_xlfn.XLOOKUP(E1743,[1]EMPREENDIMENTO!C:C,[1]EMPREENDIMENTO!E:E),"0")</f>
        <v>0</v>
      </c>
      <c r="J1743" s="31"/>
      <c r="K1743" s="36"/>
      <c r="M1743" s="37"/>
      <c r="N1743" s="37"/>
      <c r="O1743" s="37"/>
      <c r="P1743" s="36"/>
      <c r="Q1743" s="36"/>
      <c r="R1743" s="31"/>
      <c r="S1743" s="31"/>
      <c r="T1743" s="38"/>
      <c r="U1743" s="39">
        <f>IFERROR(_xlfn.XLOOKUP(E1743,[1]EMPREENDIMENTO!C:C,[1]EMPREENDIMENTO!D:D),"")</f>
        <v>0</v>
      </c>
    </row>
    <row r="1744" spans="1:21" hidden="1" x14ac:dyDescent="0.35">
      <c r="A1744" s="36" t="str">
        <f>IFERROR(_xlfn.XLOOKUP(C1744,[1]DIRETORIA!C:C,[1]DIRETORIA!A:A),"-")</f>
        <v>-</v>
      </c>
      <c r="B1744" s="36" t="str">
        <f>IFERROR(_xlfn.XLOOKUP(C1744,[1]DIRETORIA!C:C,[1]DIRETORIA!B:B),"-")</f>
        <v>-</v>
      </c>
      <c r="C1744" s="36">
        <f>IFERROR(_xlfn.XLOOKUP(E1744,[1]EMPREENDIMENTO!C:C,[1]EMPREENDIMENTO!A:A),"-")</f>
        <v>0</v>
      </c>
      <c r="D1744" s="36"/>
      <c r="E1744" s="36"/>
      <c r="F1744" s="36"/>
      <c r="G1744" s="36"/>
      <c r="H1744" s="36"/>
      <c r="I1744" s="29">
        <f>IFERROR(_xlfn.XLOOKUP(E1744,[1]EMPREENDIMENTO!C:C,[1]EMPREENDIMENTO!E:E),"0")</f>
        <v>0</v>
      </c>
      <c r="J1744" s="31"/>
      <c r="K1744" s="36"/>
      <c r="M1744" s="37"/>
      <c r="N1744" s="37"/>
      <c r="O1744" s="37"/>
      <c r="P1744" s="36"/>
      <c r="Q1744" s="36"/>
      <c r="R1744" s="31"/>
      <c r="S1744" s="31"/>
      <c r="T1744" s="38"/>
      <c r="U1744" s="39">
        <f>IFERROR(_xlfn.XLOOKUP(E1744,[1]EMPREENDIMENTO!C:C,[1]EMPREENDIMENTO!D:D),"")</f>
        <v>0</v>
      </c>
    </row>
    <row r="1745" spans="1:21" hidden="1" x14ac:dyDescent="0.35">
      <c r="A1745" s="36" t="str">
        <f>IFERROR(_xlfn.XLOOKUP(C1745,[1]DIRETORIA!C:C,[1]DIRETORIA!A:A),"-")</f>
        <v>-</v>
      </c>
      <c r="B1745" s="36" t="str">
        <f>IFERROR(_xlfn.XLOOKUP(C1745,[1]DIRETORIA!C:C,[1]DIRETORIA!B:B),"-")</f>
        <v>-</v>
      </c>
      <c r="C1745" s="36">
        <f>IFERROR(_xlfn.XLOOKUP(E1745,[1]EMPREENDIMENTO!C:C,[1]EMPREENDIMENTO!A:A),"-")</f>
        <v>0</v>
      </c>
      <c r="D1745" s="36"/>
      <c r="E1745" s="36"/>
      <c r="F1745" s="36"/>
      <c r="G1745" s="36"/>
      <c r="H1745" s="36"/>
      <c r="I1745" s="29">
        <f>IFERROR(_xlfn.XLOOKUP(E1745,[1]EMPREENDIMENTO!C:C,[1]EMPREENDIMENTO!E:E),"0")</f>
        <v>0</v>
      </c>
      <c r="J1745" s="31"/>
      <c r="K1745" s="36"/>
      <c r="M1745" s="37"/>
      <c r="N1745" s="37"/>
      <c r="O1745" s="37"/>
      <c r="P1745" s="36"/>
      <c r="Q1745" s="36"/>
      <c r="R1745" s="31"/>
      <c r="S1745" s="31"/>
      <c r="T1745" s="38"/>
      <c r="U1745" s="39">
        <f>IFERROR(_xlfn.XLOOKUP(E1745,[1]EMPREENDIMENTO!C:C,[1]EMPREENDIMENTO!D:D),"")</f>
        <v>0</v>
      </c>
    </row>
    <row r="1746" spans="1:21" hidden="1" x14ac:dyDescent="0.35">
      <c r="A1746" s="36" t="str">
        <f>IFERROR(_xlfn.XLOOKUP(C1746,[1]DIRETORIA!C:C,[1]DIRETORIA!A:A),"-")</f>
        <v>-</v>
      </c>
      <c r="B1746" s="36" t="str">
        <f>IFERROR(_xlfn.XLOOKUP(C1746,[1]DIRETORIA!C:C,[1]DIRETORIA!B:B),"-")</f>
        <v>-</v>
      </c>
      <c r="C1746" s="36">
        <f>IFERROR(_xlfn.XLOOKUP(E1746,[1]EMPREENDIMENTO!C:C,[1]EMPREENDIMENTO!A:A),"-")</f>
        <v>0</v>
      </c>
      <c r="D1746" s="36"/>
      <c r="E1746" s="36"/>
      <c r="F1746" s="36"/>
      <c r="G1746" s="36"/>
      <c r="H1746" s="36"/>
      <c r="I1746" s="29">
        <f>IFERROR(_xlfn.XLOOKUP(E1746,[1]EMPREENDIMENTO!C:C,[1]EMPREENDIMENTO!E:E),"0")</f>
        <v>0</v>
      </c>
      <c r="J1746" s="31"/>
      <c r="K1746" s="36"/>
      <c r="M1746" s="37"/>
      <c r="N1746" s="37"/>
      <c r="O1746" s="37"/>
      <c r="P1746" s="36"/>
      <c r="Q1746" s="36"/>
      <c r="R1746" s="31"/>
      <c r="S1746" s="31"/>
      <c r="T1746" s="38"/>
      <c r="U1746" s="39">
        <f>IFERROR(_xlfn.XLOOKUP(E1746,[1]EMPREENDIMENTO!C:C,[1]EMPREENDIMENTO!D:D),"")</f>
        <v>0</v>
      </c>
    </row>
    <row r="1747" spans="1:21" hidden="1" x14ac:dyDescent="0.35">
      <c r="A1747" s="36" t="str">
        <f>IFERROR(_xlfn.XLOOKUP(C1747,[1]DIRETORIA!C:C,[1]DIRETORIA!A:A),"-")</f>
        <v>-</v>
      </c>
      <c r="B1747" s="36" t="str">
        <f>IFERROR(_xlfn.XLOOKUP(C1747,[1]DIRETORIA!C:C,[1]DIRETORIA!B:B),"-")</f>
        <v>-</v>
      </c>
      <c r="C1747" s="36">
        <f>IFERROR(_xlfn.XLOOKUP(E1747,[1]EMPREENDIMENTO!C:C,[1]EMPREENDIMENTO!A:A),"-")</f>
        <v>0</v>
      </c>
      <c r="D1747" s="36"/>
      <c r="E1747" s="36"/>
      <c r="F1747" s="36"/>
      <c r="G1747" s="36"/>
      <c r="H1747" s="36"/>
      <c r="I1747" s="29">
        <f>IFERROR(_xlfn.XLOOKUP(E1747,[1]EMPREENDIMENTO!C:C,[1]EMPREENDIMENTO!E:E),"0")</f>
        <v>0</v>
      </c>
      <c r="J1747" s="31"/>
      <c r="K1747" s="36"/>
      <c r="M1747" s="37"/>
      <c r="N1747" s="37"/>
      <c r="O1747" s="37"/>
      <c r="P1747" s="36"/>
      <c r="Q1747" s="36"/>
      <c r="R1747" s="31"/>
      <c r="S1747" s="31"/>
      <c r="T1747" s="38"/>
      <c r="U1747" s="39">
        <f>IFERROR(_xlfn.XLOOKUP(E1747,[1]EMPREENDIMENTO!C:C,[1]EMPREENDIMENTO!D:D),"")</f>
        <v>0</v>
      </c>
    </row>
    <row r="1748" spans="1:21" hidden="1" x14ac:dyDescent="0.35">
      <c r="A1748" s="36" t="str">
        <f>IFERROR(_xlfn.XLOOKUP(C1748,[1]DIRETORIA!C:C,[1]DIRETORIA!A:A),"-")</f>
        <v>-</v>
      </c>
      <c r="B1748" s="36" t="str">
        <f>IFERROR(_xlfn.XLOOKUP(C1748,[1]DIRETORIA!C:C,[1]DIRETORIA!B:B),"-")</f>
        <v>-</v>
      </c>
      <c r="C1748" s="36">
        <f>IFERROR(_xlfn.XLOOKUP(E1748,[1]EMPREENDIMENTO!C:C,[1]EMPREENDIMENTO!A:A),"-")</f>
        <v>0</v>
      </c>
      <c r="D1748" s="36"/>
      <c r="E1748" s="36"/>
      <c r="F1748" s="36"/>
      <c r="G1748" s="36"/>
      <c r="H1748" s="36"/>
      <c r="I1748" s="29">
        <f>IFERROR(_xlfn.XLOOKUP(E1748,[1]EMPREENDIMENTO!C:C,[1]EMPREENDIMENTO!E:E),"0")</f>
        <v>0</v>
      </c>
      <c r="J1748" s="31"/>
      <c r="K1748" s="36"/>
      <c r="M1748" s="37"/>
      <c r="N1748" s="37"/>
      <c r="O1748" s="37"/>
      <c r="P1748" s="36"/>
      <c r="Q1748" s="36"/>
      <c r="R1748" s="31"/>
      <c r="S1748" s="31"/>
      <c r="T1748" s="38"/>
      <c r="U1748" s="39">
        <f>IFERROR(_xlfn.XLOOKUP(E1748,[1]EMPREENDIMENTO!C:C,[1]EMPREENDIMENTO!D:D),"")</f>
        <v>0</v>
      </c>
    </row>
    <row r="1749" spans="1:21" hidden="1" x14ac:dyDescent="0.35">
      <c r="A1749" s="36" t="str">
        <f>IFERROR(_xlfn.XLOOKUP(C1749,[1]DIRETORIA!C:C,[1]DIRETORIA!A:A),"-")</f>
        <v>-</v>
      </c>
      <c r="B1749" s="36" t="str">
        <f>IFERROR(_xlfn.XLOOKUP(C1749,[1]DIRETORIA!C:C,[1]DIRETORIA!B:B),"-")</f>
        <v>-</v>
      </c>
      <c r="C1749" s="36">
        <f>IFERROR(_xlfn.XLOOKUP(E1749,[1]EMPREENDIMENTO!C:C,[1]EMPREENDIMENTO!A:A),"-")</f>
        <v>0</v>
      </c>
      <c r="D1749" s="36"/>
      <c r="E1749" s="36"/>
      <c r="F1749" s="36"/>
      <c r="G1749" s="36"/>
      <c r="H1749" s="36"/>
      <c r="I1749" s="29">
        <f>IFERROR(_xlfn.XLOOKUP(E1749,[1]EMPREENDIMENTO!C:C,[1]EMPREENDIMENTO!E:E),"0")</f>
        <v>0</v>
      </c>
      <c r="J1749" s="31"/>
      <c r="K1749" s="36"/>
      <c r="M1749" s="37"/>
      <c r="N1749" s="37"/>
      <c r="O1749" s="37"/>
      <c r="P1749" s="36"/>
      <c r="Q1749" s="36"/>
      <c r="R1749" s="31"/>
      <c r="S1749" s="31"/>
      <c r="T1749" s="38"/>
      <c r="U1749" s="39">
        <f>IFERROR(_xlfn.XLOOKUP(E1749,[1]EMPREENDIMENTO!C:C,[1]EMPREENDIMENTO!D:D),"")</f>
        <v>0</v>
      </c>
    </row>
    <row r="1750" spans="1:21" hidden="1" x14ac:dyDescent="0.35">
      <c r="A1750" s="36" t="str">
        <f>IFERROR(_xlfn.XLOOKUP(C1750,[1]DIRETORIA!C:C,[1]DIRETORIA!A:A),"-")</f>
        <v>-</v>
      </c>
      <c r="B1750" s="36" t="str">
        <f>IFERROR(_xlfn.XLOOKUP(C1750,[1]DIRETORIA!C:C,[1]DIRETORIA!B:B),"-")</f>
        <v>-</v>
      </c>
      <c r="C1750" s="36">
        <f>IFERROR(_xlfn.XLOOKUP(E1750,[1]EMPREENDIMENTO!C:C,[1]EMPREENDIMENTO!A:A),"-")</f>
        <v>0</v>
      </c>
      <c r="D1750" s="36"/>
      <c r="E1750" s="36"/>
      <c r="F1750" s="36"/>
      <c r="G1750" s="36"/>
      <c r="H1750" s="36"/>
      <c r="I1750" s="29">
        <f>IFERROR(_xlfn.XLOOKUP(E1750,[1]EMPREENDIMENTO!C:C,[1]EMPREENDIMENTO!E:E),"0")</f>
        <v>0</v>
      </c>
      <c r="J1750" s="31"/>
      <c r="K1750" s="36"/>
      <c r="M1750" s="37"/>
      <c r="N1750" s="37"/>
      <c r="O1750" s="37"/>
      <c r="P1750" s="36"/>
      <c r="Q1750" s="36"/>
      <c r="R1750" s="31"/>
      <c r="S1750" s="31"/>
      <c r="T1750" s="38"/>
      <c r="U1750" s="39">
        <f>IFERROR(_xlfn.XLOOKUP(E1750,[1]EMPREENDIMENTO!C:C,[1]EMPREENDIMENTO!D:D),"")</f>
        <v>0</v>
      </c>
    </row>
    <row r="1751" spans="1:21" hidden="1" x14ac:dyDescent="0.35">
      <c r="A1751" s="36" t="str">
        <f>IFERROR(_xlfn.XLOOKUP(C1751,[1]DIRETORIA!C:C,[1]DIRETORIA!A:A),"-")</f>
        <v>-</v>
      </c>
      <c r="B1751" s="36" t="str">
        <f>IFERROR(_xlfn.XLOOKUP(C1751,[1]DIRETORIA!C:C,[1]DIRETORIA!B:B),"-")</f>
        <v>-</v>
      </c>
      <c r="C1751" s="36">
        <f>IFERROR(_xlfn.XLOOKUP(E1751,[1]EMPREENDIMENTO!C:C,[1]EMPREENDIMENTO!A:A),"-")</f>
        <v>0</v>
      </c>
      <c r="D1751" s="36"/>
      <c r="E1751" s="36"/>
      <c r="F1751" s="36"/>
      <c r="G1751" s="36"/>
      <c r="H1751" s="36"/>
      <c r="I1751" s="29">
        <f>IFERROR(_xlfn.XLOOKUP(E1751,[1]EMPREENDIMENTO!C:C,[1]EMPREENDIMENTO!E:E),"0")</f>
        <v>0</v>
      </c>
      <c r="J1751" s="31"/>
      <c r="K1751" s="36"/>
      <c r="M1751" s="37"/>
      <c r="N1751" s="37"/>
      <c r="O1751" s="37"/>
      <c r="P1751" s="36"/>
      <c r="Q1751" s="36"/>
      <c r="R1751" s="31"/>
      <c r="S1751" s="31"/>
      <c r="T1751" s="38"/>
      <c r="U1751" s="39">
        <f>IFERROR(_xlfn.XLOOKUP(E1751,[1]EMPREENDIMENTO!C:C,[1]EMPREENDIMENTO!D:D),"")</f>
        <v>0</v>
      </c>
    </row>
    <row r="1752" spans="1:21" hidden="1" x14ac:dyDescent="0.35">
      <c r="A1752" s="36" t="str">
        <f>IFERROR(_xlfn.XLOOKUP(C1752,[1]DIRETORIA!C:C,[1]DIRETORIA!A:A),"-")</f>
        <v>-</v>
      </c>
      <c r="B1752" s="36" t="str">
        <f>IFERROR(_xlfn.XLOOKUP(C1752,[1]DIRETORIA!C:C,[1]DIRETORIA!B:B),"-")</f>
        <v>-</v>
      </c>
      <c r="C1752" s="36">
        <f>IFERROR(_xlfn.XLOOKUP(E1752,[1]EMPREENDIMENTO!C:C,[1]EMPREENDIMENTO!A:A),"-")</f>
        <v>0</v>
      </c>
      <c r="D1752" s="36"/>
      <c r="E1752" s="36"/>
      <c r="F1752" s="36"/>
      <c r="G1752" s="36"/>
      <c r="H1752" s="36"/>
      <c r="I1752" s="29">
        <f>IFERROR(_xlfn.XLOOKUP(E1752,[1]EMPREENDIMENTO!C:C,[1]EMPREENDIMENTO!E:E),"0")</f>
        <v>0</v>
      </c>
      <c r="J1752" s="31"/>
      <c r="K1752" s="36"/>
      <c r="M1752" s="37"/>
      <c r="N1752" s="37"/>
      <c r="O1752" s="37"/>
      <c r="P1752" s="36"/>
      <c r="Q1752" s="36"/>
      <c r="R1752" s="31"/>
      <c r="S1752" s="31"/>
      <c r="T1752" s="38"/>
      <c r="U1752" s="39">
        <f>IFERROR(_xlfn.XLOOKUP(E1752,[1]EMPREENDIMENTO!C:C,[1]EMPREENDIMENTO!D:D),"")</f>
        <v>0</v>
      </c>
    </row>
    <row r="1753" spans="1:21" hidden="1" x14ac:dyDescent="0.35">
      <c r="A1753" s="36" t="str">
        <f>IFERROR(_xlfn.XLOOKUP(C1753,[1]DIRETORIA!C:C,[1]DIRETORIA!A:A),"-")</f>
        <v>-</v>
      </c>
      <c r="B1753" s="36" t="str">
        <f>IFERROR(_xlfn.XLOOKUP(C1753,[1]DIRETORIA!C:C,[1]DIRETORIA!B:B),"-")</f>
        <v>-</v>
      </c>
      <c r="C1753" s="36">
        <f>IFERROR(_xlfn.XLOOKUP(E1753,[1]EMPREENDIMENTO!C:C,[1]EMPREENDIMENTO!A:A),"-")</f>
        <v>0</v>
      </c>
      <c r="D1753" s="36"/>
      <c r="E1753" s="36"/>
      <c r="F1753" s="36"/>
      <c r="G1753" s="36"/>
      <c r="H1753" s="36"/>
      <c r="I1753" s="29">
        <f>IFERROR(_xlfn.XLOOKUP(E1753,[1]EMPREENDIMENTO!C:C,[1]EMPREENDIMENTO!E:E),"0")</f>
        <v>0</v>
      </c>
      <c r="J1753" s="31"/>
      <c r="K1753" s="36"/>
      <c r="M1753" s="37"/>
      <c r="N1753" s="37"/>
      <c r="O1753" s="37"/>
      <c r="P1753" s="36"/>
      <c r="Q1753" s="36"/>
      <c r="R1753" s="31"/>
      <c r="S1753" s="31"/>
      <c r="T1753" s="38"/>
      <c r="U1753" s="39">
        <f>IFERROR(_xlfn.XLOOKUP(E1753,[1]EMPREENDIMENTO!C:C,[1]EMPREENDIMENTO!D:D),"")</f>
        <v>0</v>
      </c>
    </row>
    <row r="1754" spans="1:21" hidden="1" x14ac:dyDescent="0.35">
      <c r="A1754" s="36" t="str">
        <f>IFERROR(_xlfn.XLOOKUP(C1754,[1]DIRETORIA!C:C,[1]DIRETORIA!A:A),"-")</f>
        <v>-</v>
      </c>
      <c r="B1754" s="36" t="str">
        <f>IFERROR(_xlfn.XLOOKUP(C1754,[1]DIRETORIA!C:C,[1]DIRETORIA!B:B),"-")</f>
        <v>-</v>
      </c>
      <c r="C1754" s="36">
        <f>IFERROR(_xlfn.XLOOKUP(E1754,[1]EMPREENDIMENTO!C:C,[1]EMPREENDIMENTO!A:A),"-")</f>
        <v>0</v>
      </c>
      <c r="D1754" s="36"/>
      <c r="E1754" s="36"/>
      <c r="F1754" s="36"/>
      <c r="G1754" s="36"/>
      <c r="H1754" s="36"/>
      <c r="I1754" s="29">
        <f>IFERROR(_xlfn.XLOOKUP(E1754,[1]EMPREENDIMENTO!C:C,[1]EMPREENDIMENTO!E:E),"0")</f>
        <v>0</v>
      </c>
      <c r="J1754" s="31"/>
      <c r="K1754" s="36"/>
      <c r="M1754" s="37"/>
      <c r="N1754" s="37"/>
      <c r="O1754" s="37"/>
      <c r="P1754" s="36"/>
      <c r="Q1754" s="36"/>
      <c r="R1754" s="31"/>
      <c r="S1754" s="31"/>
      <c r="T1754" s="38"/>
      <c r="U1754" s="39">
        <f>IFERROR(_xlfn.XLOOKUP(E1754,[1]EMPREENDIMENTO!C:C,[1]EMPREENDIMENTO!D:D),"")</f>
        <v>0</v>
      </c>
    </row>
    <row r="1755" spans="1:21" hidden="1" x14ac:dyDescent="0.35">
      <c r="A1755" s="36" t="str">
        <f>IFERROR(_xlfn.XLOOKUP(C1755,[1]DIRETORIA!C:C,[1]DIRETORIA!A:A),"-")</f>
        <v>-</v>
      </c>
      <c r="B1755" s="36" t="str">
        <f>IFERROR(_xlfn.XLOOKUP(C1755,[1]DIRETORIA!C:C,[1]DIRETORIA!B:B),"-")</f>
        <v>-</v>
      </c>
      <c r="C1755" s="36">
        <f>IFERROR(_xlfn.XLOOKUP(E1755,[1]EMPREENDIMENTO!C:C,[1]EMPREENDIMENTO!A:A),"-")</f>
        <v>0</v>
      </c>
      <c r="D1755" s="36"/>
      <c r="E1755" s="36"/>
      <c r="F1755" s="36"/>
      <c r="G1755" s="36"/>
      <c r="H1755" s="36"/>
      <c r="I1755" s="29">
        <f>IFERROR(_xlfn.XLOOKUP(E1755,[1]EMPREENDIMENTO!C:C,[1]EMPREENDIMENTO!E:E),"0")</f>
        <v>0</v>
      </c>
      <c r="J1755" s="31"/>
      <c r="K1755" s="36"/>
      <c r="M1755" s="37"/>
      <c r="N1755" s="37"/>
      <c r="O1755" s="37"/>
      <c r="P1755" s="36"/>
      <c r="Q1755" s="36"/>
      <c r="R1755" s="31"/>
      <c r="S1755" s="31"/>
      <c r="T1755" s="38"/>
      <c r="U1755" s="39">
        <f>IFERROR(_xlfn.XLOOKUP(E1755,[1]EMPREENDIMENTO!C:C,[1]EMPREENDIMENTO!D:D),"")</f>
        <v>0</v>
      </c>
    </row>
    <row r="1756" spans="1:21" hidden="1" x14ac:dyDescent="0.35">
      <c r="A1756" s="36" t="str">
        <f>IFERROR(_xlfn.XLOOKUP(C1756,[1]DIRETORIA!C:C,[1]DIRETORIA!A:A),"-")</f>
        <v>-</v>
      </c>
      <c r="B1756" s="36" t="str">
        <f>IFERROR(_xlfn.XLOOKUP(C1756,[1]DIRETORIA!C:C,[1]DIRETORIA!B:B),"-")</f>
        <v>-</v>
      </c>
      <c r="C1756" s="36">
        <f>IFERROR(_xlfn.XLOOKUP(E1756,[1]EMPREENDIMENTO!C:C,[1]EMPREENDIMENTO!A:A),"-")</f>
        <v>0</v>
      </c>
      <c r="D1756" s="36"/>
      <c r="E1756" s="36"/>
      <c r="F1756" s="36"/>
      <c r="G1756" s="36"/>
      <c r="H1756" s="36"/>
      <c r="I1756" s="29">
        <f>IFERROR(_xlfn.XLOOKUP(E1756,[1]EMPREENDIMENTO!C:C,[1]EMPREENDIMENTO!E:E),"0")</f>
        <v>0</v>
      </c>
      <c r="J1756" s="31"/>
      <c r="K1756" s="36"/>
      <c r="M1756" s="37"/>
      <c r="N1756" s="37"/>
      <c r="O1756" s="37"/>
      <c r="P1756" s="36"/>
      <c r="Q1756" s="36"/>
      <c r="R1756" s="31"/>
      <c r="S1756" s="31"/>
      <c r="T1756" s="38"/>
      <c r="U1756" s="39">
        <f>IFERROR(_xlfn.XLOOKUP(E1756,[1]EMPREENDIMENTO!C:C,[1]EMPREENDIMENTO!D:D),"")</f>
        <v>0</v>
      </c>
    </row>
    <row r="1757" spans="1:21" hidden="1" x14ac:dyDescent="0.35">
      <c r="A1757" s="36" t="str">
        <f>IFERROR(_xlfn.XLOOKUP(C1757,[1]DIRETORIA!C:C,[1]DIRETORIA!A:A),"-")</f>
        <v>-</v>
      </c>
      <c r="B1757" s="36" t="str">
        <f>IFERROR(_xlfn.XLOOKUP(C1757,[1]DIRETORIA!C:C,[1]DIRETORIA!B:B),"-")</f>
        <v>-</v>
      </c>
      <c r="C1757" s="36">
        <f>IFERROR(_xlfn.XLOOKUP(E1757,[1]EMPREENDIMENTO!C:C,[1]EMPREENDIMENTO!A:A),"-")</f>
        <v>0</v>
      </c>
      <c r="D1757" s="36"/>
      <c r="E1757" s="36"/>
      <c r="F1757" s="36"/>
      <c r="G1757" s="36"/>
      <c r="H1757" s="36"/>
      <c r="I1757" s="29">
        <f>IFERROR(_xlfn.XLOOKUP(E1757,[1]EMPREENDIMENTO!C:C,[1]EMPREENDIMENTO!E:E),"0")</f>
        <v>0</v>
      </c>
      <c r="J1757" s="31"/>
      <c r="K1757" s="36"/>
      <c r="M1757" s="37"/>
      <c r="N1757" s="37"/>
      <c r="O1757" s="37"/>
      <c r="P1757" s="36"/>
      <c r="Q1757" s="36"/>
      <c r="R1757" s="31"/>
      <c r="S1757" s="31"/>
      <c r="T1757" s="38"/>
      <c r="U1757" s="39">
        <f>IFERROR(_xlfn.XLOOKUP(E1757,[1]EMPREENDIMENTO!C:C,[1]EMPREENDIMENTO!D:D),"")</f>
        <v>0</v>
      </c>
    </row>
    <row r="1758" spans="1:21" hidden="1" x14ac:dyDescent="0.35">
      <c r="A1758" s="36" t="str">
        <f>IFERROR(_xlfn.XLOOKUP(C1758,[1]DIRETORIA!C:C,[1]DIRETORIA!A:A),"-")</f>
        <v>-</v>
      </c>
      <c r="B1758" s="36" t="str">
        <f>IFERROR(_xlfn.XLOOKUP(C1758,[1]DIRETORIA!C:C,[1]DIRETORIA!B:B),"-")</f>
        <v>-</v>
      </c>
      <c r="C1758" s="36">
        <f>IFERROR(_xlfn.XLOOKUP(E1758,[1]EMPREENDIMENTO!C:C,[1]EMPREENDIMENTO!A:A),"-")</f>
        <v>0</v>
      </c>
      <c r="D1758" s="36"/>
      <c r="E1758" s="36"/>
      <c r="F1758" s="36"/>
      <c r="G1758" s="36"/>
      <c r="H1758" s="36"/>
      <c r="I1758" s="29">
        <f>IFERROR(_xlfn.XLOOKUP(E1758,[1]EMPREENDIMENTO!C:C,[1]EMPREENDIMENTO!E:E),"0")</f>
        <v>0</v>
      </c>
      <c r="J1758" s="31"/>
      <c r="K1758" s="36"/>
      <c r="M1758" s="37"/>
      <c r="N1758" s="37"/>
      <c r="O1758" s="37"/>
      <c r="P1758" s="36"/>
      <c r="Q1758" s="36"/>
      <c r="R1758" s="31"/>
      <c r="S1758" s="31"/>
      <c r="T1758" s="38"/>
      <c r="U1758" s="39">
        <f>IFERROR(_xlfn.XLOOKUP(E1758,[1]EMPREENDIMENTO!C:C,[1]EMPREENDIMENTO!D:D),"")</f>
        <v>0</v>
      </c>
    </row>
    <row r="1759" spans="1:21" hidden="1" x14ac:dyDescent="0.35">
      <c r="A1759" s="36" t="str">
        <f>IFERROR(_xlfn.XLOOKUP(C1759,[1]DIRETORIA!C:C,[1]DIRETORIA!A:A),"-")</f>
        <v>-</v>
      </c>
      <c r="B1759" s="36" t="str">
        <f>IFERROR(_xlfn.XLOOKUP(C1759,[1]DIRETORIA!C:C,[1]DIRETORIA!B:B),"-")</f>
        <v>-</v>
      </c>
      <c r="C1759" s="36">
        <f>IFERROR(_xlfn.XLOOKUP(E1759,[1]EMPREENDIMENTO!C:C,[1]EMPREENDIMENTO!A:A),"-")</f>
        <v>0</v>
      </c>
      <c r="D1759" s="36"/>
      <c r="E1759" s="36"/>
      <c r="F1759" s="36"/>
      <c r="G1759" s="36"/>
      <c r="H1759" s="36"/>
      <c r="I1759" s="29">
        <f>IFERROR(_xlfn.XLOOKUP(E1759,[1]EMPREENDIMENTO!C:C,[1]EMPREENDIMENTO!E:E),"0")</f>
        <v>0</v>
      </c>
      <c r="J1759" s="31"/>
      <c r="K1759" s="36"/>
      <c r="M1759" s="37"/>
      <c r="N1759" s="37"/>
      <c r="O1759" s="37"/>
      <c r="P1759" s="36"/>
      <c r="Q1759" s="36"/>
      <c r="R1759" s="31"/>
      <c r="S1759" s="31"/>
      <c r="T1759" s="38"/>
      <c r="U1759" s="39">
        <f>IFERROR(_xlfn.XLOOKUP(E1759,[1]EMPREENDIMENTO!C:C,[1]EMPREENDIMENTO!D:D),"")</f>
        <v>0</v>
      </c>
    </row>
    <row r="1760" spans="1:21" hidden="1" x14ac:dyDescent="0.35">
      <c r="A1760" s="36" t="str">
        <f>IFERROR(_xlfn.XLOOKUP(C1760,[1]DIRETORIA!C:C,[1]DIRETORIA!A:A),"-")</f>
        <v>-</v>
      </c>
      <c r="B1760" s="36" t="str">
        <f>IFERROR(_xlfn.XLOOKUP(C1760,[1]DIRETORIA!C:C,[1]DIRETORIA!B:B),"-")</f>
        <v>-</v>
      </c>
      <c r="C1760" s="36">
        <f>IFERROR(_xlfn.XLOOKUP(E1760,[1]EMPREENDIMENTO!C:C,[1]EMPREENDIMENTO!A:A),"-")</f>
        <v>0</v>
      </c>
      <c r="D1760" s="36"/>
      <c r="E1760" s="36"/>
      <c r="F1760" s="36"/>
      <c r="G1760" s="36"/>
      <c r="H1760" s="36"/>
      <c r="I1760" s="29">
        <f>IFERROR(_xlfn.XLOOKUP(E1760,[1]EMPREENDIMENTO!C:C,[1]EMPREENDIMENTO!E:E),"0")</f>
        <v>0</v>
      </c>
      <c r="J1760" s="31"/>
      <c r="K1760" s="36"/>
      <c r="M1760" s="37"/>
      <c r="N1760" s="37"/>
      <c r="O1760" s="37"/>
      <c r="P1760" s="36"/>
      <c r="Q1760" s="36"/>
      <c r="R1760" s="31"/>
      <c r="S1760" s="31"/>
      <c r="T1760" s="38"/>
      <c r="U1760" s="39">
        <f>IFERROR(_xlfn.XLOOKUP(E1760,[1]EMPREENDIMENTO!C:C,[1]EMPREENDIMENTO!D:D),"")</f>
        <v>0</v>
      </c>
    </row>
    <row r="1761" spans="1:21" hidden="1" x14ac:dyDescent="0.35">
      <c r="A1761" s="36" t="str">
        <f>IFERROR(_xlfn.XLOOKUP(C1761,[1]DIRETORIA!C:C,[1]DIRETORIA!A:A),"-")</f>
        <v>-</v>
      </c>
      <c r="B1761" s="36" t="str">
        <f>IFERROR(_xlfn.XLOOKUP(C1761,[1]DIRETORIA!C:C,[1]DIRETORIA!B:B),"-")</f>
        <v>-</v>
      </c>
      <c r="C1761" s="36">
        <f>IFERROR(_xlfn.XLOOKUP(E1761,[1]EMPREENDIMENTO!C:C,[1]EMPREENDIMENTO!A:A),"-")</f>
        <v>0</v>
      </c>
      <c r="D1761" s="36"/>
      <c r="E1761" s="36"/>
      <c r="F1761" s="36"/>
      <c r="G1761" s="36"/>
      <c r="H1761" s="36"/>
      <c r="I1761" s="29">
        <f>IFERROR(_xlfn.XLOOKUP(E1761,[1]EMPREENDIMENTO!C:C,[1]EMPREENDIMENTO!E:E),"0")</f>
        <v>0</v>
      </c>
      <c r="J1761" s="31"/>
      <c r="K1761" s="36"/>
      <c r="M1761" s="37"/>
      <c r="N1761" s="37"/>
      <c r="O1761" s="37"/>
      <c r="P1761" s="36"/>
      <c r="Q1761" s="36"/>
      <c r="R1761" s="31"/>
      <c r="S1761" s="31"/>
      <c r="T1761" s="38"/>
      <c r="U1761" s="39">
        <f>IFERROR(_xlfn.XLOOKUP(E1761,[1]EMPREENDIMENTO!C:C,[1]EMPREENDIMENTO!D:D),"")</f>
        <v>0</v>
      </c>
    </row>
    <row r="1762" spans="1:21" hidden="1" x14ac:dyDescent="0.35">
      <c r="A1762" s="36" t="str">
        <f>IFERROR(_xlfn.XLOOKUP(C1762,[1]DIRETORIA!C:C,[1]DIRETORIA!A:A),"-")</f>
        <v>-</v>
      </c>
      <c r="B1762" s="36" t="str">
        <f>IFERROR(_xlfn.XLOOKUP(C1762,[1]DIRETORIA!C:C,[1]DIRETORIA!B:B),"-")</f>
        <v>-</v>
      </c>
      <c r="C1762" s="36">
        <f>IFERROR(_xlfn.XLOOKUP(E1762,[1]EMPREENDIMENTO!C:C,[1]EMPREENDIMENTO!A:A),"-")</f>
        <v>0</v>
      </c>
      <c r="D1762" s="36"/>
      <c r="E1762" s="36"/>
      <c r="F1762" s="36"/>
      <c r="G1762" s="36"/>
      <c r="H1762" s="36"/>
      <c r="I1762" s="29">
        <f>IFERROR(_xlfn.XLOOKUP(E1762,[1]EMPREENDIMENTO!C:C,[1]EMPREENDIMENTO!E:E),"0")</f>
        <v>0</v>
      </c>
      <c r="J1762" s="31"/>
      <c r="K1762" s="36"/>
      <c r="M1762" s="37"/>
      <c r="N1762" s="37"/>
      <c r="O1762" s="37"/>
      <c r="P1762" s="36"/>
      <c r="Q1762" s="36"/>
      <c r="R1762" s="31"/>
      <c r="S1762" s="31"/>
      <c r="T1762" s="38"/>
      <c r="U1762" s="39">
        <f>IFERROR(_xlfn.XLOOKUP(E1762,[1]EMPREENDIMENTO!C:C,[1]EMPREENDIMENTO!D:D),"")</f>
        <v>0</v>
      </c>
    </row>
    <row r="1763" spans="1:21" hidden="1" x14ac:dyDescent="0.35">
      <c r="A1763" s="36" t="str">
        <f>IFERROR(_xlfn.XLOOKUP(C1763,[1]DIRETORIA!C:C,[1]DIRETORIA!A:A),"-")</f>
        <v>-</v>
      </c>
      <c r="B1763" s="36" t="str">
        <f>IFERROR(_xlfn.XLOOKUP(C1763,[1]DIRETORIA!C:C,[1]DIRETORIA!B:B),"-")</f>
        <v>-</v>
      </c>
      <c r="C1763" s="36">
        <f>IFERROR(_xlfn.XLOOKUP(E1763,[1]EMPREENDIMENTO!C:C,[1]EMPREENDIMENTO!A:A),"-")</f>
        <v>0</v>
      </c>
      <c r="D1763" s="36"/>
      <c r="E1763" s="36"/>
      <c r="F1763" s="36"/>
      <c r="G1763" s="36"/>
      <c r="H1763" s="36"/>
      <c r="I1763" s="29">
        <f>IFERROR(_xlfn.XLOOKUP(E1763,[1]EMPREENDIMENTO!C:C,[1]EMPREENDIMENTO!E:E),"0")</f>
        <v>0</v>
      </c>
      <c r="J1763" s="31"/>
      <c r="K1763" s="36"/>
      <c r="M1763" s="37"/>
      <c r="N1763" s="37"/>
      <c r="O1763" s="37"/>
      <c r="P1763" s="36"/>
      <c r="Q1763" s="36"/>
      <c r="R1763" s="31"/>
      <c r="S1763" s="31"/>
      <c r="T1763" s="38"/>
      <c r="U1763" s="39">
        <f>IFERROR(_xlfn.XLOOKUP(E1763,[1]EMPREENDIMENTO!C:C,[1]EMPREENDIMENTO!D:D),"")</f>
        <v>0</v>
      </c>
    </row>
    <row r="1764" spans="1:21" hidden="1" x14ac:dyDescent="0.35">
      <c r="A1764" s="36" t="str">
        <f>IFERROR(_xlfn.XLOOKUP(C1764,[1]DIRETORIA!C:C,[1]DIRETORIA!A:A),"-")</f>
        <v>-</v>
      </c>
      <c r="B1764" s="36" t="str">
        <f>IFERROR(_xlfn.XLOOKUP(C1764,[1]DIRETORIA!C:C,[1]DIRETORIA!B:B),"-")</f>
        <v>-</v>
      </c>
      <c r="C1764" s="36">
        <f>IFERROR(_xlfn.XLOOKUP(E1764,[1]EMPREENDIMENTO!C:C,[1]EMPREENDIMENTO!A:A),"-")</f>
        <v>0</v>
      </c>
      <c r="D1764" s="36"/>
      <c r="E1764" s="36"/>
      <c r="F1764" s="36"/>
      <c r="G1764" s="36"/>
      <c r="H1764" s="36"/>
      <c r="I1764" s="29">
        <f>IFERROR(_xlfn.XLOOKUP(E1764,[1]EMPREENDIMENTO!C:C,[1]EMPREENDIMENTO!E:E),"0")</f>
        <v>0</v>
      </c>
      <c r="J1764" s="31"/>
      <c r="K1764" s="36"/>
      <c r="M1764" s="37"/>
      <c r="N1764" s="37"/>
      <c r="O1764" s="37"/>
      <c r="P1764" s="36"/>
      <c r="Q1764" s="36"/>
      <c r="R1764" s="31"/>
      <c r="S1764" s="31"/>
      <c r="T1764" s="38"/>
      <c r="U1764" s="39">
        <f>IFERROR(_xlfn.XLOOKUP(E1764,[1]EMPREENDIMENTO!C:C,[1]EMPREENDIMENTO!D:D),"")</f>
        <v>0</v>
      </c>
    </row>
    <row r="1765" spans="1:21" hidden="1" x14ac:dyDescent="0.35">
      <c r="A1765" s="36" t="str">
        <f>IFERROR(_xlfn.XLOOKUP(C1765,[1]DIRETORIA!C:C,[1]DIRETORIA!A:A),"-")</f>
        <v>-</v>
      </c>
      <c r="B1765" s="36" t="str">
        <f>IFERROR(_xlfn.XLOOKUP(C1765,[1]DIRETORIA!C:C,[1]DIRETORIA!B:B),"-")</f>
        <v>-</v>
      </c>
      <c r="C1765" s="36">
        <f>IFERROR(_xlfn.XLOOKUP(E1765,[1]EMPREENDIMENTO!C:C,[1]EMPREENDIMENTO!A:A),"-")</f>
        <v>0</v>
      </c>
      <c r="D1765" s="36"/>
      <c r="E1765" s="36"/>
      <c r="F1765" s="36"/>
      <c r="G1765" s="36"/>
      <c r="H1765" s="36"/>
      <c r="I1765" s="29">
        <f>IFERROR(_xlfn.XLOOKUP(E1765,[1]EMPREENDIMENTO!C:C,[1]EMPREENDIMENTO!E:E),"0")</f>
        <v>0</v>
      </c>
      <c r="J1765" s="31"/>
      <c r="K1765" s="36"/>
      <c r="M1765" s="37"/>
      <c r="N1765" s="37"/>
      <c r="O1765" s="37"/>
      <c r="P1765" s="36"/>
      <c r="Q1765" s="36"/>
      <c r="R1765" s="31"/>
      <c r="S1765" s="31"/>
      <c r="T1765" s="38"/>
      <c r="U1765" s="39">
        <f>IFERROR(_xlfn.XLOOKUP(E1765,[1]EMPREENDIMENTO!C:C,[1]EMPREENDIMENTO!D:D),"")</f>
        <v>0</v>
      </c>
    </row>
    <row r="1766" spans="1:21" hidden="1" x14ac:dyDescent="0.35">
      <c r="A1766" s="36" t="str">
        <f>IFERROR(_xlfn.XLOOKUP(C1766,[1]DIRETORIA!C:C,[1]DIRETORIA!A:A),"-")</f>
        <v>-</v>
      </c>
      <c r="B1766" s="36" t="str">
        <f>IFERROR(_xlfn.XLOOKUP(C1766,[1]DIRETORIA!C:C,[1]DIRETORIA!B:B),"-")</f>
        <v>-</v>
      </c>
      <c r="C1766" s="36">
        <f>IFERROR(_xlfn.XLOOKUP(E1766,[1]EMPREENDIMENTO!C:C,[1]EMPREENDIMENTO!A:A),"-")</f>
        <v>0</v>
      </c>
      <c r="D1766" s="36"/>
      <c r="E1766" s="36"/>
      <c r="F1766" s="36"/>
      <c r="G1766" s="36"/>
      <c r="H1766" s="36"/>
      <c r="I1766" s="29">
        <f>IFERROR(_xlfn.XLOOKUP(E1766,[1]EMPREENDIMENTO!C:C,[1]EMPREENDIMENTO!E:E),"0")</f>
        <v>0</v>
      </c>
      <c r="J1766" s="31"/>
      <c r="K1766" s="36"/>
      <c r="M1766" s="37"/>
      <c r="N1766" s="37"/>
      <c r="O1766" s="37"/>
      <c r="P1766" s="36"/>
      <c r="Q1766" s="36"/>
      <c r="R1766" s="31"/>
      <c r="S1766" s="31"/>
      <c r="T1766" s="38"/>
      <c r="U1766" s="39">
        <f>IFERROR(_xlfn.XLOOKUP(E1766,[1]EMPREENDIMENTO!C:C,[1]EMPREENDIMENTO!D:D),"")</f>
        <v>0</v>
      </c>
    </row>
    <row r="1767" spans="1:21" hidden="1" x14ac:dyDescent="0.35">
      <c r="A1767" s="36" t="str">
        <f>IFERROR(_xlfn.XLOOKUP(C1767,[1]DIRETORIA!C:C,[1]DIRETORIA!A:A),"-")</f>
        <v>-</v>
      </c>
      <c r="B1767" s="36" t="str">
        <f>IFERROR(_xlfn.XLOOKUP(C1767,[1]DIRETORIA!C:C,[1]DIRETORIA!B:B),"-")</f>
        <v>-</v>
      </c>
      <c r="C1767" s="36">
        <f>IFERROR(_xlfn.XLOOKUP(E1767,[1]EMPREENDIMENTO!C:C,[1]EMPREENDIMENTO!A:A),"-")</f>
        <v>0</v>
      </c>
      <c r="D1767" s="36"/>
      <c r="E1767" s="36"/>
      <c r="F1767" s="36"/>
      <c r="G1767" s="36"/>
      <c r="H1767" s="36"/>
      <c r="I1767" s="29">
        <f>IFERROR(_xlfn.XLOOKUP(E1767,[1]EMPREENDIMENTO!C:C,[1]EMPREENDIMENTO!E:E),"0")</f>
        <v>0</v>
      </c>
      <c r="J1767" s="31"/>
      <c r="K1767" s="36"/>
      <c r="M1767" s="37"/>
      <c r="N1767" s="37"/>
      <c r="O1767" s="37"/>
      <c r="P1767" s="36"/>
      <c r="Q1767" s="36"/>
      <c r="R1767" s="31"/>
      <c r="S1767" s="31"/>
      <c r="T1767" s="38"/>
      <c r="U1767" s="39">
        <f>IFERROR(_xlfn.XLOOKUP(E1767,[1]EMPREENDIMENTO!C:C,[1]EMPREENDIMENTO!D:D),"")</f>
        <v>0</v>
      </c>
    </row>
    <row r="1768" spans="1:21" hidden="1" x14ac:dyDescent="0.35">
      <c r="A1768" s="36" t="str">
        <f>IFERROR(_xlfn.XLOOKUP(C1768,[1]DIRETORIA!C:C,[1]DIRETORIA!A:A),"-")</f>
        <v>-</v>
      </c>
      <c r="B1768" s="36" t="str">
        <f>IFERROR(_xlfn.XLOOKUP(C1768,[1]DIRETORIA!C:C,[1]DIRETORIA!B:B),"-")</f>
        <v>-</v>
      </c>
      <c r="C1768" s="36">
        <f>IFERROR(_xlfn.XLOOKUP(E1768,[1]EMPREENDIMENTO!C:C,[1]EMPREENDIMENTO!A:A),"-")</f>
        <v>0</v>
      </c>
      <c r="D1768" s="36"/>
      <c r="E1768" s="36"/>
      <c r="F1768" s="36"/>
      <c r="G1768" s="36"/>
      <c r="H1768" s="36"/>
      <c r="I1768" s="29">
        <f>IFERROR(_xlfn.XLOOKUP(E1768,[1]EMPREENDIMENTO!C:C,[1]EMPREENDIMENTO!E:E),"0")</f>
        <v>0</v>
      </c>
      <c r="J1768" s="31"/>
      <c r="K1768" s="36"/>
      <c r="M1768" s="37"/>
      <c r="N1768" s="37"/>
      <c r="O1768" s="37"/>
      <c r="P1768" s="36"/>
      <c r="Q1768" s="36"/>
      <c r="R1768" s="31"/>
      <c r="S1768" s="31"/>
      <c r="T1768" s="38"/>
      <c r="U1768" s="39">
        <f>IFERROR(_xlfn.XLOOKUP(E1768,[1]EMPREENDIMENTO!C:C,[1]EMPREENDIMENTO!D:D),"")</f>
        <v>0</v>
      </c>
    </row>
    <row r="1769" spans="1:21" hidden="1" x14ac:dyDescent="0.35">
      <c r="A1769" s="36" t="str">
        <f>IFERROR(_xlfn.XLOOKUP(C1769,[1]DIRETORIA!C:C,[1]DIRETORIA!A:A),"-")</f>
        <v>-</v>
      </c>
      <c r="B1769" s="36" t="str">
        <f>IFERROR(_xlfn.XLOOKUP(C1769,[1]DIRETORIA!C:C,[1]DIRETORIA!B:B),"-")</f>
        <v>-</v>
      </c>
      <c r="C1769" s="36">
        <f>IFERROR(_xlfn.XLOOKUP(E1769,[1]EMPREENDIMENTO!C:C,[1]EMPREENDIMENTO!A:A),"-")</f>
        <v>0</v>
      </c>
      <c r="D1769" s="36"/>
      <c r="E1769" s="36"/>
      <c r="F1769" s="36"/>
      <c r="G1769" s="36"/>
      <c r="H1769" s="36"/>
      <c r="I1769" s="29">
        <f>IFERROR(_xlfn.XLOOKUP(E1769,[1]EMPREENDIMENTO!C:C,[1]EMPREENDIMENTO!E:E),"0")</f>
        <v>0</v>
      </c>
      <c r="J1769" s="31"/>
      <c r="K1769" s="36"/>
      <c r="M1769" s="37"/>
      <c r="N1769" s="37"/>
      <c r="O1769" s="37"/>
      <c r="P1769" s="36"/>
      <c r="Q1769" s="36"/>
      <c r="R1769" s="31"/>
      <c r="S1769" s="31"/>
      <c r="T1769" s="38"/>
      <c r="U1769" s="39">
        <f>IFERROR(_xlfn.XLOOKUP(E1769,[1]EMPREENDIMENTO!C:C,[1]EMPREENDIMENTO!D:D),"")</f>
        <v>0</v>
      </c>
    </row>
    <row r="1770" spans="1:21" hidden="1" x14ac:dyDescent="0.35">
      <c r="A1770" s="36" t="str">
        <f>IFERROR(_xlfn.XLOOKUP(C1770,[1]DIRETORIA!C:C,[1]DIRETORIA!A:A),"-")</f>
        <v>-</v>
      </c>
      <c r="B1770" s="36" t="str">
        <f>IFERROR(_xlfn.XLOOKUP(C1770,[1]DIRETORIA!C:C,[1]DIRETORIA!B:B),"-")</f>
        <v>-</v>
      </c>
      <c r="C1770" s="36">
        <f>IFERROR(_xlfn.XLOOKUP(E1770,[1]EMPREENDIMENTO!C:C,[1]EMPREENDIMENTO!A:A),"-")</f>
        <v>0</v>
      </c>
      <c r="D1770" s="36"/>
      <c r="E1770" s="36"/>
      <c r="F1770" s="36"/>
      <c r="G1770" s="36"/>
      <c r="H1770" s="36"/>
      <c r="I1770" s="29">
        <f>IFERROR(_xlfn.XLOOKUP(E1770,[1]EMPREENDIMENTO!C:C,[1]EMPREENDIMENTO!E:E),"0")</f>
        <v>0</v>
      </c>
      <c r="J1770" s="31"/>
      <c r="K1770" s="36"/>
      <c r="M1770" s="37"/>
      <c r="N1770" s="37"/>
      <c r="O1770" s="37"/>
      <c r="P1770" s="36"/>
      <c r="Q1770" s="36"/>
      <c r="R1770" s="31"/>
      <c r="S1770" s="31"/>
      <c r="T1770" s="38"/>
      <c r="U1770" s="39">
        <f>IFERROR(_xlfn.XLOOKUP(E1770,[1]EMPREENDIMENTO!C:C,[1]EMPREENDIMENTO!D:D),"")</f>
        <v>0</v>
      </c>
    </row>
    <row r="1771" spans="1:21" hidden="1" x14ac:dyDescent="0.35">
      <c r="A1771" s="36" t="str">
        <f>IFERROR(_xlfn.XLOOKUP(C1771,[1]DIRETORIA!C:C,[1]DIRETORIA!A:A),"-")</f>
        <v>-</v>
      </c>
      <c r="B1771" s="36" t="str">
        <f>IFERROR(_xlfn.XLOOKUP(C1771,[1]DIRETORIA!C:C,[1]DIRETORIA!B:B),"-")</f>
        <v>-</v>
      </c>
      <c r="C1771" s="36">
        <f>IFERROR(_xlfn.XLOOKUP(E1771,[1]EMPREENDIMENTO!C:C,[1]EMPREENDIMENTO!A:A),"-")</f>
        <v>0</v>
      </c>
      <c r="D1771" s="36"/>
      <c r="E1771" s="36"/>
      <c r="F1771" s="36"/>
      <c r="G1771" s="36"/>
      <c r="H1771" s="36"/>
      <c r="I1771" s="29">
        <f>IFERROR(_xlfn.XLOOKUP(E1771,[1]EMPREENDIMENTO!C:C,[1]EMPREENDIMENTO!E:E),"0")</f>
        <v>0</v>
      </c>
      <c r="J1771" s="31"/>
      <c r="K1771" s="36"/>
      <c r="M1771" s="37"/>
      <c r="N1771" s="37"/>
      <c r="O1771" s="37"/>
      <c r="P1771" s="36"/>
      <c r="Q1771" s="36"/>
      <c r="R1771" s="31"/>
      <c r="S1771" s="31"/>
      <c r="T1771" s="38"/>
      <c r="U1771" s="39">
        <f>IFERROR(_xlfn.XLOOKUP(E1771,[1]EMPREENDIMENTO!C:C,[1]EMPREENDIMENTO!D:D),"")</f>
        <v>0</v>
      </c>
    </row>
    <row r="1772" spans="1:21" hidden="1" x14ac:dyDescent="0.35">
      <c r="A1772" s="36" t="str">
        <f>IFERROR(_xlfn.XLOOKUP(C1772,[1]DIRETORIA!C:C,[1]DIRETORIA!A:A),"-")</f>
        <v>-</v>
      </c>
      <c r="B1772" s="36" t="str">
        <f>IFERROR(_xlfn.XLOOKUP(C1772,[1]DIRETORIA!C:C,[1]DIRETORIA!B:B),"-")</f>
        <v>-</v>
      </c>
      <c r="C1772" s="36">
        <f>IFERROR(_xlfn.XLOOKUP(E1772,[1]EMPREENDIMENTO!C:C,[1]EMPREENDIMENTO!A:A),"-")</f>
        <v>0</v>
      </c>
      <c r="D1772" s="36"/>
      <c r="E1772" s="36"/>
      <c r="F1772" s="36"/>
      <c r="G1772" s="36"/>
      <c r="H1772" s="36"/>
      <c r="I1772" s="29">
        <f>IFERROR(_xlfn.XLOOKUP(E1772,[1]EMPREENDIMENTO!C:C,[1]EMPREENDIMENTO!E:E),"0")</f>
        <v>0</v>
      </c>
      <c r="J1772" s="31"/>
      <c r="K1772" s="36"/>
      <c r="M1772" s="37"/>
      <c r="N1772" s="37"/>
      <c r="O1772" s="37"/>
      <c r="P1772" s="36"/>
      <c r="Q1772" s="36"/>
      <c r="R1772" s="31"/>
      <c r="S1772" s="31"/>
      <c r="T1772" s="38"/>
      <c r="U1772" s="39">
        <f>IFERROR(_xlfn.XLOOKUP(E1772,[1]EMPREENDIMENTO!C:C,[1]EMPREENDIMENTO!D:D),"")</f>
        <v>0</v>
      </c>
    </row>
    <row r="1773" spans="1:21" hidden="1" x14ac:dyDescent="0.35">
      <c r="A1773" s="36" t="str">
        <f>IFERROR(_xlfn.XLOOKUP(C1773,[1]DIRETORIA!C:C,[1]DIRETORIA!A:A),"-")</f>
        <v>-</v>
      </c>
      <c r="B1773" s="36" t="str">
        <f>IFERROR(_xlfn.XLOOKUP(C1773,[1]DIRETORIA!C:C,[1]DIRETORIA!B:B),"-")</f>
        <v>-</v>
      </c>
      <c r="C1773" s="36">
        <f>IFERROR(_xlfn.XLOOKUP(E1773,[1]EMPREENDIMENTO!C:C,[1]EMPREENDIMENTO!A:A),"-")</f>
        <v>0</v>
      </c>
      <c r="D1773" s="36"/>
      <c r="E1773" s="36"/>
      <c r="F1773" s="36"/>
      <c r="G1773" s="36"/>
      <c r="H1773" s="36"/>
      <c r="I1773" s="29">
        <f>IFERROR(_xlfn.XLOOKUP(E1773,[1]EMPREENDIMENTO!C:C,[1]EMPREENDIMENTO!E:E),"0")</f>
        <v>0</v>
      </c>
      <c r="J1773" s="31"/>
      <c r="K1773" s="36"/>
      <c r="M1773" s="37"/>
      <c r="N1773" s="37"/>
      <c r="O1773" s="37"/>
      <c r="P1773" s="36"/>
      <c r="Q1773" s="36"/>
      <c r="R1773" s="31"/>
      <c r="S1773" s="31"/>
      <c r="T1773" s="38"/>
      <c r="U1773" s="39">
        <f>IFERROR(_xlfn.XLOOKUP(E1773,[1]EMPREENDIMENTO!C:C,[1]EMPREENDIMENTO!D:D),"")</f>
        <v>0</v>
      </c>
    </row>
    <row r="1774" spans="1:21" hidden="1" x14ac:dyDescent="0.35">
      <c r="A1774" s="36" t="str">
        <f>IFERROR(_xlfn.XLOOKUP(C1774,[1]DIRETORIA!C:C,[1]DIRETORIA!A:A),"-")</f>
        <v>-</v>
      </c>
      <c r="B1774" s="36" t="str">
        <f>IFERROR(_xlfn.XLOOKUP(C1774,[1]DIRETORIA!C:C,[1]DIRETORIA!B:B),"-")</f>
        <v>-</v>
      </c>
      <c r="C1774" s="36">
        <f>IFERROR(_xlfn.XLOOKUP(E1774,[1]EMPREENDIMENTO!C:C,[1]EMPREENDIMENTO!A:A),"-")</f>
        <v>0</v>
      </c>
      <c r="D1774" s="36"/>
      <c r="E1774" s="36"/>
      <c r="F1774" s="36"/>
      <c r="G1774" s="36"/>
      <c r="H1774" s="36"/>
      <c r="I1774" s="29">
        <f>IFERROR(_xlfn.XLOOKUP(E1774,[1]EMPREENDIMENTO!C:C,[1]EMPREENDIMENTO!E:E),"0")</f>
        <v>0</v>
      </c>
      <c r="J1774" s="31"/>
      <c r="K1774" s="36"/>
      <c r="M1774" s="37"/>
      <c r="N1774" s="37"/>
      <c r="O1774" s="37"/>
      <c r="P1774" s="36"/>
      <c r="Q1774" s="36"/>
      <c r="R1774" s="31"/>
      <c r="S1774" s="31"/>
      <c r="T1774" s="38"/>
      <c r="U1774" s="39">
        <f>IFERROR(_xlfn.XLOOKUP(E1774,[1]EMPREENDIMENTO!C:C,[1]EMPREENDIMENTO!D:D),"")</f>
        <v>0</v>
      </c>
    </row>
    <row r="1775" spans="1:21" hidden="1" x14ac:dyDescent="0.35">
      <c r="A1775" s="36" t="str">
        <f>IFERROR(_xlfn.XLOOKUP(C1775,[1]DIRETORIA!C:C,[1]DIRETORIA!A:A),"-")</f>
        <v>-</v>
      </c>
      <c r="B1775" s="36" t="str">
        <f>IFERROR(_xlfn.XLOOKUP(C1775,[1]DIRETORIA!C:C,[1]DIRETORIA!B:B),"-")</f>
        <v>-</v>
      </c>
      <c r="C1775" s="36">
        <f>IFERROR(_xlfn.XLOOKUP(E1775,[1]EMPREENDIMENTO!C:C,[1]EMPREENDIMENTO!A:A),"-")</f>
        <v>0</v>
      </c>
      <c r="D1775" s="36"/>
      <c r="E1775" s="36"/>
      <c r="F1775" s="36"/>
      <c r="G1775" s="36"/>
      <c r="H1775" s="36"/>
      <c r="I1775" s="29">
        <f>IFERROR(_xlfn.XLOOKUP(E1775,[1]EMPREENDIMENTO!C:C,[1]EMPREENDIMENTO!E:E),"0")</f>
        <v>0</v>
      </c>
      <c r="J1775" s="31"/>
      <c r="K1775" s="36"/>
      <c r="M1775" s="37"/>
      <c r="N1775" s="37"/>
      <c r="O1775" s="37"/>
      <c r="P1775" s="36"/>
      <c r="Q1775" s="36"/>
      <c r="R1775" s="31"/>
      <c r="S1775" s="31"/>
      <c r="T1775" s="38"/>
      <c r="U1775" s="39">
        <f>IFERROR(_xlfn.XLOOKUP(E1775,[1]EMPREENDIMENTO!C:C,[1]EMPREENDIMENTO!D:D),"")</f>
        <v>0</v>
      </c>
    </row>
    <row r="1776" spans="1:21" hidden="1" x14ac:dyDescent="0.35">
      <c r="A1776" s="36" t="str">
        <f>IFERROR(_xlfn.XLOOKUP(C1776,[1]DIRETORIA!C:C,[1]DIRETORIA!A:A),"-")</f>
        <v>-</v>
      </c>
      <c r="B1776" s="36" t="str">
        <f>IFERROR(_xlfn.XLOOKUP(C1776,[1]DIRETORIA!C:C,[1]DIRETORIA!B:B),"-")</f>
        <v>-</v>
      </c>
      <c r="C1776" s="36">
        <f>IFERROR(_xlfn.XLOOKUP(E1776,[1]EMPREENDIMENTO!C:C,[1]EMPREENDIMENTO!A:A),"-")</f>
        <v>0</v>
      </c>
      <c r="D1776" s="36"/>
      <c r="E1776" s="36"/>
      <c r="F1776" s="36"/>
      <c r="G1776" s="36"/>
      <c r="H1776" s="36"/>
      <c r="I1776" s="29">
        <f>IFERROR(_xlfn.XLOOKUP(E1776,[1]EMPREENDIMENTO!C:C,[1]EMPREENDIMENTO!E:E),"0")</f>
        <v>0</v>
      </c>
      <c r="J1776" s="31"/>
      <c r="K1776" s="36"/>
      <c r="M1776" s="37"/>
      <c r="N1776" s="37"/>
      <c r="O1776" s="37"/>
      <c r="P1776" s="36"/>
      <c r="Q1776" s="36"/>
      <c r="R1776" s="31"/>
      <c r="S1776" s="31"/>
      <c r="T1776" s="38"/>
      <c r="U1776" s="39">
        <f>IFERROR(_xlfn.XLOOKUP(E1776,[1]EMPREENDIMENTO!C:C,[1]EMPREENDIMENTO!D:D),"")</f>
        <v>0</v>
      </c>
    </row>
    <row r="1777" spans="1:21" hidden="1" x14ac:dyDescent="0.35">
      <c r="A1777" s="36" t="str">
        <f>IFERROR(_xlfn.XLOOKUP(C1777,[1]DIRETORIA!C:C,[1]DIRETORIA!A:A),"-")</f>
        <v>-</v>
      </c>
      <c r="B1777" s="36" t="str">
        <f>IFERROR(_xlfn.XLOOKUP(C1777,[1]DIRETORIA!C:C,[1]DIRETORIA!B:B),"-")</f>
        <v>-</v>
      </c>
      <c r="C1777" s="36">
        <f>IFERROR(_xlfn.XLOOKUP(E1777,[1]EMPREENDIMENTO!C:C,[1]EMPREENDIMENTO!A:A),"-")</f>
        <v>0</v>
      </c>
      <c r="D1777" s="36"/>
      <c r="E1777" s="36"/>
      <c r="F1777" s="36"/>
      <c r="G1777" s="36"/>
      <c r="H1777" s="36"/>
      <c r="I1777" s="29">
        <f>IFERROR(_xlfn.XLOOKUP(E1777,[1]EMPREENDIMENTO!C:C,[1]EMPREENDIMENTO!E:E),"0")</f>
        <v>0</v>
      </c>
      <c r="J1777" s="31"/>
      <c r="K1777" s="36"/>
      <c r="M1777" s="37"/>
      <c r="N1777" s="37"/>
      <c r="O1777" s="37"/>
      <c r="P1777" s="36"/>
      <c r="Q1777" s="36"/>
      <c r="R1777" s="31"/>
      <c r="S1777" s="31"/>
      <c r="T1777" s="38"/>
      <c r="U1777" s="39">
        <f>IFERROR(_xlfn.XLOOKUP(E1777,[1]EMPREENDIMENTO!C:C,[1]EMPREENDIMENTO!D:D),"")</f>
        <v>0</v>
      </c>
    </row>
    <row r="1778" spans="1:21" hidden="1" x14ac:dyDescent="0.35">
      <c r="A1778" s="36" t="str">
        <f>IFERROR(_xlfn.XLOOKUP(C1778,[1]DIRETORIA!C:C,[1]DIRETORIA!A:A),"-")</f>
        <v>-</v>
      </c>
      <c r="B1778" s="36" t="str">
        <f>IFERROR(_xlfn.XLOOKUP(C1778,[1]DIRETORIA!C:C,[1]DIRETORIA!B:B),"-")</f>
        <v>-</v>
      </c>
      <c r="C1778" s="36">
        <f>IFERROR(_xlfn.XLOOKUP(E1778,[1]EMPREENDIMENTO!C:C,[1]EMPREENDIMENTO!A:A),"-")</f>
        <v>0</v>
      </c>
      <c r="D1778" s="36"/>
      <c r="E1778" s="36"/>
      <c r="F1778" s="36"/>
      <c r="G1778" s="36"/>
      <c r="H1778" s="36"/>
      <c r="I1778" s="29">
        <f>IFERROR(_xlfn.XLOOKUP(E1778,[1]EMPREENDIMENTO!C:C,[1]EMPREENDIMENTO!E:E),"0")</f>
        <v>0</v>
      </c>
      <c r="J1778" s="31"/>
      <c r="K1778" s="36"/>
      <c r="M1778" s="37"/>
      <c r="N1778" s="37"/>
      <c r="O1778" s="37"/>
      <c r="P1778" s="36"/>
      <c r="Q1778" s="36"/>
      <c r="R1778" s="31"/>
      <c r="S1778" s="31"/>
      <c r="T1778" s="38"/>
      <c r="U1778" s="39">
        <f>IFERROR(_xlfn.XLOOKUP(E1778,[1]EMPREENDIMENTO!C:C,[1]EMPREENDIMENTO!D:D),"")</f>
        <v>0</v>
      </c>
    </row>
    <row r="1779" spans="1:21" hidden="1" x14ac:dyDescent="0.35">
      <c r="A1779" s="36" t="str">
        <f>IFERROR(_xlfn.XLOOKUP(C1779,[1]DIRETORIA!C:C,[1]DIRETORIA!A:A),"-")</f>
        <v>-</v>
      </c>
      <c r="B1779" s="36" t="str">
        <f>IFERROR(_xlfn.XLOOKUP(C1779,[1]DIRETORIA!C:C,[1]DIRETORIA!B:B),"-")</f>
        <v>-</v>
      </c>
      <c r="C1779" s="36">
        <f>IFERROR(_xlfn.XLOOKUP(E1779,[1]EMPREENDIMENTO!C:C,[1]EMPREENDIMENTO!A:A),"-")</f>
        <v>0</v>
      </c>
      <c r="D1779" s="36"/>
      <c r="E1779" s="36"/>
      <c r="F1779" s="36"/>
      <c r="G1779" s="36"/>
      <c r="H1779" s="36"/>
      <c r="I1779" s="29">
        <f>IFERROR(_xlfn.XLOOKUP(E1779,[1]EMPREENDIMENTO!C:C,[1]EMPREENDIMENTO!E:E),"0")</f>
        <v>0</v>
      </c>
      <c r="J1779" s="31"/>
      <c r="K1779" s="36"/>
      <c r="M1779" s="37"/>
      <c r="N1779" s="37"/>
      <c r="O1779" s="37"/>
      <c r="P1779" s="36"/>
      <c r="Q1779" s="36"/>
      <c r="R1779" s="31"/>
      <c r="S1779" s="31"/>
      <c r="T1779" s="38"/>
      <c r="U1779" s="39">
        <f>IFERROR(_xlfn.XLOOKUP(E1779,[1]EMPREENDIMENTO!C:C,[1]EMPREENDIMENTO!D:D),"")</f>
        <v>0</v>
      </c>
    </row>
    <row r="1780" spans="1:21" hidden="1" x14ac:dyDescent="0.35">
      <c r="A1780" s="36" t="str">
        <f>IFERROR(_xlfn.XLOOKUP(C1780,[1]DIRETORIA!C:C,[1]DIRETORIA!A:A),"-")</f>
        <v>-</v>
      </c>
      <c r="B1780" s="36" t="str">
        <f>IFERROR(_xlfn.XLOOKUP(C1780,[1]DIRETORIA!C:C,[1]DIRETORIA!B:B),"-")</f>
        <v>-</v>
      </c>
      <c r="C1780" s="36">
        <f>IFERROR(_xlfn.XLOOKUP(E1780,[1]EMPREENDIMENTO!C:C,[1]EMPREENDIMENTO!A:A),"-")</f>
        <v>0</v>
      </c>
      <c r="D1780" s="36"/>
      <c r="E1780" s="36"/>
      <c r="F1780" s="36"/>
      <c r="G1780" s="36"/>
      <c r="H1780" s="36"/>
      <c r="I1780" s="29">
        <f>IFERROR(_xlfn.XLOOKUP(E1780,[1]EMPREENDIMENTO!C:C,[1]EMPREENDIMENTO!E:E),"0")</f>
        <v>0</v>
      </c>
      <c r="J1780" s="31"/>
      <c r="K1780" s="36"/>
      <c r="M1780" s="37"/>
      <c r="N1780" s="37"/>
      <c r="O1780" s="37"/>
      <c r="P1780" s="36"/>
      <c r="Q1780" s="36"/>
      <c r="R1780" s="31"/>
      <c r="S1780" s="31"/>
      <c r="T1780" s="38"/>
      <c r="U1780" s="39">
        <f>IFERROR(_xlfn.XLOOKUP(E1780,[1]EMPREENDIMENTO!C:C,[1]EMPREENDIMENTO!D:D),"")</f>
        <v>0</v>
      </c>
    </row>
    <row r="1781" spans="1:21" hidden="1" x14ac:dyDescent="0.35">
      <c r="A1781" s="36" t="str">
        <f>IFERROR(_xlfn.XLOOKUP(C1781,[1]DIRETORIA!C:C,[1]DIRETORIA!A:A),"-")</f>
        <v>-</v>
      </c>
      <c r="B1781" s="36" t="str">
        <f>IFERROR(_xlfn.XLOOKUP(C1781,[1]DIRETORIA!C:C,[1]DIRETORIA!B:B),"-")</f>
        <v>-</v>
      </c>
      <c r="C1781" s="36">
        <f>IFERROR(_xlfn.XLOOKUP(E1781,[1]EMPREENDIMENTO!C:C,[1]EMPREENDIMENTO!A:A),"-")</f>
        <v>0</v>
      </c>
      <c r="D1781" s="36"/>
      <c r="E1781" s="36"/>
      <c r="F1781" s="36"/>
      <c r="G1781" s="36"/>
      <c r="H1781" s="36"/>
      <c r="I1781" s="29">
        <f>IFERROR(_xlfn.XLOOKUP(E1781,[1]EMPREENDIMENTO!C:C,[1]EMPREENDIMENTO!E:E),"0")</f>
        <v>0</v>
      </c>
      <c r="J1781" s="31"/>
      <c r="K1781" s="36"/>
      <c r="M1781" s="37"/>
      <c r="N1781" s="37"/>
      <c r="O1781" s="37"/>
      <c r="P1781" s="36"/>
      <c r="Q1781" s="36"/>
      <c r="R1781" s="31"/>
      <c r="S1781" s="31"/>
      <c r="T1781" s="38"/>
      <c r="U1781" s="39">
        <f>IFERROR(_xlfn.XLOOKUP(E1781,[1]EMPREENDIMENTO!C:C,[1]EMPREENDIMENTO!D:D),"")</f>
        <v>0</v>
      </c>
    </row>
    <row r="1782" spans="1:21" hidden="1" x14ac:dyDescent="0.35">
      <c r="A1782" s="36" t="str">
        <f>IFERROR(_xlfn.XLOOKUP(C1782,[1]DIRETORIA!C:C,[1]DIRETORIA!A:A),"-")</f>
        <v>-</v>
      </c>
      <c r="B1782" s="36" t="str">
        <f>IFERROR(_xlfn.XLOOKUP(C1782,[1]DIRETORIA!C:C,[1]DIRETORIA!B:B),"-")</f>
        <v>-</v>
      </c>
      <c r="C1782" s="36">
        <f>IFERROR(_xlfn.XLOOKUP(E1782,[1]EMPREENDIMENTO!C:C,[1]EMPREENDIMENTO!A:A),"-")</f>
        <v>0</v>
      </c>
      <c r="D1782" s="36"/>
      <c r="E1782" s="36"/>
      <c r="F1782" s="36"/>
      <c r="G1782" s="36"/>
      <c r="H1782" s="36"/>
      <c r="I1782" s="29">
        <f>IFERROR(_xlfn.XLOOKUP(E1782,[1]EMPREENDIMENTO!C:C,[1]EMPREENDIMENTO!E:E),"0")</f>
        <v>0</v>
      </c>
      <c r="J1782" s="31"/>
      <c r="K1782" s="36"/>
      <c r="M1782" s="37"/>
      <c r="N1782" s="37"/>
      <c r="O1782" s="37"/>
      <c r="P1782" s="36"/>
      <c r="Q1782" s="36"/>
      <c r="R1782" s="31"/>
      <c r="S1782" s="31"/>
      <c r="T1782" s="38"/>
      <c r="U1782" s="39">
        <f>IFERROR(_xlfn.XLOOKUP(E1782,[1]EMPREENDIMENTO!C:C,[1]EMPREENDIMENTO!D:D),"")</f>
        <v>0</v>
      </c>
    </row>
    <row r="1783" spans="1:21" hidden="1" x14ac:dyDescent="0.35">
      <c r="A1783" s="36" t="str">
        <f>IFERROR(_xlfn.XLOOKUP(C1783,[1]DIRETORIA!C:C,[1]DIRETORIA!A:A),"-")</f>
        <v>-</v>
      </c>
      <c r="B1783" s="36" t="str">
        <f>IFERROR(_xlfn.XLOOKUP(C1783,[1]DIRETORIA!C:C,[1]DIRETORIA!B:B),"-")</f>
        <v>-</v>
      </c>
      <c r="C1783" s="36">
        <f>IFERROR(_xlfn.XLOOKUP(E1783,[1]EMPREENDIMENTO!C:C,[1]EMPREENDIMENTO!A:A),"-")</f>
        <v>0</v>
      </c>
      <c r="D1783" s="36"/>
      <c r="E1783" s="36"/>
      <c r="F1783" s="36"/>
      <c r="G1783" s="36"/>
      <c r="H1783" s="36"/>
      <c r="I1783" s="29">
        <f>IFERROR(_xlfn.XLOOKUP(E1783,[1]EMPREENDIMENTO!C:C,[1]EMPREENDIMENTO!E:E),"0")</f>
        <v>0</v>
      </c>
      <c r="J1783" s="31"/>
      <c r="K1783" s="36"/>
      <c r="M1783" s="37"/>
      <c r="N1783" s="37"/>
      <c r="O1783" s="37"/>
      <c r="P1783" s="36"/>
      <c r="Q1783" s="36"/>
      <c r="R1783" s="31"/>
      <c r="S1783" s="31"/>
      <c r="T1783" s="38"/>
      <c r="U1783" s="39">
        <f>IFERROR(_xlfn.XLOOKUP(E1783,[1]EMPREENDIMENTO!C:C,[1]EMPREENDIMENTO!D:D),"")</f>
        <v>0</v>
      </c>
    </row>
    <row r="1784" spans="1:21" hidden="1" x14ac:dyDescent="0.35">
      <c r="A1784" s="36" t="str">
        <f>IFERROR(_xlfn.XLOOKUP(C1784,[1]DIRETORIA!C:C,[1]DIRETORIA!A:A),"-")</f>
        <v>-</v>
      </c>
      <c r="B1784" s="36" t="str">
        <f>IFERROR(_xlfn.XLOOKUP(C1784,[1]DIRETORIA!C:C,[1]DIRETORIA!B:B),"-")</f>
        <v>-</v>
      </c>
      <c r="C1784" s="36">
        <f>IFERROR(_xlfn.XLOOKUP(E1784,[1]EMPREENDIMENTO!C:C,[1]EMPREENDIMENTO!A:A),"-")</f>
        <v>0</v>
      </c>
      <c r="D1784" s="36"/>
      <c r="E1784" s="36"/>
      <c r="F1784" s="36"/>
      <c r="G1784" s="36"/>
      <c r="H1784" s="36"/>
      <c r="I1784" s="29">
        <f>IFERROR(_xlfn.XLOOKUP(E1784,[1]EMPREENDIMENTO!C:C,[1]EMPREENDIMENTO!E:E),"0")</f>
        <v>0</v>
      </c>
      <c r="J1784" s="31"/>
      <c r="K1784" s="36"/>
      <c r="M1784" s="37"/>
      <c r="N1784" s="37"/>
      <c r="O1784" s="37"/>
      <c r="P1784" s="36"/>
      <c r="Q1784" s="36"/>
      <c r="R1784" s="31"/>
      <c r="S1784" s="31"/>
      <c r="T1784" s="38"/>
      <c r="U1784" s="39">
        <f>IFERROR(_xlfn.XLOOKUP(E1784,[1]EMPREENDIMENTO!C:C,[1]EMPREENDIMENTO!D:D),"")</f>
        <v>0</v>
      </c>
    </row>
    <row r="1785" spans="1:21" hidden="1" x14ac:dyDescent="0.35">
      <c r="A1785" s="36" t="str">
        <f>IFERROR(_xlfn.XLOOKUP(C1785,[1]DIRETORIA!C:C,[1]DIRETORIA!A:A),"-")</f>
        <v>-</v>
      </c>
      <c r="B1785" s="36" t="str">
        <f>IFERROR(_xlfn.XLOOKUP(C1785,[1]DIRETORIA!C:C,[1]DIRETORIA!B:B),"-")</f>
        <v>-</v>
      </c>
      <c r="C1785" s="36">
        <f>IFERROR(_xlfn.XLOOKUP(E1785,[1]EMPREENDIMENTO!C:C,[1]EMPREENDIMENTO!A:A),"-")</f>
        <v>0</v>
      </c>
      <c r="D1785" s="36"/>
      <c r="E1785" s="36"/>
      <c r="F1785" s="36"/>
      <c r="G1785" s="36"/>
      <c r="H1785" s="36"/>
      <c r="I1785" s="29">
        <f>IFERROR(_xlfn.XLOOKUP(E1785,[1]EMPREENDIMENTO!C:C,[1]EMPREENDIMENTO!E:E),"0")</f>
        <v>0</v>
      </c>
      <c r="J1785" s="31"/>
      <c r="K1785" s="36"/>
      <c r="M1785" s="37"/>
      <c r="N1785" s="37"/>
      <c r="O1785" s="37"/>
      <c r="P1785" s="36"/>
      <c r="Q1785" s="36"/>
      <c r="R1785" s="31"/>
      <c r="S1785" s="31"/>
      <c r="T1785" s="38"/>
      <c r="U1785" s="39">
        <f>IFERROR(_xlfn.XLOOKUP(E1785,[1]EMPREENDIMENTO!C:C,[1]EMPREENDIMENTO!D:D),"")</f>
        <v>0</v>
      </c>
    </row>
    <row r="1786" spans="1:21" hidden="1" x14ac:dyDescent="0.35">
      <c r="A1786" s="36"/>
      <c r="B1786" s="36"/>
      <c r="C1786" s="36"/>
      <c r="D1786" s="36"/>
      <c r="E1786" s="36"/>
      <c r="F1786" s="36"/>
      <c r="G1786" s="36"/>
      <c r="H1786" s="36"/>
      <c r="I1786" s="40"/>
      <c r="J1786" s="31"/>
      <c r="K1786" s="36"/>
      <c r="M1786" s="37"/>
      <c r="N1786" s="37"/>
      <c r="O1786" s="37"/>
      <c r="P1786" s="36"/>
      <c r="Q1786" s="36"/>
      <c r="R1786" s="31"/>
      <c r="S1786" s="31"/>
      <c r="T1786" s="38"/>
      <c r="U1786" s="39">
        <f>IFERROR(_xlfn.XLOOKUP(E1786,[1]EMPREENDIMENTO!C:C,[1]EMPREENDIMENTO!D:D),"")</f>
        <v>0</v>
      </c>
    </row>
    <row r="1787" spans="1:21" hidden="1" x14ac:dyDescent="0.35">
      <c r="A1787" s="36"/>
      <c r="B1787" s="36"/>
      <c r="C1787" s="36"/>
      <c r="D1787" s="36"/>
      <c r="E1787" s="36"/>
      <c r="F1787" s="36"/>
      <c r="G1787" s="36"/>
      <c r="H1787" s="36"/>
      <c r="I1787" s="40"/>
      <c r="J1787" s="31"/>
      <c r="K1787" s="36"/>
      <c r="M1787" s="37"/>
      <c r="N1787" s="37"/>
      <c r="O1787" s="37"/>
      <c r="P1787" s="36"/>
      <c r="Q1787" s="36"/>
      <c r="R1787" s="31"/>
      <c r="S1787" s="31"/>
      <c r="T1787" s="38"/>
      <c r="U1787" s="39">
        <f>IFERROR(_xlfn.XLOOKUP(E1787,[1]EMPREENDIMENTO!C:C,[1]EMPREENDIMENTO!D:D),"")</f>
        <v>0</v>
      </c>
    </row>
    <row r="1788" spans="1:21" hidden="1" x14ac:dyDescent="0.35">
      <c r="A1788" s="36"/>
      <c r="B1788" s="36"/>
      <c r="C1788" s="36"/>
      <c r="D1788" s="36"/>
      <c r="E1788" s="36"/>
      <c r="F1788" s="36"/>
      <c r="G1788" s="36"/>
      <c r="H1788" s="36"/>
      <c r="I1788" s="40"/>
      <c r="J1788" s="31"/>
      <c r="K1788" s="36"/>
      <c r="M1788" s="37"/>
      <c r="N1788" s="37"/>
      <c r="O1788" s="37"/>
      <c r="P1788" s="36"/>
      <c r="Q1788" s="36"/>
      <c r="R1788" s="31"/>
      <c r="S1788" s="31"/>
      <c r="T1788" s="38"/>
      <c r="U1788" s="39">
        <f>IFERROR(_xlfn.XLOOKUP(E1788,[1]EMPREENDIMENTO!C:C,[1]EMPREENDIMENTO!D:D),"")</f>
        <v>0</v>
      </c>
    </row>
    <row r="1789" spans="1:21" hidden="1" x14ac:dyDescent="0.35">
      <c r="A1789" s="36"/>
      <c r="B1789" s="36"/>
      <c r="C1789" s="36"/>
      <c r="D1789" s="36"/>
      <c r="E1789" s="36"/>
      <c r="F1789" s="36"/>
      <c r="G1789" s="36"/>
      <c r="H1789" s="36"/>
      <c r="I1789" s="40"/>
      <c r="J1789" s="31"/>
      <c r="K1789" s="36"/>
      <c r="M1789" s="37"/>
      <c r="N1789" s="37"/>
      <c r="O1789" s="37"/>
      <c r="P1789" s="36"/>
      <c r="Q1789" s="36"/>
      <c r="R1789" s="31"/>
      <c r="S1789" s="31"/>
      <c r="T1789" s="38"/>
      <c r="U1789" s="39">
        <f>IFERROR(_xlfn.XLOOKUP(E1789,[1]EMPREENDIMENTO!C:C,[1]EMPREENDIMENTO!D:D),"")</f>
        <v>0</v>
      </c>
    </row>
    <row r="1790" spans="1:21" hidden="1" x14ac:dyDescent="0.35">
      <c r="A1790" s="36"/>
      <c r="B1790" s="36"/>
      <c r="C1790" s="36"/>
      <c r="D1790" s="36"/>
      <c r="E1790" s="36"/>
      <c r="F1790" s="36"/>
      <c r="G1790" s="36"/>
      <c r="H1790" s="36"/>
      <c r="I1790" s="40"/>
      <c r="J1790" s="31"/>
      <c r="K1790" s="36"/>
      <c r="M1790" s="37"/>
      <c r="N1790" s="37"/>
      <c r="O1790" s="37"/>
      <c r="P1790" s="36"/>
      <c r="Q1790" s="36"/>
      <c r="R1790" s="31"/>
      <c r="S1790" s="31"/>
      <c r="T1790" s="38"/>
      <c r="U1790" s="39">
        <f>IFERROR(_xlfn.XLOOKUP(E1790,[1]EMPREENDIMENTO!C:C,[1]EMPREENDIMENTO!D:D),"")</f>
        <v>0</v>
      </c>
    </row>
    <row r="1791" spans="1:21" hidden="1" x14ac:dyDescent="0.35">
      <c r="A1791" s="36"/>
      <c r="B1791" s="36"/>
      <c r="C1791" s="36"/>
      <c r="D1791" s="36"/>
      <c r="E1791" s="36"/>
      <c r="F1791" s="36"/>
      <c r="G1791" s="36"/>
      <c r="H1791" s="36"/>
      <c r="I1791" s="40"/>
      <c r="J1791" s="31"/>
      <c r="K1791" s="36"/>
      <c r="M1791" s="37"/>
      <c r="N1791" s="37"/>
      <c r="O1791" s="37"/>
      <c r="P1791" s="36"/>
      <c r="Q1791" s="36"/>
      <c r="R1791" s="31"/>
      <c r="S1791" s="31"/>
      <c r="T1791" s="38"/>
      <c r="U1791" s="39">
        <f>IFERROR(_xlfn.XLOOKUP(E1791,[1]EMPREENDIMENTO!C:C,[1]EMPREENDIMENTO!D:D),"")</f>
        <v>0</v>
      </c>
    </row>
    <row r="1792" spans="1:21" hidden="1" x14ac:dyDescent="0.35">
      <c r="A1792" s="36"/>
      <c r="B1792" s="36"/>
      <c r="C1792" s="36"/>
      <c r="D1792" s="36"/>
      <c r="E1792" s="36"/>
      <c r="F1792" s="36"/>
      <c r="G1792" s="36"/>
      <c r="H1792" s="36"/>
      <c r="I1792" s="40"/>
      <c r="J1792" s="31"/>
      <c r="K1792" s="36"/>
      <c r="M1792" s="37"/>
      <c r="N1792" s="37"/>
      <c r="O1792" s="37"/>
      <c r="P1792" s="36"/>
      <c r="Q1792" s="36"/>
      <c r="R1792" s="31"/>
      <c r="S1792" s="31"/>
      <c r="T1792" s="38"/>
      <c r="U1792" s="39">
        <f>IFERROR(_xlfn.XLOOKUP(E1792,[1]EMPREENDIMENTO!C:C,[1]EMPREENDIMENTO!D:D),"")</f>
        <v>0</v>
      </c>
    </row>
    <row r="1793" spans="1:21" hidden="1" x14ac:dyDescent="0.35">
      <c r="A1793" s="36"/>
      <c r="B1793" s="36"/>
      <c r="C1793" s="36"/>
      <c r="D1793" s="36"/>
      <c r="E1793" s="36"/>
      <c r="F1793" s="36"/>
      <c r="G1793" s="36"/>
      <c r="H1793" s="36"/>
      <c r="I1793" s="40"/>
      <c r="J1793" s="31"/>
      <c r="K1793" s="36"/>
      <c r="M1793" s="37"/>
      <c r="N1793" s="37"/>
      <c r="O1793" s="37"/>
      <c r="P1793" s="36"/>
      <c r="Q1793" s="36"/>
      <c r="R1793" s="31"/>
      <c r="S1793" s="31"/>
      <c r="T1793" s="38"/>
      <c r="U1793" s="39">
        <f>IFERROR(_xlfn.XLOOKUP(E1793,[1]EMPREENDIMENTO!C:C,[1]EMPREENDIMENTO!D:D),"")</f>
        <v>0</v>
      </c>
    </row>
    <row r="1794" spans="1:21" hidden="1" x14ac:dyDescent="0.35">
      <c r="A1794" s="36"/>
      <c r="B1794" s="36"/>
      <c r="C1794" s="36"/>
      <c r="D1794" s="36"/>
      <c r="E1794" s="36"/>
      <c r="F1794" s="36"/>
      <c r="G1794" s="36"/>
      <c r="H1794" s="36"/>
      <c r="I1794" s="40"/>
      <c r="J1794" s="31"/>
      <c r="K1794" s="36"/>
      <c r="M1794" s="37"/>
      <c r="N1794" s="37"/>
      <c r="O1794" s="37"/>
      <c r="P1794" s="36"/>
      <c r="Q1794" s="36"/>
      <c r="R1794" s="31"/>
      <c r="S1794" s="31"/>
      <c r="T1794" s="38"/>
      <c r="U1794" s="39">
        <f>IFERROR(_xlfn.XLOOKUP(E1794,[1]EMPREENDIMENTO!C:C,[1]EMPREENDIMENTO!D:D),"")</f>
        <v>0</v>
      </c>
    </row>
    <row r="1795" spans="1:21" hidden="1" x14ac:dyDescent="0.35">
      <c r="A1795" s="36"/>
      <c r="B1795" s="36"/>
      <c r="C1795" s="36"/>
      <c r="D1795" s="36"/>
      <c r="E1795" s="36"/>
      <c r="F1795" s="36"/>
      <c r="G1795" s="36"/>
      <c r="H1795" s="36"/>
      <c r="I1795" s="40"/>
      <c r="J1795" s="31"/>
      <c r="K1795" s="36"/>
      <c r="M1795" s="37"/>
      <c r="N1795" s="37"/>
      <c r="O1795" s="37"/>
      <c r="P1795" s="36"/>
      <c r="Q1795" s="36"/>
      <c r="R1795" s="31"/>
      <c r="S1795" s="31"/>
      <c r="T1795" s="38"/>
      <c r="U1795" s="39">
        <f>IFERROR(_xlfn.XLOOKUP(E1795,[1]EMPREENDIMENTO!C:C,[1]EMPREENDIMENTO!D:D),"")</f>
        <v>0</v>
      </c>
    </row>
    <row r="1796" spans="1:21" hidden="1" x14ac:dyDescent="0.35">
      <c r="A1796" s="36"/>
      <c r="B1796" s="36"/>
      <c r="C1796" s="36"/>
      <c r="D1796" s="36"/>
      <c r="E1796" s="36"/>
      <c r="F1796" s="36"/>
      <c r="G1796" s="36"/>
      <c r="H1796" s="36"/>
      <c r="I1796" s="40"/>
      <c r="J1796" s="31"/>
      <c r="K1796" s="36"/>
      <c r="M1796" s="37"/>
      <c r="N1796" s="37"/>
      <c r="O1796" s="37"/>
      <c r="P1796" s="36"/>
      <c r="Q1796" s="36"/>
      <c r="R1796" s="31"/>
      <c r="S1796" s="31"/>
      <c r="T1796" s="38"/>
      <c r="U1796" s="39">
        <f>IFERROR(_xlfn.XLOOKUP(E1796,[1]EMPREENDIMENTO!C:C,[1]EMPREENDIMENTO!D:D),"")</f>
        <v>0</v>
      </c>
    </row>
    <row r="1797" spans="1:21" hidden="1" x14ac:dyDescent="0.35">
      <c r="A1797" s="36"/>
      <c r="B1797" s="36"/>
      <c r="C1797" s="36"/>
      <c r="D1797" s="36"/>
      <c r="E1797" s="36"/>
      <c r="F1797" s="36"/>
      <c r="G1797" s="36"/>
      <c r="H1797" s="36"/>
      <c r="I1797" s="40"/>
      <c r="J1797" s="31"/>
      <c r="K1797" s="36"/>
      <c r="M1797" s="37"/>
      <c r="N1797" s="37"/>
      <c r="O1797" s="37"/>
      <c r="P1797" s="36"/>
      <c r="Q1797" s="36"/>
      <c r="R1797" s="31"/>
      <c r="S1797" s="31"/>
      <c r="T1797" s="38"/>
      <c r="U1797" s="39">
        <f>IFERROR(_xlfn.XLOOKUP(E1797,[1]EMPREENDIMENTO!C:C,[1]EMPREENDIMENTO!D:D),"")</f>
        <v>0</v>
      </c>
    </row>
    <row r="1798" spans="1:21" hidden="1" x14ac:dyDescent="0.35">
      <c r="A1798" s="36"/>
      <c r="B1798" s="36"/>
      <c r="C1798" s="36"/>
      <c r="D1798" s="36"/>
      <c r="E1798" s="36"/>
      <c r="F1798" s="36"/>
      <c r="G1798" s="36"/>
      <c r="H1798" s="36"/>
      <c r="I1798" s="40"/>
      <c r="J1798" s="31"/>
      <c r="K1798" s="36"/>
      <c r="M1798" s="37"/>
      <c r="N1798" s="37"/>
      <c r="O1798" s="37"/>
      <c r="P1798" s="36"/>
      <c r="Q1798" s="36"/>
      <c r="R1798" s="31"/>
      <c r="S1798" s="31"/>
      <c r="T1798" s="38"/>
      <c r="U1798" s="39">
        <f>IFERROR(_xlfn.XLOOKUP(E1798,[1]EMPREENDIMENTO!C:C,[1]EMPREENDIMENTO!D:D),"")</f>
        <v>0</v>
      </c>
    </row>
    <row r="1799" spans="1:21" hidden="1" x14ac:dyDescent="0.35">
      <c r="A1799" s="36"/>
      <c r="B1799" s="36"/>
      <c r="C1799" s="36"/>
      <c r="D1799" s="36"/>
      <c r="E1799" s="36"/>
      <c r="F1799" s="36"/>
      <c r="G1799" s="36"/>
      <c r="H1799" s="36"/>
      <c r="I1799" s="40"/>
      <c r="J1799" s="31"/>
      <c r="K1799" s="36"/>
      <c r="M1799" s="37"/>
      <c r="N1799" s="37"/>
      <c r="O1799" s="37"/>
      <c r="P1799" s="36"/>
      <c r="Q1799" s="36"/>
      <c r="R1799" s="31"/>
      <c r="S1799" s="31"/>
      <c r="T1799" s="38"/>
      <c r="U1799" s="39">
        <f>IFERROR(_xlfn.XLOOKUP(E1799,[1]EMPREENDIMENTO!C:C,[1]EMPREENDIMENTO!D:D),"")</f>
        <v>0</v>
      </c>
    </row>
    <row r="1800" spans="1:21" hidden="1" x14ac:dyDescent="0.35">
      <c r="A1800" s="36"/>
      <c r="B1800" s="36"/>
      <c r="C1800" s="36"/>
      <c r="D1800" s="36"/>
      <c r="E1800" s="36"/>
      <c r="F1800" s="36"/>
      <c r="G1800" s="36"/>
      <c r="H1800" s="36"/>
      <c r="I1800" s="40"/>
      <c r="J1800" s="31"/>
      <c r="K1800" s="36"/>
      <c r="M1800" s="37"/>
      <c r="N1800" s="37"/>
      <c r="O1800" s="37"/>
      <c r="P1800" s="36"/>
      <c r="Q1800" s="36"/>
      <c r="R1800" s="31"/>
      <c r="S1800" s="31"/>
      <c r="T1800" s="38"/>
      <c r="U1800" s="39">
        <f>IFERROR(_xlfn.XLOOKUP(E1800,[1]EMPREENDIMENTO!C:C,[1]EMPREENDIMENTO!D:D),"")</f>
        <v>0</v>
      </c>
    </row>
    <row r="1801" spans="1:21" hidden="1" x14ac:dyDescent="0.35">
      <c r="A1801" s="36"/>
      <c r="B1801" s="36"/>
      <c r="C1801" s="36"/>
      <c r="D1801" s="36"/>
      <c r="E1801" s="36"/>
      <c r="F1801" s="36"/>
      <c r="G1801" s="36"/>
      <c r="H1801" s="36"/>
      <c r="I1801" s="40"/>
      <c r="J1801" s="31"/>
      <c r="K1801" s="36"/>
      <c r="M1801" s="37"/>
      <c r="N1801" s="37"/>
      <c r="O1801" s="37"/>
      <c r="P1801" s="36"/>
      <c r="Q1801" s="36"/>
      <c r="R1801" s="31"/>
      <c r="S1801" s="31"/>
      <c r="T1801" s="38"/>
      <c r="U1801" s="39">
        <f>IFERROR(_xlfn.XLOOKUP(E1801,[1]EMPREENDIMENTO!C:C,[1]EMPREENDIMENTO!D:D),"")</f>
        <v>0</v>
      </c>
    </row>
    <row r="1802" spans="1:21" hidden="1" x14ac:dyDescent="0.35">
      <c r="A1802" s="36"/>
      <c r="B1802" s="36"/>
      <c r="C1802" s="36"/>
      <c r="D1802" s="36"/>
      <c r="E1802" s="36"/>
      <c r="F1802" s="36"/>
      <c r="G1802" s="36"/>
      <c r="H1802" s="36"/>
      <c r="I1802" s="40"/>
      <c r="J1802" s="31"/>
      <c r="K1802" s="36"/>
      <c r="M1802" s="37"/>
      <c r="N1802" s="37"/>
      <c r="O1802" s="37"/>
      <c r="P1802" s="36"/>
      <c r="Q1802" s="36"/>
      <c r="R1802" s="31"/>
      <c r="S1802" s="31"/>
      <c r="T1802" s="38"/>
      <c r="U1802" s="39">
        <f>IFERROR(_xlfn.XLOOKUP(E1802,[1]EMPREENDIMENTO!C:C,[1]EMPREENDIMENTO!D:D),"")</f>
        <v>0</v>
      </c>
    </row>
    <row r="1803" spans="1:21" hidden="1" x14ac:dyDescent="0.35">
      <c r="A1803" s="36"/>
      <c r="B1803" s="36"/>
      <c r="C1803" s="36"/>
      <c r="D1803" s="36"/>
      <c r="E1803" s="36"/>
      <c r="F1803" s="36"/>
      <c r="G1803" s="36"/>
      <c r="H1803" s="36"/>
      <c r="I1803" s="40"/>
      <c r="J1803" s="31"/>
      <c r="K1803" s="36"/>
      <c r="M1803" s="37"/>
      <c r="N1803" s="37"/>
      <c r="O1803" s="37"/>
      <c r="P1803" s="36"/>
      <c r="Q1803" s="36"/>
      <c r="R1803" s="31"/>
      <c r="S1803" s="31"/>
      <c r="T1803" s="38"/>
      <c r="U1803" s="39">
        <f>IFERROR(_xlfn.XLOOKUP(E1803,[1]EMPREENDIMENTO!C:C,[1]EMPREENDIMENTO!D:D),"")</f>
        <v>0</v>
      </c>
    </row>
    <row r="1804" spans="1:21" hidden="1" x14ac:dyDescent="0.35">
      <c r="A1804" s="36"/>
      <c r="B1804" s="36"/>
      <c r="C1804" s="36"/>
      <c r="D1804" s="36"/>
      <c r="E1804" s="36"/>
      <c r="F1804" s="36"/>
      <c r="G1804" s="36"/>
      <c r="H1804" s="36"/>
      <c r="I1804" s="40"/>
      <c r="J1804" s="31"/>
      <c r="K1804" s="36"/>
      <c r="M1804" s="37"/>
      <c r="N1804" s="37"/>
      <c r="O1804" s="37"/>
      <c r="P1804" s="36"/>
      <c r="Q1804" s="36"/>
      <c r="R1804" s="31"/>
      <c r="S1804" s="31"/>
      <c r="T1804" s="38"/>
      <c r="U1804" s="39">
        <f>IFERROR(_xlfn.XLOOKUP(E1804,[1]EMPREENDIMENTO!C:C,[1]EMPREENDIMENTO!D:D),"")</f>
        <v>0</v>
      </c>
    </row>
    <row r="1805" spans="1:21" hidden="1" x14ac:dyDescent="0.35">
      <c r="A1805" s="36"/>
      <c r="B1805" s="36"/>
      <c r="C1805" s="36"/>
      <c r="D1805" s="36"/>
      <c r="E1805" s="36"/>
      <c r="F1805" s="36"/>
      <c r="G1805" s="36"/>
      <c r="H1805" s="36"/>
      <c r="I1805" s="40"/>
      <c r="J1805" s="31"/>
      <c r="K1805" s="36"/>
      <c r="M1805" s="37"/>
      <c r="N1805" s="37"/>
      <c r="O1805" s="37"/>
      <c r="P1805" s="36"/>
      <c r="Q1805" s="36"/>
      <c r="R1805" s="31"/>
      <c r="S1805" s="31"/>
      <c r="T1805" s="38"/>
      <c r="U1805" s="39">
        <f>IFERROR(_xlfn.XLOOKUP(E1805,[1]EMPREENDIMENTO!C:C,[1]EMPREENDIMENTO!D:D),"")</f>
        <v>0</v>
      </c>
    </row>
    <row r="1806" spans="1:21" hidden="1" x14ac:dyDescent="0.35">
      <c r="A1806" s="36"/>
      <c r="B1806" s="36"/>
      <c r="C1806" s="36"/>
      <c r="D1806" s="36"/>
      <c r="E1806" s="36"/>
      <c r="F1806" s="36"/>
      <c r="G1806" s="36"/>
      <c r="H1806" s="36"/>
      <c r="I1806" s="40"/>
      <c r="J1806" s="31"/>
      <c r="K1806" s="36"/>
      <c r="M1806" s="37"/>
      <c r="N1806" s="37"/>
      <c r="O1806" s="37"/>
      <c r="P1806" s="36"/>
      <c r="Q1806" s="36"/>
      <c r="R1806" s="31"/>
      <c r="S1806" s="31"/>
      <c r="T1806" s="38"/>
      <c r="U1806" s="39">
        <f>IFERROR(_xlfn.XLOOKUP(E1806,[1]EMPREENDIMENTO!C:C,[1]EMPREENDIMENTO!D:D),"")</f>
        <v>0</v>
      </c>
    </row>
    <row r="1807" spans="1:21" hidden="1" x14ac:dyDescent="0.35">
      <c r="A1807" s="36"/>
      <c r="B1807" s="36"/>
      <c r="C1807" s="36"/>
      <c r="D1807" s="36"/>
      <c r="E1807" s="36"/>
      <c r="F1807" s="36"/>
      <c r="G1807" s="36"/>
      <c r="H1807" s="36"/>
      <c r="I1807" s="40"/>
      <c r="J1807" s="31"/>
      <c r="K1807" s="36"/>
      <c r="M1807" s="37"/>
      <c r="N1807" s="37"/>
      <c r="O1807" s="37"/>
      <c r="P1807" s="36"/>
      <c r="Q1807" s="36"/>
      <c r="R1807" s="31"/>
      <c r="S1807" s="31"/>
      <c r="T1807" s="38"/>
      <c r="U1807" s="39">
        <f>IFERROR(_xlfn.XLOOKUP(E1807,[1]EMPREENDIMENTO!C:C,[1]EMPREENDIMENTO!D:D),"")</f>
        <v>0</v>
      </c>
    </row>
    <row r="1808" spans="1:21" hidden="1" x14ac:dyDescent="0.35">
      <c r="A1808" s="36"/>
      <c r="B1808" s="36"/>
      <c r="C1808" s="36"/>
      <c r="D1808" s="36"/>
      <c r="E1808" s="36"/>
      <c r="F1808" s="36"/>
      <c r="G1808" s="36"/>
      <c r="H1808" s="36"/>
      <c r="I1808" s="40"/>
      <c r="J1808" s="31"/>
      <c r="K1808" s="36"/>
      <c r="M1808" s="37"/>
      <c r="N1808" s="37"/>
      <c r="O1808" s="37"/>
      <c r="P1808" s="36"/>
      <c r="Q1808" s="36"/>
      <c r="R1808" s="31"/>
      <c r="S1808" s="31"/>
      <c r="T1808" s="38"/>
      <c r="U1808" s="39">
        <f>IFERROR(_xlfn.XLOOKUP(E1808,[1]EMPREENDIMENTO!C:C,[1]EMPREENDIMENTO!D:D),"")</f>
        <v>0</v>
      </c>
    </row>
    <row r="1809" spans="1:21" hidden="1" x14ac:dyDescent="0.35">
      <c r="A1809" s="36"/>
      <c r="B1809" s="36"/>
      <c r="C1809" s="36"/>
      <c r="D1809" s="36"/>
      <c r="E1809" s="36"/>
      <c r="F1809" s="36"/>
      <c r="G1809" s="36"/>
      <c r="H1809" s="36"/>
      <c r="I1809" s="40"/>
      <c r="J1809" s="31"/>
      <c r="K1809" s="36"/>
      <c r="M1809" s="37"/>
      <c r="N1809" s="37"/>
      <c r="O1809" s="37"/>
      <c r="P1809" s="36"/>
      <c r="Q1809" s="36"/>
      <c r="R1809" s="31"/>
      <c r="S1809" s="31"/>
      <c r="T1809" s="38"/>
      <c r="U1809" s="39">
        <f>IFERROR(_xlfn.XLOOKUP(E1809,[1]EMPREENDIMENTO!C:C,[1]EMPREENDIMENTO!D:D),"")</f>
        <v>0</v>
      </c>
    </row>
    <row r="1810" spans="1:21" hidden="1" x14ac:dyDescent="0.35">
      <c r="A1810" s="36"/>
      <c r="B1810" s="36"/>
      <c r="C1810" s="36"/>
      <c r="D1810" s="36"/>
      <c r="E1810" s="36"/>
      <c r="F1810" s="36"/>
      <c r="G1810" s="36"/>
      <c r="H1810" s="36"/>
      <c r="I1810" s="40"/>
      <c r="J1810" s="31"/>
      <c r="K1810" s="36"/>
      <c r="M1810" s="37"/>
      <c r="N1810" s="37"/>
      <c r="O1810" s="37"/>
      <c r="P1810" s="36"/>
      <c r="Q1810" s="36"/>
      <c r="R1810" s="31"/>
      <c r="S1810" s="31"/>
      <c r="T1810" s="38"/>
      <c r="U1810" s="39">
        <f>IFERROR(_xlfn.XLOOKUP(E1810,[1]EMPREENDIMENTO!C:C,[1]EMPREENDIMENTO!D:D),"")</f>
        <v>0</v>
      </c>
    </row>
    <row r="1811" spans="1:21" hidden="1" x14ac:dyDescent="0.35">
      <c r="A1811" s="36"/>
      <c r="B1811" s="36"/>
      <c r="C1811" s="36"/>
      <c r="D1811" s="36"/>
      <c r="E1811" s="36"/>
      <c r="F1811" s="36"/>
      <c r="G1811" s="36"/>
      <c r="H1811" s="36"/>
      <c r="I1811" s="40"/>
      <c r="J1811" s="31"/>
      <c r="K1811" s="36"/>
      <c r="M1811" s="37"/>
      <c r="N1811" s="37"/>
      <c r="O1811" s="37"/>
      <c r="P1811" s="36"/>
      <c r="Q1811" s="36"/>
      <c r="R1811" s="31"/>
      <c r="S1811" s="31"/>
      <c r="T1811" s="38"/>
      <c r="U1811" s="39">
        <f>IFERROR(_xlfn.XLOOKUP(E1811,[1]EMPREENDIMENTO!C:C,[1]EMPREENDIMENTO!D:D),"")</f>
        <v>0</v>
      </c>
    </row>
    <row r="1812" spans="1:21" hidden="1" x14ac:dyDescent="0.35">
      <c r="A1812" s="36"/>
      <c r="B1812" s="36"/>
      <c r="C1812" s="36"/>
      <c r="D1812" s="36"/>
      <c r="E1812" s="36"/>
      <c r="F1812" s="36"/>
      <c r="G1812" s="36"/>
      <c r="H1812" s="36"/>
      <c r="I1812" s="40"/>
      <c r="J1812" s="31"/>
      <c r="K1812" s="36"/>
      <c r="M1812" s="37"/>
      <c r="N1812" s="37"/>
      <c r="O1812" s="37"/>
      <c r="P1812" s="36"/>
      <c r="Q1812" s="36"/>
      <c r="R1812" s="31"/>
      <c r="S1812" s="31"/>
      <c r="T1812" s="38"/>
      <c r="U1812" s="39">
        <f>IFERROR(_xlfn.XLOOKUP(E1812,[1]EMPREENDIMENTO!C:C,[1]EMPREENDIMENTO!D:D),"")</f>
        <v>0</v>
      </c>
    </row>
    <row r="1813" spans="1:21" hidden="1" x14ac:dyDescent="0.35">
      <c r="A1813" s="36"/>
      <c r="B1813" s="36"/>
      <c r="C1813" s="36"/>
      <c r="D1813" s="36"/>
      <c r="E1813" s="36"/>
      <c r="F1813" s="36"/>
      <c r="G1813" s="36"/>
      <c r="H1813" s="36"/>
      <c r="I1813" s="40"/>
      <c r="J1813" s="31"/>
      <c r="K1813" s="36"/>
      <c r="M1813" s="37"/>
      <c r="N1813" s="37"/>
      <c r="O1813" s="37"/>
      <c r="P1813" s="36"/>
      <c r="Q1813" s="36"/>
      <c r="R1813" s="31"/>
      <c r="S1813" s="31"/>
      <c r="T1813" s="38"/>
      <c r="U1813" s="39">
        <f>IFERROR(_xlfn.XLOOKUP(E1813,[1]EMPREENDIMENTO!C:C,[1]EMPREENDIMENTO!D:D),"")</f>
        <v>0</v>
      </c>
    </row>
    <row r="1814" spans="1:21" hidden="1" x14ac:dyDescent="0.35">
      <c r="A1814" s="36"/>
      <c r="B1814" s="36"/>
      <c r="C1814" s="36"/>
      <c r="D1814" s="36"/>
      <c r="E1814" s="36"/>
      <c r="F1814" s="36"/>
      <c r="G1814" s="36"/>
      <c r="H1814" s="36"/>
      <c r="I1814" s="40"/>
      <c r="J1814" s="31"/>
      <c r="K1814" s="36"/>
      <c r="M1814" s="37"/>
      <c r="N1814" s="37"/>
      <c r="O1814" s="37"/>
      <c r="P1814" s="36"/>
      <c r="Q1814" s="36"/>
      <c r="R1814" s="31"/>
      <c r="S1814" s="31"/>
      <c r="T1814" s="38"/>
      <c r="U1814" s="39">
        <f>IFERROR(_xlfn.XLOOKUP(E1814,[1]EMPREENDIMENTO!C:C,[1]EMPREENDIMENTO!D:D),"")</f>
        <v>0</v>
      </c>
    </row>
    <row r="1815" spans="1:21" hidden="1" x14ac:dyDescent="0.35">
      <c r="A1815" s="36"/>
      <c r="B1815" s="36"/>
      <c r="C1815" s="36"/>
      <c r="D1815" s="36"/>
      <c r="E1815" s="36"/>
      <c r="F1815" s="36"/>
      <c r="G1815" s="36"/>
      <c r="H1815" s="36"/>
      <c r="I1815" s="40"/>
      <c r="J1815" s="31"/>
      <c r="K1815" s="36"/>
      <c r="M1815" s="37"/>
      <c r="N1815" s="37"/>
      <c r="O1815" s="37"/>
      <c r="P1815" s="36"/>
      <c r="Q1815" s="36"/>
      <c r="R1815" s="31"/>
      <c r="S1815" s="31"/>
      <c r="T1815" s="38"/>
      <c r="U1815" s="39">
        <f>IFERROR(_xlfn.XLOOKUP(E1815,[1]EMPREENDIMENTO!C:C,[1]EMPREENDIMENTO!D:D),"")</f>
        <v>0</v>
      </c>
    </row>
    <row r="1816" spans="1:21" hidden="1" x14ac:dyDescent="0.35">
      <c r="A1816" s="36"/>
      <c r="B1816" s="36"/>
      <c r="C1816" s="36"/>
      <c r="D1816" s="36"/>
      <c r="E1816" s="36"/>
      <c r="F1816" s="36"/>
      <c r="G1816" s="36"/>
      <c r="H1816" s="36"/>
      <c r="I1816" s="40"/>
      <c r="J1816" s="31"/>
      <c r="K1816" s="36"/>
      <c r="M1816" s="37"/>
      <c r="N1816" s="37"/>
      <c r="O1816" s="37"/>
      <c r="P1816" s="36"/>
      <c r="Q1816" s="36"/>
      <c r="R1816" s="31"/>
      <c r="S1816" s="31"/>
      <c r="T1816" s="38"/>
      <c r="U1816" s="39">
        <f>IFERROR(_xlfn.XLOOKUP(E1816,[1]EMPREENDIMENTO!C:C,[1]EMPREENDIMENTO!D:D),"")</f>
        <v>0</v>
      </c>
    </row>
    <row r="1817" spans="1:21" hidden="1" x14ac:dyDescent="0.35">
      <c r="A1817" s="36"/>
      <c r="B1817" s="36"/>
      <c r="C1817" s="36"/>
      <c r="D1817" s="36"/>
      <c r="E1817" s="36"/>
      <c r="F1817" s="36"/>
      <c r="G1817" s="36"/>
      <c r="H1817" s="36"/>
      <c r="I1817" s="40"/>
      <c r="J1817" s="31"/>
      <c r="K1817" s="36"/>
      <c r="M1817" s="37"/>
      <c r="N1817" s="37"/>
      <c r="O1817" s="37"/>
      <c r="P1817" s="36"/>
      <c r="Q1817" s="36"/>
      <c r="R1817" s="31"/>
      <c r="S1817" s="31"/>
      <c r="T1817" s="38"/>
      <c r="U1817" s="39">
        <f>IFERROR(_xlfn.XLOOKUP(E1817,[1]EMPREENDIMENTO!C:C,[1]EMPREENDIMENTO!D:D),"")</f>
        <v>0</v>
      </c>
    </row>
    <row r="1818" spans="1:21" hidden="1" x14ac:dyDescent="0.35">
      <c r="A1818" s="36"/>
      <c r="B1818" s="36"/>
      <c r="C1818" s="36"/>
      <c r="D1818" s="36"/>
      <c r="E1818" s="36"/>
      <c r="F1818" s="36"/>
      <c r="G1818" s="36"/>
      <c r="H1818" s="36"/>
      <c r="I1818" s="40"/>
      <c r="J1818" s="31"/>
      <c r="K1818" s="36"/>
      <c r="M1818" s="37"/>
      <c r="N1818" s="37"/>
      <c r="O1818" s="37"/>
      <c r="P1818" s="36"/>
      <c r="Q1818" s="36"/>
      <c r="R1818" s="31"/>
      <c r="S1818" s="31"/>
      <c r="T1818" s="38"/>
      <c r="U1818" s="39">
        <f>IFERROR(_xlfn.XLOOKUP(E1818,[1]EMPREENDIMENTO!C:C,[1]EMPREENDIMENTO!D:D),"")</f>
        <v>0</v>
      </c>
    </row>
    <row r="1819" spans="1:21" hidden="1" x14ac:dyDescent="0.35">
      <c r="A1819" s="36"/>
      <c r="B1819" s="36"/>
      <c r="C1819" s="36"/>
      <c r="D1819" s="36"/>
      <c r="E1819" s="36"/>
      <c r="F1819" s="36"/>
      <c r="G1819" s="36"/>
      <c r="H1819" s="36"/>
      <c r="I1819" s="40"/>
      <c r="J1819" s="31"/>
      <c r="K1819" s="36"/>
      <c r="M1819" s="37"/>
      <c r="N1819" s="37"/>
      <c r="O1819" s="37"/>
      <c r="P1819" s="36"/>
      <c r="Q1819" s="36"/>
      <c r="R1819" s="31"/>
      <c r="S1819" s="31"/>
      <c r="T1819" s="38"/>
      <c r="U1819" s="39">
        <f>IFERROR(_xlfn.XLOOKUP(E1819,[1]EMPREENDIMENTO!C:C,[1]EMPREENDIMENTO!D:D),"")</f>
        <v>0</v>
      </c>
    </row>
    <row r="1820" spans="1:21" hidden="1" x14ac:dyDescent="0.35">
      <c r="A1820" s="36"/>
      <c r="B1820" s="36"/>
      <c r="C1820" s="36"/>
      <c r="D1820" s="36"/>
      <c r="E1820" s="36"/>
      <c r="F1820" s="36"/>
      <c r="G1820" s="36"/>
      <c r="H1820" s="36"/>
      <c r="I1820" s="40"/>
      <c r="J1820" s="31"/>
      <c r="K1820" s="36"/>
      <c r="M1820" s="37"/>
      <c r="N1820" s="37"/>
      <c r="O1820" s="37"/>
      <c r="P1820" s="36"/>
      <c r="Q1820" s="36"/>
      <c r="R1820" s="31"/>
      <c r="S1820" s="31"/>
      <c r="T1820" s="38"/>
      <c r="U1820" s="39">
        <f>IFERROR(_xlfn.XLOOKUP(E1820,[1]EMPREENDIMENTO!C:C,[1]EMPREENDIMENTO!D:D),"")</f>
        <v>0</v>
      </c>
    </row>
    <row r="1821" spans="1:21" hidden="1" x14ac:dyDescent="0.35">
      <c r="A1821" s="36"/>
      <c r="B1821" s="36"/>
      <c r="C1821" s="36"/>
      <c r="D1821" s="36"/>
      <c r="E1821" s="36"/>
      <c r="F1821" s="36"/>
      <c r="G1821" s="36"/>
      <c r="H1821" s="36"/>
      <c r="I1821" s="40"/>
      <c r="J1821" s="31"/>
      <c r="K1821" s="36"/>
      <c r="M1821" s="37"/>
      <c r="N1821" s="37"/>
      <c r="O1821" s="37"/>
      <c r="P1821" s="36"/>
      <c r="Q1821" s="36"/>
      <c r="R1821" s="31"/>
      <c r="S1821" s="31"/>
      <c r="T1821" s="38"/>
      <c r="U1821" s="39">
        <f>IFERROR(_xlfn.XLOOKUP(E1821,[1]EMPREENDIMENTO!C:C,[1]EMPREENDIMENTO!D:D),"")</f>
        <v>0</v>
      </c>
    </row>
    <row r="1822" spans="1:21" hidden="1" x14ac:dyDescent="0.35">
      <c r="A1822" s="36"/>
      <c r="B1822" s="36"/>
      <c r="C1822" s="36"/>
      <c r="D1822" s="36"/>
      <c r="E1822" s="36"/>
      <c r="F1822" s="36"/>
      <c r="G1822" s="36"/>
      <c r="H1822" s="36"/>
      <c r="I1822" s="40"/>
      <c r="J1822" s="31"/>
      <c r="K1822" s="36"/>
      <c r="M1822" s="37"/>
      <c r="N1822" s="37"/>
      <c r="O1822" s="37"/>
      <c r="P1822" s="36"/>
      <c r="Q1822" s="36"/>
      <c r="R1822" s="31"/>
      <c r="S1822" s="31"/>
      <c r="T1822" s="38"/>
      <c r="U1822" s="39">
        <f>IFERROR(_xlfn.XLOOKUP(E1822,[1]EMPREENDIMENTO!C:C,[1]EMPREENDIMENTO!D:D),"")</f>
        <v>0</v>
      </c>
    </row>
    <row r="1823" spans="1:21" hidden="1" x14ac:dyDescent="0.35">
      <c r="A1823" s="36"/>
      <c r="B1823" s="36"/>
      <c r="C1823" s="36"/>
      <c r="D1823" s="36"/>
      <c r="E1823" s="36"/>
      <c r="F1823" s="36"/>
      <c r="G1823" s="36"/>
      <c r="H1823" s="36"/>
      <c r="I1823" s="40"/>
      <c r="J1823" s="31"/>
      <c r="K1823" s="36"/>
      <c r="M1823" s="37"/>
      <c r="N1823" s="37"/>
      <c r="O1823" s="37"/>
      <c r="P1823" s="36"/>
      <c r="Q1823" s="36"/>
      <c r="R1823" s="31"/>
      <c r="S1823" s="31"/>
      <c r="T1823" s="38"/>
      <c r="U1823" s="39">
        <f>IFERROR(_xlfn.XLOOKUP(E1823,[1]EMPREENDIMENTO!C:C,[1]EMPREENDIMENTO!D:D),"")</f>
        <v>0</v>
      </c>
    </row>
    <row r="1824" spans="1:21" hidden="1" x14ac:dyDescent="0.35">
      <c r="A1824" s="36"/>
      <c r="B1824" s="36"/>
      <c r="C1824" s="36"/>
      <c r="D1824" s="36"/>
      <c r="E1824" s="36"/>
      <c r="F1824" s="36"/>
      <c r="G1824" s="36"/>
      <c r="H1824" s="36"/>
      <c r="I1824" s="40"/>
      <c r="J1824" s="31"/>
      <c r="K1824" s="36"/>
      <c r="M1824" s="37"/>
      <c r="N1824" s="37"/>
      <c r="O1824" s="37"/>
      <c r="P1824" s="36"/>
      <c r="Q1824" s="36"/>
      <c r="R1824" s="31"/>
      <c r="S1824" s="31"/>
      <c r="T1824" s="38"/>
      <c r="U1824" s="39">
        <f>IFERROR(_xlfn.XLOOKUP(E1824,[1]EMPREENDIMENTO!C:C,[1]EMPREENDIMENTO!D:D),"")</f>
        <v>0</v>
      </c>
    </row>
    <row r="1825" spans="1:21" hidden="1" x14ac:dyDescent="0.35">
      <c r="A1825" s="36"/>
      <c r="B1825" s="36"/>
      <c r="C1825" s="36"/>
      <c r="D1825" s="36"/>
      <c r="E1825" s="36"/>
      <c r="F1825" s="36"/>
      <c r="G1825" s="36"/>
      <c r="H1825" s="36"/>
      <c r="I1825" s="40"/>
      <c r="J1825" s="31"/>
      <c r="K1825" s="36"/>
      <c r="M1825" s="37"/>
      <c r="N1825" s="37"/>
      <c r="O1825" s="37"/>
      <c r="P1825" s="36"/>
      <c r="Q1825" s="36"/>
      <c r="R1825" s="31"/>
      <c r="S1825" s="31"/>
      <c r="T1825" s="38"/>
      <c r="U1825" s="39">
        <f>IFERROR(_xlfn.XLOOKUP(E1825,[1]EMPREENDIMENTO!C:C,[1]EMPREENDIMENTO!D:D),"")</f>
        <v>0</v>
      </c>
    </row>
    <row r="1826" spans="1:21" hidden="1" x14ac:dyDescent="0.35">
      <c r="A1826" s="36"/>
      <c r="B1826" s="36"/>
      <c r="C1826" s="36"/>
      <c r="D1826" s="36"/>
      <c r="E1826" s="36"/>
      <c r="F1826" s="36"/>
      <c r="G1826" s="36"/>
      <c r="H1826" s="36"/>
      <c r="I1826" s="40"/>
      <c r="J1826" s="31"/>
      <c r="K1826" s="36"/>
      <c r="M1826" s="37"/>
      <c r="N1826" s="37"/>
      <c r="O1826" s="37"/>
      <c r="P1826" s="36"/>
      <c r="Q1826" s="36"/>
      <c r="R1826" s="31"/>
      <c r="S1826" s="31"/>
      <c r="T1826" s="38"/>
      <c r="U1826" s="39">
        <f>IFERROR(_xlfn.XLOOKUP(E1826,[1]EMPREENDIMENTO!C:C,[1]EMPREENDIMENTO!D:D),"")</f>
        <v>0</v>
      </c>
    </row>
    <row r="1827" spans="1:21" hidden="1" x14ac:dyDescent="0.35">
      <c r="A1827" s="36"/>
      <c r="B1827" s="36"/>
      <c r="C1827" s="36"/>
      <c r="D1827" s="36"/>
      <c r="E1827" s="36"/>
      <c r="F1827" s="36"/>
      <c r="G1827" s="36"/>
      <c r="H1827" s="36"/>
      <c r="I1827" s="40"/>
      <c r="J1827" s="31"/>
      <c r="K1827" s="36"/>
      <c r="M1827" s="37"/>
      <c r="N1827" s="37"/>
      <c r="O1827" s="37"/>
      <c r="P1827" s="36"/>
      <c r="Q1827" s="36"/>
      <c r="R1827" s="31"/>
      <c r="S1827" s="31"/>
      <c r="T1827" s="38"/>
      <c r="U1827" s="39">
        <f>IFERROR(_xlfn.XLOOKUP(E1827,[1]EMPREENDIMENTO!C:C,[1]EMPREENDIMENTO!D:D),"")</f>
        <v>0</v>
      </c>
    </row>
    <row r="1828" spans="1:21" hidden="1" x14ac:dyDescent="0.35">
      <c r="A1828" s="36"/>
      <c r="B1828" s="36"/>
      <c r="C1828" s="36"/>
      <c r="D1828" s="36"/>
      <c r="E1828" s="36"/>
      <c r="F1828" s="36"/>
      <c r="G1828" s="36"/>
      <c r="H1828" s="36"/>
      <c r="I1828" s="40"/>
      <c r="J1828" s="31"/>
      <c r="K1828" s="36"/>
      <c r="M1828" s="37"/>
      <c r="N1828" s="37"/>
      <c r="O1828" s="37"/>
      <c r="P1828" s="36"/>
      <c r="Q1828" s="36"/>
      <c r="R1828" s="31"/>
      <c r="S1828" s="31"/>
      <c r="T1828" s="38"/>
      <c r="U1828" s="39">
        <f>IFERROR(_xlfn.XLOOKUP(E1828,[1]EMPREENDIMENTO!C:C,[1]EMPREENDIMENTO!D:D),"")</f>
        <v>0</v>
      </c>
    </row>
    <row r="1829" spans="1:21" hidden="1" x14ac:dyDescent="0.35">
      <c r="A1829" s="36"/>
      <c r="B1829" s="36"/>
      <c r="C1829" s="36"/>
      <c r="D1829" s="36"/>
      <c r="E1829" s="36"/>
      <c r="F1829" s="36"/>
      <c r="G1829" s="36"/>
      <c r="H1829" s="36"/>
      <c r="I1829" s="40"/>
      <c r="J1829" s="31"/>
      <c r="K1829" s="36"/>
      <c r="M1829" s="37"/>
      <c r="N1829" s="37"/>
      <c r="O1829" s="37"/>
      <c r="P1829" s="36"/>
      <c r="Q1829" s="36"/>
      <c r="R1829" s="31"/>
      <c r="S1829" s="31"/>
      <c r="T1829" s="38"/>
      <c r="U1829" s="39">
        <f>IFERROR(_xlfn.XLOOKUP(E1829,[1]EMPREENDIMENTO!C:C,[1]EMPREENDIMENTO!D:D),"")</f>
        <v>0</v>
      </c>
    </row>
    <row r="1830" spans="1:21" hidden="1" x14ac:dyDescent="0.35">
      <c r="A1830" s="36"/>
      <c r="B1830" s="36"/>
      <c r="C1830" s="36"/>
      <c r="D1830" s="36"/>
      <c r="E1830" s="36"/>
      <c r="F1830" s="36"/>
      <c r="G1830" s="36"/>
      <c r="H1830" s="36"/>
      <c r="I1830" s="40"/>
      <c r="J1830" s="31"/>
      <c r="K1830" s="36"/>
      <c r="M1830" s="37"/>
      <c r="N1830" s="37"/>
      <c r="O1830" s="37"/>
      <c r="P1830" s="36"/>
      <c r="Q1830" s="36"/>
      <c r="R1830" s="31"/>
      <c r="S1830" s="31"/>
      <c r="T1830" s="38"/>
      <c r="U1830" s="39">
        <f>IFERROR(_xlfn.XLOOKUP(E1830,[1]EMPREENDIMENTO!C:C,[1]EMPREENDIMENTO!D:D),"")</f>
        <v>0</v>
      </c>
    </row>
    <row r="1831" spans="1:21" hidden="1" x14ac:dyDescent="0.35">
      <c r="A1831" s="36"/>
      <c r="B1831" s="36"/>
      <c r="C1831" s="36"/>
      <c r="D1831" s="36"/>
      <c r="E1831" s="36"/>
      <c r="F1831" s="36"/>
      <c r="G1831" s="36"/>
      <c r="H1831" s="36"/>
      <c r="I1831" s="40"/>
      <c r="J1831" s="31"/>
      <c r="K1831" s="36"/>
      <c r="M1831" s="37"/>
      <c r="N1831" s="37"/>
      <c r="O1831" s="37"/>
      <c r="P1831" s="36"/>
      <c r="Q1831" s="36"/>
      <c r="R1831" s="31"/>
      <c r="S1831" s="31"/>
      <c r="T1831" s="38"/>
      <c r="U1831" s="39">
        <f>IFERROR(_xlfn.XLOOKUP(E1831,[1]EMPREENDIMENTO!C:C,[1]EMPREENDIMENTO!D:D),"")</f>
        <v>0</v>
      </c>
    </row>
    <row r="1832" spans="1:21" hidden="1" x14ac:dyDescent="0.35">
      <c r="A1832" s="36"/>
      <c r="B1832" s="36"/>
      <c r="C1832" s="36"/>
      <c r="D1832" s="36"/>
      <c r="E1832" s="36"/>
      <c r="F1832" s="36"/>
      <c r="G1832" s="36"/>
      <c r="H1832" s="36"/>
      <c r="I1832" s="40"/>
      <c r="J1832" s="31"/>
      <c r="K1832" s="36"/>
      <c r="M1832" s="37"/>
      <c r="N1832" s="37"/>
      <c r="O1832" s="37"/>
      <c r="P1832" s="36"/>
      <c r="Q1832" s="36"/>
      <c r="R1832" s="31"/>
      <c r="S1832" s="31"/>
      <c r="T1832" s="38"/>
      <c r="U1832" s="39">
        <f>IFERROR(_xlfn.XLOOKUP(E1832,[1]EMPREENDIMENTO!C:C,[1]EMPREENDIMENTO!D:D),"")</f>
        <v>0</v>
      </c>
    </row>
    <row r="1833" spans="1:21" hidden="1" x14ac:dyDescent="0.35">
      <c r="A1833" s="36"/>
      <c r="B1833" s="36"/>
      <c r="C1833" s="36"/>
      <c r="D1833" s="36"/>
      <c r="E1833" s="36"/>
      <c r="F1833" s="36"/>
      <c r="G1833" s="36"/>
      <c r="H1833" s="36"/>
      <c r="I1833" s="40"/>
      <c r="J1833" s="31"/>
      <c r="K1833" s="36"/>
      <c r="M1833" s="37"/>
      <c r="N1833" s="37"/>
      <c r="O1833" s="37"/>
      <c r="P1833" s="36"/>
      <c r="Q1833" s="36"/>
      <c r="R1833" s="31"/>
      <c r="S1833" s="31"/>
      <c r="T1833" s="38"/>
      <c r="U1833" s="39">
        <f>IFERROR(_xlfn.XLOOKUP(E1833,[1]EMPREENDIMENTO!C:C,[1]EMPREENDIMENTO!D:D),"")</f>
        <v>0</v>
      </c>
    </row>
    <row r="1834" spans="1:21" hidden="1" x14ac:dyDescent="0.35">
      <c r="A1834" s="36"/>
      <c r="B1834" s="36"/>
      <c r="C1834" s="36"/>
      <c r="D1834" s="36"/>
      <c r="E1834" s="36"/>
      <c r="F1834" s="36"/>
      <c r="G1834" s="36"/>
      <c r="H1834" s="36"/>
      <c r="I1834" s="40"/>
      <c r="J1834" s="31"/>
      <c r="K1834" s="36"/>
      <c r="M1834" s="37"/>
      <c r="N1834" s="37"/>
      <c r="O1834" s="37"/>
      <c r="P1834" s="36"/>
      <c r="Q1834" s="36"/>
      <c r="R1834" s="31"/>
      <c r="S1834" s="31"/>
      <c r="T1834" s="38"/>
      <c r="U1834" s="39">
        <f>IFERROR(_xlfn.XLOOKUP(E1834,[1]EMPREENDIMENTO!C:C,[1]EMPREENDIMENTO!D:D),"")</f>
        <v>0</v>
      </c>
    </row>
    <row r="1835" spans="1:21" hidden="1" x14ac:dyDescent="0.35">
      <c r="A1835" s="36"/>
      <c r="B1835" s="36"/>
      <c r="C1835" s="36"/>
      <c r="D1835" s="36"/>
      <c r="E1835" s="36"/>
      <c r="F1835" s="36"/>
      <c r="G1835" s="36"/>
      <c r="H1835" s="36"/>
      <c r="I1835" s="40"/>
      <c r="J1835" s="31"/>
      <c r="K1835" s="36"/>
      <c r="M1835" s="37"/>
      <c r="N1835" s="37"/>
      <c r="O1835" s="37"/>
      <c r="P1835" s="36"/>
      <c r="Q1835" s="36"/>
      <c r="R1835" s="31"/>
      <c r="S1835" s="31"/>
      <c r="T1835" s="38"/>
      <c r="U1835" s="39">
        <f>IFERROR(_xlfn.XLOOKUP(E1835,[1]EMPREENDIMENTO!C:C,[1]EMPREENDIMENTO!D:D),"")</f>
        <v>0</v>
      </c>
    </row>
    <row r="1836" spans="1:21" hidden="1" x14ac:dyDescent="0.35">
      <c r="A1836" s="36"/>
      <c r="B1836" s="36"/>
      <c r="C1836" s="36"/>
      <c r="D1836" s="36"/>
      <c r="E1836" s="36"/>
      <c r="F1836" s="36"/>
      <c r="G1836" s="36"/>
      <c r="H1836" s="36"/>
      <c r="I1836" s="40"/>
      <c r="J1836" s="31"/>
      <c r="K1836" s="36"/>
      <c r="M1836" s="37"/>
      <c r="N1836" s="37"/>
      <c r="O1836" s="37"/>
      <c r="P1836" s="36"/>
      <c r="Q1836" s="36"/>
      <c r="R1836" s="31"/>
      <c r="S1836" s="31"/>
      <c r="T1836" s="38"/>
      <c r="U1836" s="39">
        <f>IFERROR(_xlfn.XLOOKUP(E1836,[1]EMPREENDIMENTO!C:C,[1]EMPREENDIMENTO!D:D),"")</f>
        <v>0</v>
      </c>
    </row>
    <row r="1837" spans="1:21" hidden="1" x14ac:dyDescent="0.35">
      <c r="A1837" s="36"/>
      <c r="B1837" s="36"/>
      <c r="C1837" s="36"/>
      <c r="D1837" s="36"/>
      <c r="E1837" s="36"/>
      <c r="F1837" s="36"/>
      <c r="G1837" s="36"/>
      <c r="H1837" s="36"/>
      <c r="I1837" s="40"/>
      <c r="J1837" s="31"/>
      <c r="K1837" s="36"/>
      <c r="M1837" s="37"/>
      <c r="N1837" s="37"/>
      <c r="O1837" s="37"/>
      <c r="P1837" s="36"/>
      <c r="Q1837" s="36"/>
      <c r="R1837" s="31"/>
      <c r="S1837" s="31"/>
      <c r="T1837" s="38"/>
      <c r="U1837" s="39">
        <f>IFERROR(_xlfn.XLOOKUP(E1837,[1]EMPREENDIMENTO!C:C,[1]EMPREENDIMENTO!D:D),"")</f>
        <v>0</v>
      </c>
    </row>
    <row r="1838" spans="1:21" hidden="1" x14ac:dyDescent="0.35">
      <c r="A1838" s="36"/>
      <c r="B1838" s="36"/>
      <c r="C1838" s="36"/>
      <c r="D1838" s="36"/>
      <c r="E1838" s="36"/>
      <c r="F1838" s="36"/>
      <c r="G1838" s="36"/>
      <c r="H1838" s="36"/>
      <c r="I1838" s="40"/>
      <c r="J1838" s="31"/>
      <c r="K1838" s="36"/>
      <c r="M1838" s="37"/>
      <c r="N1838" s="37"/>
      <c r="O1838" s="37"/>
      <c r="P1838" s="36"/>
      <c r="Q1838" s="36"/>
      <c r="R1838" s="31"/>
      <c r="S1838" s="31"/>
      <c r="T1838" s="38"/>
      <c r="U1838" s="39">
        <f>IFERROR(_xlfn.XLOOKUP(E1838,[1]EMPREENDIMENTO!C:C,[1]EMPREENDIMENTO!D:D),"")</f>
        <v>0</v>
      </c>
    </row>
    <row r="1839" spans="1:21" hidden="1" x14ac:dyDescent="0.35">
      <c r="A1839" s="36"/>
      <c r="B1839" s="36"/>
      <c r="C1839" s="36"/>
      <c r="D1839" s="36"/>
      <c r="E1839" s="36"/>
      <c r="F1839" s="36"/>
      <c r="G1839" s="36"/>
      <c r="H1839" s="36"/>
      <c r="I1839" s="40"/>
      <c r="J1839" s="31"/>
      <c r="K1839" s="36"/>
      <c r="M1839" s="37"/>
      <c r="N1839" s="37"/>
      <c r="O1839" s="37"/>
      <c r="P1839" s="36"/>
      <c r="Q1839" s="36"/>
      <c r="R1839" s="31"/>
      <c r="S1839" s="31"/>
      <c r="T1839" s="38"/>
      <c r="U1839" s="39">
        <f>IFERROR(_xlfn.XLOOKUP(E1839,[1]EMPREENDIMENTO!C:C,[1]EMPREENDIMENTO!D:D),"")</f>
        <v>0</v>
      </c>
    </row>
    <row r="1840" spans="1:21" hidden="1" x14ac:dyDescent="0.35">
      <c r="A1840" s="36"/>
      <c r="B1840" s="36"/>
      <c r="C1840" s="36"/>
      <c r="D1840" s="36"/>
      <c r="E1840" s="36"/>
      <c r="F1840" s="36"/>
      <c r="G1840" s="36"/>
      <c r="H1840" s="36"/>
      <c r="I1840" s="40"/>
      <c r="J1840" s="31"/>
      <c r="K1840" s="36"/>
      <c r="M1840" s="37"/>
      <c r="N1840" s="37"/>
      <c r="O1840" s="37"/>
      <c r="P1840" s="36"/>
      <c r="Q1840" s="36"/>
      <c r="R1840" s="31"/>
      <c r="S1840" s="31"/>
      <c r="T1840" s="38"/>
      <c r="U1840" s="39">
        <f>IFERROR(_xlfn.XLOOKUP(E1840,[1]EMPREENDIMENTO!C:C,[1]EMPREENDIMENTO!D:D),"")</f>
        <v>0</v>
      </c>
    </row>
    <row r="1841" spans="1:21" hidden="1" x14ac:dyDescent="0.35">
      <c r="A1841" s="36"/>
      <c r="B1841" s="36"/>
      <c r="C1841" s="36"/>
      <c r="D1841" s="36"/>
      <c r="E1841" s="36"/>
      <c r="F1841" s="36"/>
      <c r="G1841" s="36"/>
      <c r="H1841" s="36"/>
      <c r="I1841" s="40"/>
      <c r="J1841" s="31"/>
      <c r="K1841" s="36"/>
      <c r="M1841" s="37"/>
      <c r="N1841" s="37"/>
      <c r="O1841" s="37"/>
      <c r="P1841" s="36"/>
      <c r="Q1841" s="36"/>
      <c r="R1841" s="31"/>
      <c r="S1841" s="31"/>
      <c r="T1841" s="38"/>
      <c r="U1841" s="39">
        <f>IFERROR(_xlfn.XLOOKUP(E1841,[1]EMPREENDIMENTO!C:C,[1]EMPREENDIMENTO!D:D),"")</f>
        <v>0</v>
      </c>
    </row>
    <row r="1842" spans="1:21" hidden="1" x14ac:dyDescent="0.35">
      <c r="A1842" s="36"/>
      <c r="B1842" s="36"/>
      <c r="C1842" s="36"/>
      <c r="D1842" s="36"/>
      <c r="E1842" s="36"/>
      <c r="F1842" s="36"/>
      <c r="G1842" s="36"/>
      <c r="H1842" s="36"/>
      <c r="I1842" s="40"/>
      <c r="J1842" s="31"/>
      <c r="K1842" s="36"/>
      <c r="M1842" s="37"/>
      <c r="N1842" s="37"/>
      <c r="O1842" s="37"/>
      <c r="P1842" s="36"/>
      <c r="Q1842" s="36"/>
      <c r="R1842" s="31"/>
      <c r="S1842" s="31"/>
      <c r="T1842" s="38"/>
      <c r="U1842" s="39">
        <f>IFERROR(_xlfn.XLOOKUP(E1842,[1]EMPREENDIMENTO!C:C,[1]EMPREENDIMENTO!D:D),"")</f>
        <v>0</v>
      </c>
    </row>
    <row r="1843" spans="1:21" hidden="1" x14ac:dyDescent="0.35">
      <c r="A1843" s="36"/>
      <c r="B1843" s="36"/>
      <c r="C1843" s="36"/>
      <c r="D1843" s="36"/>
      <c r="E1843" s="36"/>
      <c r="F1843" s="36"/>
      <c r="G1843" s="36"/>
      <c r="H1843" s="36"/>
      <c r="I1843" s="40"/>
      <c r="J1843" s="31"/>
      <c r="K1843" s="36"/>
      <c r="M1843" s="37"/>
      <c r="N1843" s="37"/>
      <c r="O1843" s="37"/>
      <c r="P1843" s="36"/>
      <c r="Q1843" s="36"/>
      <c r="R1843" s="31"/>
      <c r="S1843" s="31"/>
      <c r="T1843" s="38"/>
      <c r="U1843" s="39">
        <f>IFERROR(_xlfn.XLOOKUP(E1843,[1]EMPREENDIMENTO!C:C,[1]EMPREENDIMENTO!D:D),"")</f>
        <v>0</v>
      </c>
    </row>
    <row r="1844" spans="1:21" hidden="1" x14ac:dyDescent="0.35">
      <c r="A1844" s="36"/>
      <c r="B1844" s="36"/>
      <c r="C1844" s="36"/>
      <c r="D1844" s="36"/>
      <c r="E1844" s="36"/>
      <c r="F1844" s="36"/>
      <c r="G1844" s="36"/>
      <c r="H1844" s="36"/>
      <c r="I1844" s="40"/>
      <c r="J1844" s="31"/>
      <c r="K1844" s="36"/>
      <c r="M1844" s="37"/>
      <c r="N1844" s="37"/>
      <c r="O1844" s="37"/>
      <c r="P1844" s="36"/>
      <c r="Q1844" s="36"/>
      <c r="R1844" s="31"/>
      <c r="S1844" s="31"/>
      <c r="T1844" s="38"/>
      <c r="U1844" s="39">
        <f>IFERROR(_xlfn.XLOOKUP(E1844,[1]EMPREENDIMENTO!C:C,[1]EMPREENDIMENTO!D:D),"")</f>
        <v>0</v>
      </c>
    </row>
    <row r="1845" spans="1:21" hidden="1" x14ac:dyDescent="0.35">
      <c r="A1845" s="36"/>
      <c r="B1845" s="36"/>
      <c r="C1845" s="36"/>
      <c r="D1845" s="36"/>
      <c r="E1845" s="36"/>
      <c r="F1845" s="36"/>
      <c r="G1845" s="36"/>
      <c r="H1845" s="36"/>
      <c r="I1845" s="40"/>
      <c r="J1845" s="31"/>
      <c r="K1845" s="36"/>
      <c r="M1845" s="37"/>
      <c r="N1845" s="37"/>
      <c r="O1845" s="37"/>
      <c r="P1845" s="36"/>
      <c r="Q1845" s="36"/>
      <c r="R1845" s="31"/>
      <c r="S1845" s="31"/>
      <c r="T1845" s="38"/>
      <c r="U1845" s="39">
        <f>IFERROR(_xlfn.XLOOKUP(E1845,[1]EMPREENDIMENTO!C:C,[1]EMPREENDIMENTO!D:D),"")</f>
        <v>0</v>
      </c>
    </row>
    <row r="1846" spans="1:21" hidden="1" x14ac:dyDescent="0.35">
      <c r="A1846" s="36"/>
      <c r="B1846" s="36"/>
      <c r="C1846" s="36"/>
      <c r="D1846" s="36"/>
      <c r="E1846" s="36"/>
      <c r="F1846" s="36"/>
      <c r="G1846" s="36"/>
      <c r="H1846" s="36"/>
      <c r="I1846" s="40"/>
      <c r="J1846" s="31"/>
      <c r="K1846" s="36"/>
      <c r="M1846" s="37"/>
      <c r="N1846" s="37"/>
      <c r="O1846" s="37"/>
      <c r="P1846" s="36"/>
      <c r="Q1846" s="36"/>
      <c r="R1846" s="31"/>
      <c r="S1846" s="31"/>
      <c r="T1846" s="38"/>
      <c r="U1846" s="39">
        <f>IFERROR(_xlfn.XLOOKUP(E1846,[1]EMPREENDIMENTO!C:C,[1]EMPREENDIMENTO!D:D),"")</f>
        <v>0</v>
      </c>
    </row>
    <row r="1847" spans="1:21" hidden="1" x14ac:dyDescent="0.35">
      <c r="A1847" s="36"/>
      <c r="B1847" s="36"/>
      <c r="C1847" s="36"/>
      <c r="D1847" s="36"/>
      <c r="E1847" s="36"/>
      <c r="F1847" s="36"/>
      <c r="G1847" s="36"/>
      <c r="H1847" s="36"/>
      <c r="I1847" s="40"/>
      <c r="J1847" s="31"/>
      <c r="K1847" s="36"/>
      <c r="M1847" s="37"/>
      <c r="N1847" s="37"/>
      <c r="O1847" s="37"/>
      <c r="P1847" s="36"/>
      <c r="Q1847" s="36"/>
      <c r="R1847" s="31"/>
      <c r="S1847" s="31"/>
      <c r="T1847" s="38"/>
      <c r="U1847" s="39">
        <f>IFERROR(_xlfn.XLOOKUP(E1847,[1]EMPREENDIMENTO!C:C,[1]EMPREENDIMENTO!D:D),"")</f>
        <v>0</v>
      </c>
    </row>
    <row r="1848" spans="1:21" hidden="1" x14ac:dyDescent="0.35">
      <c r="A1848" s="36"/>
      <c r="B1848" s="36"/>
      <c r="C1848" s="36"/>
      <c r="D1848" s="36"/>
      <c r="E1848" s="36"/>
      <c r="F1848" s="36"/>
      <c r="G1848" s="36"/>
      <c r="H1848" s="36"/>
      <c r="I1848" s="40"/>
      <c r="J1848" s="31"/>
      <c r="K1848" s="36"/>
      <c r="M1848" s="37"/>
      <c r="N1848" s="37"/>
      <c r="O1848" s="37"/>
      <c r="P1848" s="36"/>
      <c r="Q1848" s="36"/>
      <c r="R1848" s="31"/>
      <c r="S1848" s="31"/>
      <c r="T1848" s="38"/>
      <c r="U1848" s="39">
        <f>IFERROR(_xlfn.XLOOKUP(E1848,[1]EMPREENDIMENTO!C:C,[1]EMPREENDIMENTO!D:D),"")</f>
        <v>0</v>
      </c>
    </row>
    <row r="1849" spans="1:21" hidden="1" x14ac:dyDescent="0.35">
      <c r="A1849" s="36"/>
      <c r="B1849" s="36"/>
      <c r="C1849" s="36"/>
      <c r="D1849" s="36"/>
      <c r="E1849" s="36"/>
      <c r="F1849" s="36"/>
      <c r="G1849" s="36"/>
      <c r="H1849" s="36"/>
      <c r="I1849" s="40"/>
      <c r="J1849" s="31"/>
      <c r="K1849" s="36"/>
      <c r="M1849" s="37"/>
      <c r="N1849" s="37"/>
      <c r="O1849" s="37"/>
      <c r="P1849" s="36"/>
      <c r="Q1849" s="36"/>
      <c r="R1849" s="31"/>
      <c r="S1849" s="31"/>
      <c r="T1849" s="38"/>
      <c r="U1849" s="39">
        <f>IFERROR(_xlfn.XLOOKUP(E1849,[1]EMPREENDIMENTO!C:C,[1]EMPREENDIMENTO!D:D),"")</f>
        <v>0</v>
      </c>
    </row>
    <row r="1850" spans="1:21" hidden="1" x14ac:dyDescent="0.35">
      <c r="A1850" s="36"/>
      <c r="B1850" s="36"/>
      <c r="C1850" s="36"/>
      <c r="D1850" s="36"/>
      <c r="E1850" s="36"/>
      <c r="F1850" s="36"/>
      <c r="G1850" s="36"/>
      <c r="H1850" s="36"/>
      <c r="I1850" s="40"/>
      <c r="J1850" s="31"/>
      <c r="K1850" s="36"/>
      <c r="M1850" s="37"/>
      <c r="N1850" s="37"/>
      <c r="O1850" s="37"/>
      <c r="P1850" s="36"/>
      <c r="Q1850" s="36"/>
      <c r="R1850" s="31"/>
      <c r="S1850" s="31"/>
      <c r="T1850" s="38"/>
      <c r="U1850" s="39">
        <f>IFERROR(_xlfn.XLOOKUP(E1850,[1]EMPREENDIMENTO!C:C,[1]EMPREENDIMENTO!D:D),"")</f>
        <v>0</v>
      </c>
    </row>
    <row r="1851" spans="1:21" hidden="1" x14ac:dyDescent="0.35">
      <c r="A1851" s="36"/>
      <c r="B1851" s="36"/>
      <c r="C1851" s="36"/>
      <c r="D1851" s="36"/>
      <c r="E1851" s="36"/>
      <c r="F1851" s="36"/>
      <c r="G1851" s="36"/>
      <c r="H1851" s="36"/>
      <c r="I1851" s="40"/>
      <c r="J1851" s="31"/>
      <c r="K1851" s="36"/>
      <c r="M1851" s="37"/>
      <c r="N1851" s="37"/>
      <c r="O1851" s="37"/>
      <c r="P1851" s="36"/>
      <c r="Q1851" s="36"/>
      <c r="R1851" s="31"/>
      <c r="S1851" s="31"/>
      <c r="T1851" s="38"/>
      <c r="U1851" s="39">
        <f>IFERROR(_xlfn.XLOOKUP(E1851,[1]EMPREENDIMENTO!C:C,[1]EMPREENDIMENTO!D:D),"")</f>
        <v>0</v>
      </c>
    </row>
    <row r="1852" spans="1:21" hidden="1" x14ac:dyDescent="0.35">
      <c r="A1852" s="36"/>
      <c r="B1852" s="36"/>
      <c r="C1852" s="36"/>
      <c r="D1852" s="36"/>
      <c r="E1852" s="36"/>
      <c r="F1852" s="36"/>
      <c r="G1852" s="36"/>
      <c r="H1852" s="36"/>
      <c r="I1852" s="40"/>
      <c r="J1852" s="31"/>
      <c r="K1852" s="36"/>
      <c r="M1852" s="37"/>
      <c r="N1852" s="37"/>
      <c r="O1852" s="37"/>
      <c r="P1852" s="36"/>
      <c r="Q1852" s="36"/>
      <c r="R1852" s="31"/>
      <c r="S1852" s="31"/>
      <c r="T1852" s="38"/>
      <c r="U1852" s="39">
        <f>IFERROR(_xlfn.XLOOKUP(E1852,[1]EMPREENDIMENTO!C:C,[1]EMPREENDIMENTO!D:D),"")</f>
        <v>0</v>
      </c>
    </row>
    <row r="1853" spans="1:21" hidden="1" x14ac:dyDescent="0.35">
      <c r="A1853" s="36"/>
      <c r="B1853" s="36"/>
      <c r="C1853" s="36"/>
      <c r="D1853" s="36"/>
      <c r="E1853" s="36"/>
      <c r="F1853" s="36"/>
      <c r="G1853" s="36"/>
      <c r="H1853" s="36"/>
      <c r="I1853" s="40"/>
      <c r="J1853" s="31"/>
      <c r="K1853" s="36"/>
      <c r="M1853" s="37"/>
      <c r="N1853" s="37"/>
      <c r="O1853" s="37"/>
      <c r="P1853" s="36"/>
      <c r="Q1853" s="36"/>
      <c r="R1853" s="31"/>
      <c r="S1853" s="31"/>
      <c r="T1853" s="38"/>
      <c r="U1853" s="39">
        <f>IFERROR(_xlfn.XLOOKUP(E1853,[1]EMPREENDIMENTO!C:C,[1]EMPREENDIMENTO!D:D),"")</f>
        <v>0</v>
      </c>
    </row>
    <row r="1854" spans="1:21" hidden="1" x14ac:dyDescent="0.35">
      <c r="A1854" s="36"/>
      <c r="B1854" s="36"/>
      <c r="C1854" s="36"/>
      <c r="D1854" s="36"/>
      <c r="E1854" s="36"/>
      <c r="F1854" s="36"/>
      <c r="G1854" s="36"/>
      <c r="H1854" s="36"/>
      <c r="I1854" s="40"/>
      <c r="J1854" s="31"/>
      <c r="K1854" s="36"/>
      <c r="M1854" s="37"/>
      <c r="N1854" s="37"/>
      <c r="O1854" s="37"/>
      <c r="P1854" s="36"/>
      <c r="Q1854" s="36"/>
      <c r="R1854" s="31"/>
      <c r="S1854" s="31"/>
      <c r="T1854" s="38"/>
      <c r="U1854" s="39">
        <f>IFERROR(_xlfn.XLOOKUP(E1854,[1]EMPREENDIMENTO!C:C,[1]EMPREENDIMENTO!D:D),"")</f>
        <v>0</v>
      </c>
    </row>
    <row r="1855" spans="1:21" hidden="1" x14ac:dyDescent="0.35">
      <c r="A1855" s="36"/>
      <c r="B1855" s="36"/>
      <c r="C1855" s="36"/>
      <c r="D1855" s="36"/>
      <c r="E1855" s="36"/>
      <c r="F1855" s="36"/>
      <c r="G1855" s="36"/>
      <c r="H1855" s="36"/>
      <c r="I1855" s="40"/>
      <c r="J1855" s="31"/>
      <c r="K1855" s="36"/>
      <c r="M1855" s="37"/>
      <c r="N1855" s="37"/>
      <c r="O1855" s="37"/>
      <c r="P1855" s="36"/>
      <c r="Q1855" s="36"/>
      <c r="R1855" s="31"/>
      <c r="S1855" s="31"/>
      <c r="T1855" s="38"/>
      <c r="U1855" s="39">
        <f>IFERROR(_xlfn.XLOOKUP(E1855,[1]EMPREENDIMENTO!C:C,[1]EMPREENDIMENTO!D:D),"")</f>
        <v>0</v>
      </c>
    </row>
    <row r="1856" spans="1:21" hidden="1" x14ac:dyDescent="0.35">
      <c r="A1856" s="36"/>
      <c r="B1856" s="36"/>
      <c r="C1856" s="36"/>
      <c r="D1856" s="36"/>
      <c r="E1856" s="36"/>
      <c r="F1856" s="36"/>
      <c r="G1856" s="36"/>
      <c r="H1856" s="36"/>
      <c r="I1856" s="40"/>
      <c r="J1856" s="31"/>
      <c r="K1856" s="36"/>
      <c r="M1856" s="37"/>
      <c r="N1856" s="37"/>
      <c r="O1856" s="37"/>
      <c r="P1856" s="36"/>
      <c r="Q1856" s="36"/>
      <c r="R1856" s="31"/>
      <c r="S1856" s="31"/>
      <c r="T1856" s="38"/>
      <c r="U1856" s="39">
        <f>IFERROR(_xlfn.XLOOKUP(E1856,[1]EMPREENDIMENTO!C:C,[1]EMPREENDIMENTO!D:D),"")</f>
        <v>0</v>
      </c>
    </row>
    <row r="1857" spans="1:21" hidden="1" x14ac:dyDescent="0.35">
      <c r="A1857" s="36"/>
      <c r="B1857" s="36"/>
      <c r="C1857" s="36"/>
      <c r="D1857" s="36"/>
      <c r="E1857" s="36"/>
      <c r="F1857" s="36"/>
      <c r="G1857" s="36"/>
      <c r="H1857" s="36"/>
      <c r="I1857" s="40"/>
      <c r="J1857" s="31"/>
      <c r="K1857" s="36"/>
      <c r="M1857" s="37"/>
      <c r="N1857" s="37"/>
      <c r="O1857" s="37"/>
      <c r="P1857" s="36"/>
      <c r="Q1857" s="36"/>
      <c r="R1857" s="31"/>
      <c r="S1857" s="31"/>
      <c r="T1857" s="38"/>
      <c r="U1857" s="39">
        <f>IFERROR(_xlfn.XLOOKUP(E1857,[1]EMPREENDIMENTO!C:C,[1]EMPREENDIMENTO!D:D),"")</f>
        <v>0</v>
      </c>
    </row>
    <row r="1858" spans="1:21" hidden="1" x14ac:dyDescent="0.35">
      <c r="A1858" s="36"/>
      <c r="B1858" s="36"/>
      <c r="C1858" s="36"/>
      <c r="D1858" s="36"/>
      <c r="E1858" s="36"/>
      <c r="F1858" s="36"/>
      <c r="G1858" s="36"/>
      <c r="H1858" s="36"/>
      <c r="I1858" s="40"/>
      <c r="J1858" s="31"/>
      <c r="K1858" s="36"/>
      <c r="M1858" s="37"/>
      <c r="N1858" s="37"/>
      <c r="O1858" s="37"/>
      <c r="P1858" s="36"/>
      <c r="Q1858" s="36"/>
      <c r="R1858" s="31"/>
      <c r="S1858" s="31"/>
      <c r="T1858" s="38"/>
      <c r="U1858" s="39">
        <f>IFERROR(_xlfn.XLOOKUP(E1858,[1]EMPREENDIMENTO!C:C,[1]EMPREENDIMENTO!D:D),"")</f>
        <v>0</v>
      </c>
    </row>
    <row r="1859" spans="1:21" hidden="1" x14ac:dyDescent="0.35">
      <c r="A1859" s="36"/>
      <c r="B1859" s="36"/>
      <c r="C1859" s="36"/>
      <c r="D1859" s="36"/>
      <c r="E1859" s="36"/>
      <c r="F1859" s="36"/>
      <c r="G1859" s="36"/>
      <c r="H1859" s="36"/>
      <c r="I1859" s="40"/>
      <c r="J1859" s="31"/>
      <c r="K1859" s="36"/>
      <c r="M1859" s="37"/>
      <c r="N1859" s="37"/>
      <c r="O1859" s="37"/>
      <c r="P1859" s="36"/>
      <c r="Q1859" s="36"/>
      <c r="R1859" s="31"/>
      <c r="S1859" s="31"/>
      <c r="T1859" s="38"/>
      <c r="U1859" s="39">
        <f>IFERROR(_xlfn.XLOOKUP(E1859,[1]EMPREENDIMENTO!C:C,[1]EMPREENDIMENTO!D:D),"")</f>
        <v>0</v>
      </c>
    </row>
    <row r="1860" spans="1:21" hidden="1" x14ac:dyDescent="0.35">
      <c r="A1860" s="36"/>
      <c r="B1860" s="36"/>
      <c r="C1860" s="36"/>
      <c r="D1860" s="36"/>
      <c r="E1860" s="36"/>
      <c r="F1860" s="36"/>
      <c r="G1860" s="36"/>
      <c r="H1860" s="36"/>
      <c r="I1860" s="40"/>
      <c r="J1860" s="31"/>
      <c r="K1860" s="36"/>
      <c r="M1860" s="37"/>
      <c r="N1860" s="37"/>
      <c r="O1860" s="37"/>
      <c r="P1860" s="36"/>
      <c r="Q1860" s="36"/>
      <c r="R1860" s="31"/>
      <c r="S1860" s="31"/>
      <c r="T1860" s="38"/>
      <c r="U1860" s="39">
        <f>IFERROR(_xlfn.XLOOKUP(E1860,[1]EMPREENDIMENTO!C:C,[1]EMPREENDIMENTO!D:D),"")</f>
        <v>0</v>
      </c>
    </row>
    <row r="1861" spans="1:21" hidden="1" x14ac:dyDescent="0.35">
      <c r="A1861" s="36"/>
      <c r="B1861" s="36"/>
      <c r="C1861" s="36"/>
      <c r="D1861" s="36"/>
      <c r="E1861" s="36"/>
      <c r="F1861" s="36"/>
      <c r="G1861" s="36"/>
      <c r="H1861" s="36"/>
      <c r="I1861" s="40"/>
      <c r="J1861" s="31"/>
      <c r="K1861" s="36"/>
      <c r="M1861" s="37"/>
      <c r="N1861" s="37"/>
      <c r="O1861" s="37"/>
      <c r="P1861" s="36"/>
      <c r="Q1861" s="36"/>
      <c r="R1861" s="31"/>
      <c r="S1861" s="31"/>
      <c r="T1861" s="38"/>
      <c r="U1861" s="39">
        <f>IFERROR(_xlfn.XLOOKUP(E1861,[1]EMPREENDIMENTO!C:C,[1]EMPREENDIMENTO!D:D),"")</f>
        <v>0</v>
      </c>
    </row>
    <row r="1862" spans="1:21" hidden="1" x14ac:dyDescent="0.35">
      <c r="A1862" s="36"/>
      <c r="B1862" s="36"/>
      <c r="C1862" s="36"/>
      <c r="D1862" s="36"/>
      <c r="E1862" s="36"/>
      <c r="F1862" s="36"/>
      <c r="G1862" s="36"/>
      <c r="H1862" s="36"/>
      <c r="I1862" s="40"/>
      <c r="J1862" s="31"/>
      <c r="K1862" s="36"/>
      <c r="M1862" s="37"/>
      <c r="N1862" s="37"/>
      <c r="O1862" s="37"/>
      <c r="P1862" s="36"/>
      <c r="Q1862" s="36"/>
      <c r="R1862" s="31"/>
      <c r="S1862" s="31"/>
      <c r="T1862" s="38"/>
      <c r="U1862" s="39">
        <f>IFERROR(_xlfn.XLOOKUP(E1862,[1]EMPREENDIMENTO!C:C,[1]EMPREENDIMENTO!D:D),"")</f>
        <v>0</v>
      </c>
    </row>
    <row r="1863" spans="1:21" hidden="1" x14ac:dyDescent="0.35">
      <c r="A1863" s="36"/>
      <c r="B1863" s="36"/>
      <c r="C1863" s="36"/>
      <c r="D1863" s="36"/>
      <c r="E1863" s="36"/>
      <c r="F1863" s="36"/>
      <c r="G1863" s="36"/>
      <c r="H1863" s="36"/>
      <c r="I1863" s="40"/>
      <c r="J1863" s="31"/>
      <c r="K1863" s="36"/>
      <c r="M1863" s="37"/>
      <c r="N1863" s="37"/>
      <c r="O1863" s="37"/>
      <c r="P1863" s="36"/>
      <c r="Q1863" s="36"/>
      <c r="R1863" s="31"/>
      <c r="S1863" s="31"/>
      <c r="T1863" s="38"/>
      <c r="U1863" s="39">
        <f>IFERROR(_xlfn.XLOOKUP(E1863,[1]EMPREENDIMENTO!C:C,[1]EMPREENDIMENTO!D:D),"")</f>
        <v>0</v>
      </c>
    </row>
    <row r="1864" spans="1:21" hidden="1" x14ac:dyDescent="0.35">
      <c r="A1864" s="36"/>
      <c r="B1864" s="36"/>
      <c r="C1864" s="36"/>
      <c r="D1864" s="36"/>
      <c r="E1864" s="36"/>
      <c r="F1864" s="36"/>
      <c r="G1864" s="36"/>
      <c r="H1864" s="36"/>
      <c r="I1864" s="40"/>
      <c r="J1864" s="31"/>
      <c r="K1864" s="36"/>
      <c r="M1864" s="37"/>
      <c r="N1864" s="37"/>
      <c r="O1864" s="37"/>
      <c r="P1864" s="36"/>
      <c r="Q1864" s="36"/>
      <c r="R1864" s="31"/>
      <c r="S1864" s="31"/>
      <c r="T1864" s="38"/>
      <c r="U1864" s="39">
        <f>IFERROR(_xlfn.XLOOKUP(E1864,[1]EMPREENDIMENTO!C:C,[1]EMPREENDIMENTO!D:D),"")</f>
        <v>0</v>
      </c>
    </row>
    <row r="1865" spans="1:21" hidden="1" x14ac:dyDescent="0.35">
      <c r="A1865" s="36"/>
      <c r="B1865" s="36"/>
      <c r="C1865" s="36"/>
      <c r="D1865" s="36"/>
      <c r="E1865" s="36"/>
      <c r="F1865" s="36"/>
      <c r="G1865" s="36"/>
      <c r="H1865" s="36"/>
      <c r="I1865" s="40"/>
      <c r="J1865" s="31"/>
      <c r="K1865" s="36"/>
      <c r="M1865" s="37"/>
      <c r="N1865" s="37"/>
      <c r="O1865" s="37"/>
      <c r="P1865" s="36"/>
      <c r="Q1865" s="36"/>
      <c r="R1865" s="31"/>
      <c r="S1865" s="31"/>
      <c r="T1865" s="38"/>
      <c r="U1865" s="39">
        <f>IFERROR(_xlfn.XLOOKUP(E1865,[1]EMPREENDIMENTO!C:C,[1]EMPREENDIMENTO!D:D),"")</f>
        <v>0</v>
      </c>
    </row>
    <row r="1866" spans="1:21" hidden="1" x14ac:dyDescent="0.35">
      <c r="A1866" s="36"/>
      <c r="B1866" s="36"/>
      <c r="C1866" s="36"/>
      <c r="D1866" s="36"/>
      <c r="E1866" s="36"/>
      <c r="F1866" s="36"/>
      <c r="G1866" s="36"/>
      <c r="H1866" s="36"/>
      <c r="I1866" s="40"/>
      <c r="J1866" s="31"/>
      <c r="K1866" s="36"/>
      <c r="M1866" s="37"/>
      <c r="N1866" s="37"/>
      <c r="O1866" s="37"/>
      <c r="P1866" s="36"/>
      <c r="Q1866" s="36"/>
      <c r="R1866" s="31"/>
      <c r="S1866" s="31"/>
      <c r="T1866" s="38"/>
      <c r="U1866" s="39">
        <f>IFERROR(_xlfn.XLOOKUP(E1866,[1]EMPREENDIMENTO!C:C,[1]EMPREENDIMENTO!D:D),"")</f>
        <v>0</v>
      </c>
    </row>
    <row r="1867" spans="1:21" hidden="1" x14ac:dyDescent="0.35">
      <c r="A1867" s="36"/>
      <c r="B1867" s="36"/>
      <c r="C1867" s="36"/>
      <c r="D1867" s="36"/>
      <c r="E1867" s="36"/>
      <c r="F1867" s="36"/>
      <c r="G1867" s="36"/>
      <c r="H1867" s="36"/>
      <c r="I1867" s="40"/>
      <c r="J1867" s="31"/>
      <c r="K1867" s="36"/>
      <c r="M1867" s="37"/>
      <c r="N1867" s="37"/>
      <c r="O1867" s="37"/>
      <c r="P1867" s="36"/>
      <c r="Q1867" s="36"/>
      <c r="R1867" s="31"/>
      <c r="S1867" s="31"/>
      <c r="T1867" s="38"/>
      <c r="U1867" s="39">
        <f>IFERROR(_xlfn.XLOOKUP(E1867,[1]EMPREENDIMENTO!C:C,[1]EMPREENDIMENTO!D:D),"")</f>
        <v>0</v>
      </c>
    </row>
    <row r="1868" spans="1:21" hidden="1" x14ac:dyDescent="0.35">
      <c r="A1868" s="36"/>
      <c r="B1868" s="36"/>
      <c r="C1868" s="36"/>
      <c r="D1868" s="36"/>
      <c r="E1868" s="36"/>
      <c r="F1868" s="36"/>
      <c r="G1868" s="36"/>
      <c r="H1868" s="36"/>
      <c r="I1868" s="40"/>
      <c r="J1868" s="31"/>
      <c r="K1868" s="36"/>
      <c r="M1868" s="37"/>
      <c r="N1868" s="37"/>
      <c r="O1868" s="37"/>
      <c r="P1868" s="36"/>
      <c r="Q1868" s="36"/>
      <c r="R1868" s="31"/>
      <c r="S1868" s="31"/>
      <c r="T1868" s="38"/>
      <c r="U1868" s="39">
        <f>IFERROR(_xlfn.XLOOKUP(E1868,[1]EMPREENDIMENTO!C:C,[1]EMPREENDIMENTO!D:D),"")</f>
        <v>0</v>
      </c>
    </row>
    <row r="1869" spans="1:21" hidden="1" x14ac:dyDescent="0.35">
      <c r="A1869" s="36"/>
      <c r="B1869" s="36"/>
      <c r="C1869" s="36"/>
      <c r="D1869" s="36"/>
      <c r="E1869" s="36"/>
      <c r="F1869" s="36"/>
      <c r="G1869" s="36"/>
      <c r="H1869" s="36"/>
      <c r="I1869" s="40"/>
      <c r="J1869" s="31"/>
      <c r="K1869" s="36"/>
      <c r="M1869" s="37"/>
      <c r="N1869" s="37"/>
      <c r="O1869" s="37"/>
      <c r="P1869" s="36"/>
      <c r="Q1869" s="36"/>
      <c r="R1869" s="31"/>
      <c r="S1869" s="31"/>
      <c r="T1869" s="38"/>
      <c r="U1869" s="39">
        <f>IFERROR(_xlfn.XLOOKUP(E1869,[1]EMPREENDIMENTO!C:C,[1]EMPREENDIMENTO!D:D),"")</f>
        <v>0</v>
      </c>
    </row>
    <row r="1870" spans="1:21" hidden="1" x14ac:dyDescent="0.35">
      <c r="A1870" s="36"/>
      <c r="B1870" s="36"/>
      <c r="C1870" s="36"/>
      <c r="D1870" s="36"/>
      <c r="E1870" s="36"/>
      <c r="F1870" s="36"/>
      <c r="G1870" s="36"/>
      <c r="H1870" s="36"/>
      <c r="I1870" s="40"/>
      <c r="J1870" s="31"/>
      <c r="K1870" s="36"/>
      <c r="M1870" s="37"/>
      <c r="N1870" s="37"/>
      <c r="O1870" s="37"/>
      <c r="P1870" s="36"/>
      <c r="Q1870" s="36"/>
      <c r="R1870" s="31"/>
      <c r="S1870" s="31"/>
      <c r="T1870" s="38"/>
      <c r="U1870" s="39">
        <f>IFERROR(_xlfn.XLOOKUP(E1870,[1]EMPREENDIMENTO!C:C,[1]EMPREENDIMENTO!D:D),"")</f>
        <v>0</v>
      </c>
    </row>
    <row r="1871" spans="1:21" hidden="1" x14ac:dyDescent="0.35">
      <c r="A1871" s="36"/>
      <c r="B1871" s="36"/>
      <c r="C1871" s="36"/>
      <c r="D1871" s="36"/>
      <c r="E1871" s="36"/>
      <c r="F1871" s="36"/>
      <c r="G1871" s="36"/>
      <c r="H1871" s="36"/>
      <c r="I1871" s="40"/>
      <c r="J1871" s="31"/>
      <c r="K1871" s="36"/>
      <c r="M1871" s="37"/>
      <c r="N1871" s="37"/>
      <c r="O1871" s="37"/>
      <c r="P1871" s="36"/>
      <c r="Q1871" s="36"/>
      <c r="R1871" s="31"/>
      <c r="S1871" s="31"/>
      <c r="T1871" s="38"/>
      <c r="U1871" s="39">
        <f>IFERROR(_xlfn.XLOOKUP(E1871,[1]EMPREENDIMENTO!C:C,[1]EMPREENDIMENTO!D:D),"")</f>
        <v>0</v>
      </c>
    </row>
    <row r="1872" spans="1:21" hidden="1" x14ac:dyDescent="0.35">
      <c r="A1872" s="36"/>
      <c r="B1872" s="36"/>
      <c r="C1872" s="36"/>
      <c r="D1872" s="36"/>
      <c r="E1872" s="36"/>
      <c r="F1872" s="36"/>
      <c r="G1872" s="36"/>
      <c r="H1872" s="36"/>
      <c r="I1872" s="40"/>
      <c r="J1872" s="31"/>
      <c r="K1872" s="36"/>
      <c r="M1872" s="37"/>
      <c r="N1872" s="37"/>
      <c r="O1872" s="37"/>
      <c r="P1872" s="36"/>
      <c r="Q1872" s="36"/>
      <c r="R1872" s="31"/>
      <c r="S1872" s="31"/>
      <c r="T1872" s="38"/>
      <c r="U1872" s="39">
        <f>IFERROR(_xlfn.XLOOKUP(E1872,[1]EMPREENDIMENTO!C:C,[1]EMPREENDIMENTO!D:D),"")</f>
        <v>0</v>
      </c>
    </row>
    <row r="1873" spans="1:21" hidden="1" x14ac:dyDescent="0.35">
      <c r="A1873" s="36"/>
      <c r="B1873" s="36"/>
      <c r="C1873" s="36"/>
      <c r="D1873" s="36"/>
      <c r="E1873" s="36"/>
      <c r="F1873" s="36"/>
      <c r="G1873" s="36"/>
      <c r="H1873" s="36"/>
      <c r="I1873" s="40"/>
      <c r="J1873" s="31"/>
      <c r="K1873" s="36"/>
      <c r="M1873" s="37"/>
      <c r="N1873" s="37"/>
      <c r="O1873" s="37"/>
      <c r="P1873" s="36"/>
      <c r="Q1873" s="36"/>
      <c r="R1873" s="31"/>
      <c r="S1873" s="31"/>
      <c r="T1873" s="38"/>
      <c r="U1873" s="39">
        <f>IFERROR(_xlfn.XLOOKUP(E1873,[1]EMPREENDIMENTO!C:C,[1]EMPREENDIMENTO!D:D),"")</f>
        <v>0</v>
      </c>
    </row>
    <row r="1874" spans="1:21" hidden="1" x14ac:dyDescent="0.35">
      <c r="A1874" s="36"/>
      <c r="B1874" s="36"/>
      <c r="C1874" s="36"/>
      <c r="D1874" s="36"/>
      <c r="E1874" s="36"/>
      <c r="F1874" s="36"/>
      <c r="G1874" s="36"/>
      <c r="H1874" s="36"/>
      <c r="I1874" s="40"/>
      <c r="J1874" s="31"/>
      <c r="K1874" s="36"/>
      <c r="M1874" s="37"/>
      <c r="N1874" s="37"/>
      <c r="O1874" s="37"/>
      <c r="P1874" s="36"/>
      <c r="Q1874" s="36"/>
      <c r="R1874" s="31"/>
      <c r="S1874" s="31"/>
      <c r="T1874" s="38"/>
      <c r="U1874" s="39">
        <f>IFERROR(_xlfn.XLOOKUP(E1874,[1]EMPREENDIMENTO!C:C,[1]EMPREENDIMENTO!D:D),"")</f>
        <v>0</v>
      </c>
    </row>
    <row r="1875" spans="1:21" hidden="1" x14ac:dyDescent="0.35">
      <c r="A1875" s="36"/>
      <c r="B1875" s="36"/>
      <c r="C1875" s="36"/>
      <c r="D1875" s="36"/>
      <c r="E1875" s="36"/>
      <c r="F1875" s="36"/>
      <c r="G1875" s="36"/>
      <c r="H1875" s="36"/>
      <c r="I1875" s="40"/>
      <c r="J1875" s="31"/>
      <c r="K1875" s="36"/>
      <c r="M1875" s="37"/>
      <c r="N1875" s="37"/>
      <c r="O1875" s="37"/>
      <c r="P1875" s="36"/>
      <c r="Q1875" s="36"/>
      <c r="R1875" s="31"/>
      <c r="S1875" s="31"/>
      <c r="T1875" s="38"/>
      <c r="U1875" s="39">
        <f>IFERROR(_xlfn.XLOOKUP(E1875,[1]EMPREENDIMENTO!C:C,[1]EMPREENDIMENTO!D:D),"")</f>
        <v>0</v>
      </c>
    </row>
    <row r="1876" spans="1:21" hidden="1" x14ac:dyDescent="0.35">
      <c r="A1876" s="36"/>
      <c r="B1876" s="36"/>
      <c r="C1876" s="36"/>
      <c r="D1876" s="36"/>
      <c r="E1876" s="36"/>
      <c r="F1876" s="36"/>
      <c r="G1876" s="36"/>
      <c r="H1876" s="36"/>
      <c r="I1876" s="40"/>
      <c r="J1876" s="31"/>
      <c r="K1876" s="36"/>
      <c r="M1876" s="37"/>
      <c r="N1876" s="37"/>
      <c r="O1876" s="37"/>
      <c r="P1876" s="36"/>
      <c r="Q1876" s="36"/>
      <c r="R1876" s="31"/>
      <c r="S1876" s="31"/>
      <c r="T1876" s="38"/>
      <c r="U1876" s="39">
        <f>IFERROR(_xlfn.XLOOKUP(E1876,[1]EMPREENDIMENTO!C:C,[1]EMPREENDIMENTO!D:D),"")</f>
        <v>0</v>
      </c>
    </row>
    <row r="1877" spans="1:21" hidden="1" x14ac:dyDescent="0.35">
      <c r="A1877" s="36"/>
      <c r="B1877" s="36"/>
      <c r="C1877" s="36"/>
      <c r="D1877" s="36"/>
      <c r="E1877" s="36"/>
      <c r="F1877" s="36"/>
      <c r="G1877" s="36"/>
      <c r="H1877" s="36"/>
      <c r="I1877" s="40"/>
      <c r="J1877" s="31"/>
      <c r="K1877" s="36"/>
      <c r="M1877" s="37"/>
      <c r="N1877" s="37"/>
      <c r="O1877" s="37"/>
      <c r="P1877" s="36"/>
      <c r="Q1877" s="36"/>
      <c r="R1877" s="31"/>
      <c r="S1877" s="31"/>
      <c r="T1877" s="38"/>
      <c r="U1877" s="39">
        <f>IFERROR(_xlfn.XLOOKUP(E1877,[1]EMPREENDIMENTO!C:C,[1]EMPREENDIMENTO!D:D),"")</f>
        <v>0</v>
      </c>
    </row>
    <row r="1878" spans="1:21" hidden="1" x14ac:dyDescent="0.35">
      <c r="A1878" s="36"/>
      <c r="B1878" s="36"/>
      <c r="C1878" s="36"/>
      <c r="D1878" s="36"/>
      <c r="E1878" s="36"/>
      <c r="F1878" s="36"/>
      <c r="G1878" s="36"/>
      <c r="H1878" s="36"/>
      <c r="I1878" s="40"/>
      <c r="J1878" s="31"/>
      <c r="K1878" s="36"/>
      <c r="M1878" s="37"/>
      <c r="N1878" s="37"/>
      <c r="O1878" s="37"/>
      <c r="P1878" s="36"/>
      <c r="Q1878" s="36"/>
      <c r="R1878" s="31"/>
      <c r="S1878" s="31"/>
      <c r="T1878" s="38"/>
      <c r="U1878" s="39">
        <f>IFERROR(_xlfn.XLOOKUP(E1878,[1]EMPREENDIMENTO!C:C,[1]EMPREENDIMENTO!D:D),"")</f>
        <v>0</v>
      </c>
    </row>
    <row r="1879" spans="1:21" hidden="1" x14ac:dyDescent="0.35">
      <c r="A1879" s="36"/>
      <c r="B1879" s="36"/>
      <c r="C1879" s="36"/>
      <c r="D1879" s="36"/>
      <c r="E1879" s="36"/>
      <c r="F1879" s="36"/>
      <c r="G1879" s="36"/>
      <c r="H1879" s="36"/>
      <c r="I1879" s="40"/>
      <c r="J1879" s="31"/>
      <c r="K1879" s="36"/>
      <c r="M1879" s="37"/>
      <c r="N1879" s="37"/>
      <c r="O1879" s="37"/>
      <c r="P1879" s="36"/>
      <c r="Q1879" s="36"/>
      <c r="R1879" s="31"/>
      <c r="S1879" s="31"/>
      <c r="T1879" s="38"/>
      <c r="U1879" s="39">
        <f>IFERROR(_xlfn.XLOOKUP(E1879,[1]EMPREENDIMENTO!C:C,[1]EMPREENDIMENTO!D:D),"")</f>
        <v>0</v>
      </c>
    </row>
    <row r="1880" spans="1:21" hidden="1" x14ac:dyDescent="0.35">
      <c r="A1880" s="36"/>
      <c r="B1880" s="36"/>
      <c r="C1880" s="36"/>
      <c r="D1880" s="36"/>
      <c r="E1880" s="36"/>
      <c r="F1880" s="36"/>
      <c r="G1880" s="36"/>
      <c r="H1880" s="36"/>
      <c r="I1880" s="40"/>
      <c r="J1880" s="31"/>
      <c r="K1880" s="36"/>
      <c r="M1880" s="37"/>
      <c r="N1880" s="37"/>
      <c r="O1880" s="37"/>
      <c r="P1880" s="36"/>
      <c r="Q1880" s="36"/>
      <c r="R1880" s="31"/>
      <c r="S1880" s="31"/>
      <c r="T1880" s="38"/>
      <c r="U1880" s="39">
        <f>IFERROR(_xlfn.XLOOKUP(E1880,[1]EMPREENDIMENTO!C:C,[1]EMPREENDIMENTO!D:D),"")</f>
        <v>0</v>
      </c>
    </row>
    <row r="1881" spans="1:21" hidden="1" x14ac:dyDescent="0.35">
      <c r="A1881" s="36"/>
      <c r="B1881" s="36"/>
      <c r="C1881" s="36"/>
      <c r="D1881" s="36"/>
      <c r="E1881" s="36"/>
      <c r="F1881" s="36"/>
      <c r="G1881" s="36"/>
      <c r="H1881" s="36"/>
      <c r="I1881" s="40"/>
      <c r="J1881" s="31"/>
      <c r="K1881" s="36"/>
      <c r="M1881" s="37"/>
      <c r="N1881" s="37"/>
      <c r="O1881" s="37"/>
      <c r="P1881" s="36"/>
      <c r="Q1881" s="36"/>
      <c r="R1881" s="31"/>
      <c r="S1881" s="31"/>
      <c r="T1881" s="38"/>
      <c r="U1881" s="39">
        <f>IFERROR(_xlfn.XLOOKUP(E1881,[1]EMPREENDIMENTO!C:C,[1]EMPREENDIMENTO!D:D),"")</f>
        <v>0</v>
      </c>
    </row>
    <row r="1882" spans="1:21" hidden="1" x14ac:dyDescent="0.35">
      <c r="A1882" s="36"/>
      <c r="B1882" s="36"/>
      <c r="C1882" s="36"/>
      <c r="D1882" s="36"/>
      <c r="E1882" s="36"/>
      <c r="F1882" s="36"/>
      <c r="G1882" s="36"/>
      <c r="H1882" s="36"/>
      <c r="I1882" s="40"/>
      <c r="J1882" s="31"/>
      <c r="K1882" s="36"/>
      <c r="M1882" s="37"/>
      <c r="N1882" s="37"/>
      <c r="O1882" s="37"/>
      <c r="P1882" s="36"/>
      <c r="Q1882" s="36"/>
      <c r="R1882" s="31"/>
      <c r="S1882" s="31"/>
      <c r="T1882" s="38"/>
      <c r="U1882" s="39">
        <f>IFERROR(_xlfn.XLOOKUP(E1882,[1]EMPREENDIMENTO!C:C,[1]EMPREENDIMENTO!D:D),"")</f>
        <v>0</v>
      </c>
    </row>
    <row r="1883" spans="1:21" hidden="1" x14ac:dyDescent="0.35">
      <c r="A1883" s="36"/>
      <c r="B1883" s="36"/>
      <c r="C1883" s="36"/>
      <c r="D1883" s="36"/>
      <c r="E1883" s="36"/>
      <c r="F1883" s="36"/>
      <c r="G1883" s="36"/>
      <c r="H1883" s="36"/>
      <c r="I1883" s="40"/>
      <c r="J1883" s="31"/>
      <c r="K1883" s="36"/>
      <c r="M1883" s="37"/>
      <c r="N1883" s="37"/>
      <c r="O1883" s="37"/>
      <c r="P1883" s="36"/>
      <c r="Q1883" s="36"/>
      <c r="R1883" s="31"/>
      <c r="S1883" s="31"/>
      <c r="T1883" s="38"/>
      <c r="U1883" s="39">
        <f>IFERROR(_xlfn.XLOOKUP(E1883,[1]EMPREENDIMENTO!C:C,[1]EMPREENDIMENTO!D:D),"")</f>
        <v>0</v>
      </c>
    </row>
    <row r="1884" spans="1:21" hidden="1" x14ac:dyDescent="0.35">
      <c r="A1884" s="36"/>
      <c r="B1884" s="36"/>
      <c r="C1884" s="36"/>
      <c r="D1884" s="36"/>
      <c r="E1884" s="36"/>
      <c r="F1884" s="36"/>
      <c r="G1884" s="36"/>
      <c r="H1884" s="36"/>
      <c r="I1884" s="40"/>
      <c r="J1884" s="31"/>
      <c r="K1884" s="36"/>
      <c r="M1884" s="37"/>
      <c r="N1884" s="37"/>
      <c r="O1884" s="37"/>
      <c r="P1884" s="36"/>
      <c r="Q1884" s="36"/>
      <c r="R1884" s="31"/>
      <c r="S1884" s="31"/>
      <c r="T1884" s="38"/>
      <c r="U1884" s="39">
        <f>IFERROR(_xlfn.XLOOKUP(E1884,[1]EMPREENDIMENTO!C:C,[1]EMPREENDIMENTO!D:D),"")</f>
        <v>0</v>
      </c>
    </row>
    <row r="1885" spans="1:21" hidden="1" x14ac:dyDescent="0.35">
      <c r="A1885" s="36"/>
      <c r="B1885" s="36"/>
      <c r="C1885" s="36"/>
      <c r="D1885" s="36"/>
      <c r="E1885" s="36"/>
      <c r="F1885" s="36"/>
      <c r="G1885" s="36"/>
      <c r="H1885" s="36"/>
      <c r="I1885" s="40"/>
      <c r="J1885" s="31"/>
      <c r="K1885" s="36"/>
      <c r="M1885" s="37"/>
      <c r="N1885" s="37"/>
      <c r="O1885" s="37"/>
      <c r="P1885" s="36"/>
      <c r="Q1885" s="36"/>
      <c r="R1885" s="31"/>
      <c r="S1885" s="31"/>
      <c r="T1885" s="38"/>
      <c r="U1885" s="39">
        <f>IFERROR(_xlfn.XLOOKUP(E1885,[1]EMPREENDIMENTO!C:C,[1]EMPREENDIMENTO!D:D),"")</f>
        <v>0</v>
      </c>
    </row>
    <row r="1886" spans="1:21" hidden="1" x14ac:dyDescent="0.35">
      <c r="A1886" s="36"/>
      <c r="B1886" s="36"/>
      <c r="C1886" s="36"/>
      <c r="D1886" s="36"/>
      <c r="E1886" s="36"/>
      <c r="F1886" s="36"/>
      <c r="G1886" s="36"/>
      <c r="H1886" s="36"/>
      <c r="I1886" s="40"/>
      <c r="J1886" s="31"/>
      <c r="K1886" s="36"/>
      <c r="M1886" s="37"/>
      <c r="N1886" s="37"/>
      <c r="O1886" s="37"/>
      <c r="P1886" s="36"/>
      <c r="Q1886" s="36"/>
      <c r="R1886" s="31"/>
      <c r="S1886" s="31"/>
      <c r="T1886" s="38"/>
      <c r="U1886" s="39">
        <f>IFERROR(_xlfn.XLOOKUP(E1886,[1]EMPREENDIMENTO!C:C,[1]EMPREENDIMENTO!D:D),"")</f>
        <v>0</v>
      </c>
    </row>
    <row r="1887" spans="1:21" hidden="1" x14ac:dyDescent="0.35">
      <c r="A1887" s="36"/>
      <c r="B1887" s="36"/>
      <c r="C1887" s="36"/>
      <c r="D1887" s="36"/>
      <c r="E1887" s="36"/>
      <c r="F1887" s="36"/>
      <c r="G1887" s="36"/>
      <c r="H1887" s="36"/>
      <c r="I1887" s="40"/>
      <c r="J1887" s="31"/>
      <c r="K1887" s="36"/>
      <c r="M1887" s="37"/>
      <c r="N1887" s="37"/>
      <c r="O1887" s="37"/>
      <c r="P1887" s="36"/>
      <c r="Q1887" s="36"/>
      <c r="R1887" s="31"/>
      <c r="S1887" s="31"/>
      <c r="T1887" s="38"/>
      <c r="U1887" s="39">
        <f>IFERROR(_xlfn.XLOOKUP(E1887,[1]EMPREENDIMENTO!C:C,[1]EMPREENDIMENTO!D:D),"")</f>
        <v>0</v>
      </c>
    </row>
    <row r="1888" spans="1:21" hidden="1" x14ac:dyDescent="0.35">
      <c r="A1888" s="36"/>
      <c r="B1888" s="36"/>
      <c r="C1888" s="36"/>
      <c r="D1888" s="36"/>
      <c r="E1888" s="36"/>
      <c r="F1888" s="36"/>
      <c r="G1888" s="36"/>
      <c r="H1888" s="36"/>
      <c r="I1888" s="40"/>
      <c r="J1888" s="31"/>
      <c r="K1888" s="36"/>
      <c r="M1888" s="37"/>
      <c r="N1888" s="37"/>
      <c r="O1888" s="37"/>
      <c r="P1888" s="36"/>
      <c r="Q1888" s="36"/>
      <c r="R1888" s="31"/>
      <c r="S1888" s="31"/>
      <c r="T1888" s="38"/>
      <c r="U1888" s="39">
        <f>IFERROR(_xlfn.XLOOKUP(E1888,[1]EMPREENDIMENTO!C:C,[1]EMPREENDIMENTO!D:D),"")</f>
        <v>0</v>
      </c>
    </row>
    <row r="1889" spans="1:21" hidden="1" x14ac:dyDescent="0.35">
      <c r="A1889" s="36"/>
      <c r="B1889" s="36"/>
      <c r="C1889" s="36"/>
      <c r="D1889" s="36"/>
      <c r="E1889" s="36"/>
      <c r="F1889" s="36"/>
      <c r="G1889" s="36"/>
      <c r="H1889" s="36"/>
      <c r="I1889" s="40"/>
      <c r="J1889" s="31"/>
      <c r="K1889" s="36"/>
      <c r="M1889" s="37"/>
      <c r="N1889" s="37"/>
      <c r="O1889" s="37"/>
      <c r="P1889" s="36"/>
      <c r="Q1889" s="36"/>
      <c r="R1889" s="31"/>
      <c r="S1889" s="31"/>
      <c r="T1889" s="38"/>
      <c r="U1889" s="39">
        <f>IFERROR(_xlfn.XLOOKUP(E1889,[1]EMPREENDIMENTO!C:C,[1]EMPREENDIMENTO!D:D),"")</f>
        <v>0</v>
      </c>
    </row>
    <row r="1890" spans="1:21" hidden="1" x14ac:dyDescent="0.35">
      <c r="A1890" s="36"/>
      <c r="B1890" s="36"/>
      <c r="C1890" s="36"/>
      <c r="D1890" s="36"/>
      <c r="E1890" s="36"/>
      <c r="F1890" s="36"/>
      <c r="G1890" s="36"/>
      <c r="H1890" s="36"/>
      <c r="I1890" s="40"/>
      <c r="J1890" s="31"/>
      <c r="K1890" s="36"/>
      <c r="M1890" s="37"/>
      <c r="N1890" s="37"/>
      <c r="O1890" s="37"/>
      <c r="P1890" s="36"/>
      <c r="Q1890" s="36"/>
      <c r="R1890" s="31"/>
      <c r="S1890" s="31"/>
      <c r="T1890" s="38"/>
      <c r="U1890" s="39">
        <f>IFERROR(_xlfn.XLOOKUP(E1890,[1]EMPREENDIMENTO!C:C,[1]EMPREENDIMENTO!D:D),"")</f>
        <v>0</v>
      </c>
    </row>
    <row r="1891" spans="1:21" hidden="1" x14ac:dyDescent="0.35">
      <c r="A1891" s="36"/>
      <c r="B1891" s="36"/>
      <c r="C1891" s="36"/>
      <c r="D1891" s="36"/>
      <c r="E1891" s="36"/>
      <c r="F1891" s="36"/>
      <c r="G1891" s="36"/>
      <c r="H1891" s="36"/>
      <c r="I1891" s="40"/>
      <c r="J1891" s="31"/>
      <c r="K1891" s="36"/>
      <c r="M1891" s="37"/>
      <c r="N1891" s="37"/>
      <c r="O1891" s="37"/>
      <c r="P1891" s="36"/>
      <c r="Q1891" s="36"/>
      <c r="R1891" s="31"/>
      <c r="S1891" s="31"/>
      <c r="T1891" s="38"/>
      <c r="U1891" s="39">
        <f>IFERROR(_xlfn.XLOOKUP(E1891,[1]EMPREENDIMENTO!C:C,[1]EMPREENDIMENTO!D:D),"")</f>
        <v>0</v>
      </c>
    </row>
    <row r="1892" spans="1:21" hidden="1" x14ac:dyDescent="0.35">
      <c r="A1892" s="36"/>
      <c r="B1892" s="36"/>
      <c r="C1892" s="36"/>
      <c r="D1892" s="36"/>
      <c r="E1892" s="36"/>
      <c r="F1892" s="36"/>
      <c r="G1892" s="36"/>
      <c r="H1892" s="36"/>
      <c r="I1892" s="40"/>
      <c r="J1892" s="31"/>
      <c r="K1892" s="36"/>
      <c r="M1892" s="37"/>
      <c r="N1892" s="37"/>
      <c r="O1892" s="37"/>
      <c r="P1892" s="36"/>
      <c r="Q1892" s="36"/>
      <c r="R1892" s="31"/>
      <c r="S1892" s="31"/>
      <c r="T1892" s="38"/>
      <c r="U1892" s="39">
        <f>IFERROR(_xlfn.XLOOKUP(E1892,[1]EMPREENDIMENTO!C:C,[1]EMPREENDIMENTO!D:D),"")</f>
        <v>0</v>
      </c>
    </row>
    <row r="1893" spans="1:21" hidden="1" x14ac:dyDescent="0.35">
      <c r="A1893" s="36"/>
      <c r="B1893" s="36"/>
      <c r="C1893" s="36"/>
      <c r="D1893" s="36"/>
      <c r="E1893" s="36"/>
      <c r="F1893" s="36"/>
      <c r="G1893" s="36"/>
      <c r="H1893" s="36"/>
      <c r="I1893" s="40"/>
      <c r="J1893" s="31"/>
      <c r="K1893" s="36"/>
      <c r="M1893" s="37"/>
      <c r="N1893" s="37"/>
      <c r="O1893" s="37"/>
      <c r="P1893" s="36"/>
      <c r="Q1893" s="36"/>
      <c r="R1893" s="31"/>
      <c r="S1893" s="31"/>
      <c r="T1893" s="38"/>
      <c r="U1893" s="39">
        <f>IFERROR(_xlfn.XLOOKUP(E1893,[1]EMPREENDIMENTO!C:C,[1]EMPREENDIMENTO!D:D),"")</f>
        <v>0</v>
      </c>
    </row>
    <row r="1894" spans="1:21" hidden="1" x14ac:dyDescent="0.35">
      <c r="A1894" s="36"/>
      <c r="B1894" s="36"/>
      <c r="C1894" s="36"/>
      <c r="D1894" s="36"/>
      <c r="E1894" s="36"/>
      <c r="F1894" s="36"/>
      <c r="G1894" s="36"/>
      <c r="H1894" s="36"/>
      <c r="I1894" s="40"/>
      <c r="J1894" s="31"/>
      <c r="K1894" s="36"/>
      <c r="M1894" s="37"/>
      <c r="N1894" s="37"/>
      <c r="O1894" s="37"/>
      <c r="P1894" s="36"/>
      <c r="Q1894" s="36"/>
      <c r="R1894" s="31"/>
      <c r="S1894" s="31"/>
      <c r="T1894" s="38"/>
      <c r="U1894" s="39">
        <f>IFERROR(_xlfn.XLOOKUP(E1894,[1]EMPREENDIMENTO!C:C,[1]EMPREENDIMENTO!D:D),"")</f>
        <v>0</v>
      </c>
    </row>
    <row r="1895" spans="1:21" hidden="1" x14ac:dyDescent="0.35">
      <c r="A1895" s="36"/>
      <c r="B1895" s="36"/>
      <c r="C1895" s="36"/>
      <c r="D1895" s="36"/>
      <c r="E1895" s="36"/>
      <c r="F1895" s="36"/>
      <c r="G1895" s="36"/>
      <c r="H1895" s="36"/>
      <c r="I1895" s="40"/>
      <c r="J1895" s="31"/>
      <c r="K1895" s="36"/>
      <c r="M1895" s="37"/>
      <c r="N1895" s="37"/>
      <c r="O1895" s="37"/>
      <c r="P1895" s="36"/>
      <c r="Q1895" s="36"/>
      <c r="R1895" s="31"/>
      <c r="S1895" s="31"/>
      <c r="T1895" s="38"/>
      <c r="U1895" s="39">
        <f>IFERROR(_xlfn.XLOOKUP(E1895,[1]EMPREENDIMENTO!C:C,[1]EMPREENDIMENTO!D:D),"")</f>
        <v>0</v>
      </c>
    </row>
    <row r="1896" spans="1:21" hidden="1" x14ac:dyDescent="0.35">
      <c r="A1896" s="36"/>
      <c r="B1896" s="36"/>
      <c r="C1896" s="36"/>
      <c r="D1896" s="36"/>
      <c r="E1896" s="36"/>
      <c r="F1896" s="36"/>
      <c r="G1896" s="36"/>
      <c r="H1896" s="36"/>
      <c r="I1896" s="40"/>
      <c r="J1896" s="31"/>
      <c r="K1896" s="36"/>
      <c r="M1896" s="37"/>
      <c r="N1896" s="37"/>
      <c r="O1896" s="37"/>
      <c r="P1896" s="36"/>
      <c r="Q1896" s="36"/>
      <c r="R1896" s="31"/>
      <c r="S1896" s="31"/>
      <c r="T1896" s="38"/>
      <c r="U1896" s="39">
        <f>IFERROR(_xlfn.XLOOKUP(E1896,[1]EMPREENDIMENTO!C:C,[1]EMPREENDIMENTO!D:D),"")</f>
        <v>0</v>
      </c>
    </row>
    <row r="1897" spans="1:21" hidden="1" x14ac:dyDescent="0.35">
      <c r="A1897" s="36"/>
      <c r="B1897" s="36"/>
      <c r="C1897" s="36"/>
      <c r="D1897" s="36"/>
      <c r="E1897" s="36"/>
      <c r="F1897" s="36"/>
      <c r="G1897" s="36"/>
      <c r="H1897" s="36"/>
      <c r="I1897" s="40"/>
      <c r="J1897" s="31"/>
      <c r="K1897" s="36"/>
      <c r="M1897" s="37"/>
      <c r="N1897" s="37"/>
      <c r="O1897" s="37"/>
      <c r="P1897" s="36"/>
      <c r="Q1897" s="36"/>
      <c r="R1897" s="31"/>
      <c r="S1897" s="31"/>
      <c r="T1897" s="38"/>
      <c r="U1897" s="39">
        <f>IFERROR(_xlfn.XLOOKUP(E1897,[1]EMPREENDIMENTO!C:C,[1]EMPREENDIMENTO!D:D),"")</f>
        <v>0</v>
      </c>
    </row>
    <row r="1898" spans="1:21" hidden="1" x14ac:dyDescent="0.35">
      <c r="A1898" s="36"/>
      <c r="B1898" s="36"/>
      <c r="C1898" s="36"/>
      <c r="D1898" s="36"/>
      <c r="E1898" s="36"/>
      <c r="F1898" s="36"/>
      <c r="G1898" s="36"/>
      <c r="H1898" s="36"/>
      <c r="I1898" s="40"/>
      <c r="J1898" s="31"/>
      <c r="K1898" s="36"/>
      <c r="M1898" s="37"/>
      <c r="N1898" s="37"/>
      <c r="O1898" s="37"/>
      <c r="P1898" s="36"/>
      <c r="Q1898" s="36"/>
      <c r="R1898" s="31"/>
      <c r="S1898" s="31"/>
      <c r="T1898" s="38"/>
      <c r="U1898" s="39">
        <f>IFERROR(_xlfn.XLOOKUP(E1898,[1]EMPREENDIMENTO!C:C,[1]EMPREENDIMENTO!D:D),"")</f>
        <v>0</v>
      </c>
    </row>
    <row r="1899" spans="1:21" hidden="1" x14ac:dyDescent="0.35">
      <c r="A1899" s="36"/>
      <c r="B1899" s="36"/>
      <c r="C1899" s="36"/>
      <c r="D1899" s="36"/>
      <c r="E1899" s="36"/>
      <c r="F1899" s="36"/>
      <c r="G1899" s="36"/>
      <c r="H1899" s="36"/>
      <c r="I1899" s="40"/>
      <c r="J1899" s="31"/>
      <c r="K1899" s="36"/>
      <c r="M1899" s="37"/>
      <c r="N1899" s="37"/>
      <c r="O1899" s="37"/>
      <c r="P1899" s="36"/>
      <c r="Q1899" s="36"/>
      <c r="R1899" s="31"/>
      <c r="S1899" s="31"/>
      <c r="T1899" s="38"/>
      <c r="U1899" s="39">
        <f>IFERROR(_xlfn.XLOOKUP(E1899,[1]EMPREENDIMENTO!C:C,[1]EMPREENDIMENTO!D:D),"")</f>
        <v>0</v>
      </c>
    </row>
    <row r="1900" spans="1:21" hidden="1" x14ac:dyDescent="0.35">
      <c r="A1900" s="36"/>
      <c r="B1900" s="36"/>
      <c r="C1900" s="36"/>
      <c r="D1900" s="36"/>
      <c r="E1900" s="36"/>
      <c r="F1900" s="36"/>
      <c r="G1900" s="36"/>
      <c r="H1900" s="36"/>
      <c r="I1900" s="40"/>
      <c r="J1900" s="31"/>
      <c r="K1900" s="36"/>
      <c r="M1900" s="37"/>
      <c r="N1900" s="37"/>
      <c r="O1900" s="37"/>
      <c r="P1900" s="36"/>
      <c r="Q1900" s="36"/>
      <c r="R1900" s="31"/>
      <c r="S1900" s="31"/>
      <c r="T1900" s="38"/>
      <c r="U1900" s="39">
        <f>IFERROR(_xlfn.XLOOKUP(E1900,[1]EMPREENDIMENTO!C:C,[1]EMPREENDIMENTO!D:D),"")</f>
        <v>0</v>
      </c>
    </row>
    <row r="1901" spans="1:21" hidden="1" x14ac:dyDescent="0.35">
      <c r="A1901" s="36"/>
      <c r="B1901" s="36"/>
      <c r="C1901" s="36"/>
      <c r="D1901" s="36"/>
      <c r="E1901" s="36"/>
      <c r="F1901" s="36"/>
      <c r="G1901" s="36"/>
      <c r="H1901" s="36"/>
      <c r="I1901" s="40"/>
      <c r="J1901" s="31"/>
      <c r="K1901" s="36"/>
      <c r="M1901" s="37"/>
      <c r="N1901" s="37"/>
      <c r="O1901" s="37"/>
      <c r="P1901" s="36"/>
      <c r="Q1901" s="36"/>
      <c r="R1901" s="31"/>
      <c r="S1901" s="31"/>
      <c r="T1901" s="38"/>
      <c r="U1901" s="39">
        <f>IFERROR(_xlfn.XLOOKUP(E1901,[1]EMPREENDIMENTO!C:C,[1]EMPREENDIMENTO!D:D),"")</f>
        <v>0</v>
      </c>
    </row>
    <row r="1902" spans="1:21" hidden="1" x14ac:dyDescent="0.35">
      <c r="A1902" s="36"/>
      <c r="B1902" s="36"/>
      <c r="C1902" s="36"/>
      <c r="D1902" s="36"/>
      <c r="E1902" s="36"/>
      <c r="F1902" s="36"/>
      <c r="G1902" s="36"/>
      <c r="H1902" s="36"/>
      <c r="I1902" s="40"/>
      <c r="J1902" s="31"/>
      <c r="K1902" s="36"/>
      <c r="M1902" s="37"/>
      <c r="N1902" s="37"/>
      <c r="O1902" s="37"/>
      <c r="P1902" s="36"/>
      <c r="Q1902" s="36"/>
      <c r="R1902" s="31"/>
      <c r="S1902" s="31"/>
      <c r="T1902" s="38"/>
      <c r="U1902" s="39">
        <f>IFERROR(_xlfn.XLOOKUP(E1902,[1]EMPREENDIMENTO!C:C,[1]EMPREENDIMENTO!D:D),"")</f>
        <v>0</v>
      </c>
    </row>
    <row r="1903" spans="1:21" hidden="1" x14ac:dyDescent="0.35">
      <c r="A1903" s="36"/>
      <c r="B1903" s="36"/>
      <c r="C1903" s="36"/>
      <c r="D1903" s="36"/>
      <c r="E1903" s="36"/>
      <c r="F1903" s="36"/>
      <c r="G1903" s="36"/>
      <c r="H1903" s="36"/>
      <c r="I1903" s="40"/>
      <c r="J1903" s="31"/>
      <c r="K1903" s="36"/>
      <c r="M1903" s="37"/>
      <c r="N1903" s="37"/>
      <c r="O1903" s="37"/>
      <c r="P1903" s="36"/>
      <c r="Q1903" s="36"/>
      <c r="R1903" s="31"/>
      <c r="S1903" s="31"/>
      <c r="T1903" s="38"/>
      <c r="U1903" s="39">
        <f>IFERROR(_xlfn.XLOOKUP(E1903,[1]EMPREENDIMENTO!C:C,[1]EMPREENDIMENTO!D:D),"")</f>
        <v>0</v>
      </c>
    </row>
    <row r="1904" spans="1:21" hidden="1" x14ac:dyDescent="0.35">
      <c r="A1904" s="36"/>
      <c r="B1904" s="36"/>
      <c r="C1904" s="36"/>
      <c r="D1904" s="36"/>
      <c r="E1904" s="36"/>
      <c r="F1904" s="36"/>
      <c r="G1904" s="36"/>
      <c r="H1904" s="36"/>
      <c r="I1904" s="40"/>
      <c r="J1904" s="31"/>
      <c r="K1904" s="36"/>
      <c r="M1904" s="37"/>
      <c r="N1904" s="37"/>
      <c r="O1904" s="37"/>
      <c r="P1904" s="36"/>
      <c r="Q1904" s="36"/>
      <c r="R1904" s="31"/>
      <c r="S1904" s="31"/>
      <c r="T1904" s="38"/>
      <c r="U1904" s="39">
        <f>IFERROR(_xlfn.XLOOKUP(E1904,[1]EMPREENDIMENTO!C:C,[1]EMPREENDIMENTO!D:D),"")</f>
        <v>0</v>
      </c>
    </row>
    <row r="1905" spans="1:21" hidden="1" x14ac:dyDescent="0.35">
      <c r="A1905" s="36"/>
      <c r="B1905" s="36"/>
      <c r="C1905" s="36"/>
      <c r="D1905" s="36"/>
      <c r="E1905" s="36"/>
      <c r="F1905" s="36"/>
      <c r="G1905" s="36"/>
      <c r="H1905" s="36"/>
      <c r="I1905" s="40"/>
      <c r="J1905" s="31"/>
      <c r="K1905" s="36"/>
      <c r="M1905" s="37"/>
      <c r="N1905" s="37"/>
      <c r="O1905" s="37"/>
      <c r="P1905" s="36"/>
      <c r="Q1905" s="36"/>
      <c r="R1905" s="31"/>
      <c r="S1905" s="31"/>
      <c r="T1905" s="38"/>
      <c r="U1905" s="39">
        <f>IFERROR(_xlfn.XLOOKUP(E1905,[1]EMPREENDIMENTO!C:C,[1]EMPREENDIMENTO!D:D),"")</f>
        <v>0</v>
      </c>
    </row>
    <row r="1906" spans="1:21" hidden="1" x14ac:dyDescent="0.35">
      <c r="A1906" s="36"/>
      <c r="B1906" s="36"/>
      <c r="C1906" s="36"/>
      <c r="D1906" s="36"/>
      <c r="E1906" s="36"/>
      <c r="F1906" s="36"/>
      <c r="G1906" s="36"/>
      <c r="H1906" s="36"/>
      <c r="I1906" s="40"/>
      <c r="J1906" s="31"/>
      <c r="K1906" s="36"/>
      <c r="M1906" s="37"/>
      <c r="N1906" s="37"/>
      <c r="O1906" s="37"/>
      <c r="P1906" s="36"/>
      <c r="Q1906" s="36"/>
      <c r="R1906" s="31"/>
      <c r="S1906" s="31"/>
      <c r="T1906" s="38"/>
      <c r="U1906" s="39">
        <f>IFERROR(_xlfn.XLOOKUP(E1906,[1]EMPREENDIMENTO!C:C,[1]EMPREENDIMENTO!D:D),"")</f>
        <v>0</v>
      </c>
    </row>
    <row r="1907" spans="1:21" hidden="1" x14ac:dyDescent="0.35">
      <c r="A1907" s="36"/>
      <c r="B1907" s="36"/>
      <c r="C1907" s="36"/>
      <c r="D1907" s="36"/>
      <c r="E1907" s="36"/>
      <c r="F1907" s="36"/>
      <c r="G1907" s="36"/>
      <c r="H1907" s="36"/>
      <c r="I1907" s="40"/>
      <c r="J1907" s="31"/>
      <c r="K1907" s="36"/>
      <c r="M1907" s="37"/>
      <c r="N1907" s="37"/>
      <c r="O1907" s="37"/>
      <c r="P1907" s="36"/>
      <c r="Q1907" s="36"/>
      <c r="R1907" s="31"/>
      <c r="S1907" s="31"/>
      <c r="T1907" s="38"/>
      <c r="U1907" s="39">
        <f>IFERROR(_xlfn.XLOOKUP(E1907,[1]EMPREENDIMENTO!C:C,[1]EMPREENDIMENTO!D:D),"")</f>
        <v>0</v>
      </c>
    </row>
    <row r="1908" spans="1:21" hidden="1" x14ac:dyDescent="0.35">
      <c r="A1908" s="36"/>
      <c r="B1908" s="36"/>
      <c r="C1908" s="36"/>
      <c r="D1908" s="36"/>
      <c r="E1908" s="36"/>
      <c r="F1908" s="36"/>
      <c r="G1908" s="36"/>
      <c r="H1908" s="36"/>
      <c r="I1908" s="40"/>
      <c r="J1908" s="31"/>
      <c r="K1908" s="36"/>
      <c r="M1908" s="37"/>
      <c r="N1908" s="37"/>
      <c r="O1908" s="37"/>
      <c r="P1908" s="36"/>
      <c r="Q1908" s="36"/>
      <c r="R1908" s="31"/>
      <c r="S1908" s="31"/>
      <c r="T1908" s="38"/>
      <c r="U1908" s="39">
        <f>IFERROR(_xlfn.XLOOKUP(E1908,[1]EMPREENDIMENTO!C:C,[1]EMPREENDIMENTO!D:D),"")</f>
        <v>0</v>
      </c>
    </row>
    <row r="1909" spans="1:21" hidden="1" x14ac:dyDescent="0.35">
      <c r="A1909" s="36"/>
      <c r="B1909" s="36"/>
      <c r="C1909" s="36"/>
      <c r="D1909" s="36"/>
      <c r="E1909" s="36"/>
      <c r="F1909" s="36"/>
      <c r="G1909" s="36"/>
      <c r="H1909" s="36"/>
      <c r="I1909" s="40"/>
      <c r="J1909" s="31"/>
      <c r="K1909" s="36"/>
      <c r="M1909" s="37"/>
      <c r="N1909" s="37"/>
      <c r="O1909" s="37"/>
      <c r="P1909" s="36"/>
      <c r="Q1909" s="36"/>
      <c r="R1909" s="31"/>
      <c r="S1909" s="31"/>
      <c r="T1909" s="38"/>
      <c r="U1909" s="39">
        <f>IFERROR(_xlfn.XLOOKUP(E1909,[1]EMPREENDIMENTO!C:C,[1]EMPREENDIMENTO!D:D),"")</f>
        <v>0</v>
      </c>
    </row>
    <row r="1910" spans="1:21" hidden="1" x14ac:dyDescent="0.35">
      <c r="A1910" s="36"/>
      <c r="B1910" s="36"/>
      <c r="C1910" s="36"/>
      <c r="D1910" s="36"/>
      <c r="E1910" s="36"/>
      <c r="F1910" s="36"/>
      <c r="G1910" s="36"/>
      <c r="H1910" s="36"/>
      <c r="I1910" s="40"/>
      <c r="J1910" s="31"/>
      <c r="K1910" s="36"/>
      <c r="M1910" s="37"/>
      <c r="N1910" s="37"/>
      <c r="O1910" s="37"/>
      <c r="P1910" s="36"/>
      <c r="Q1910" s="36"/>
      <c r="R1910" s="31"/>
      <c r="S1910" s="31"/>
      <c r="T1910" s="38"/>
      <c r="U1910" s="39">
        <f>IFERROR(_xlfn.XLOOKUP(E1910,[1]EMPREENDIMENTO!C:C,[1]EMPREENDIMENTO!D:D),"")</f>
        <v>0</v>
      </c>
    </row>
    <row r="1911" spans="1:21" hidden="1" x14ac:dyDescent="0.35">
      <c r="A1911" s="36"/>
      <c r="B1911" s="36"/>
      <c r="C1911" s="36"/>
      <c r="D1911" s="36"/>
      <c r="E1911" s="36"/>
      <c r="F1911" s="36"/>
      <c r="G1911" s="36"/>
      <c r="H1911" s="36"/>
      <c r="I1911" s="40"/>
      <c r="J1911" s="31"/>
      <c r="K1911" s="36"/>
      <c r="M1911" s="37"/>
      <c r="N1911" s="37"/>
      <c r="O1911" s="37"/>
      <c r="P1911" s="36"/>
      <c r="Q1911" s="36"/>
      <c r="R1911" s="31"/>
      <c r="S1911" s="31"/>
      <c r="T1911" s="38"/>
      <c r="U1911" s="39">
        <f>IFERROR(_xlfn.XLOOKUP(E1911,[1]EMPREENDIMENTO!C:C,[1]EMPREENDIMENTO!D:D),"")</f>
        <v>0</v>
      </c>
    </row>
    <row r="1912" spans="1:21" hidden="1" x14ac:dyDescent="0.35">
      <c r="A1912" s="36"/>
      <c r="B1912" s="36"/>
      <c r="C1912" s="36"/>
      <c r="D1912" s="36"/>
      <c r="E1912" s="36"/>
      <c r="F1912" s="36"/>
      <c r="G1912" s="36"/>
      <c r="H1912" s="36"/>
      <c r="I1912" s="40"/>
      <c r="J1912" s="31"/>
      <c r="K1912" s="36"/>
      <c r="M1912" s="37"/>
      <c r="N1912" s="37"/>
      <c r="O1912" s="37"/>
      <c r="P1912" s="36"/>
      <c r="Q1912" s="36"/>
      <c r="R1912" s="31"/>
      <c r="S1912" s="31"/>
      <c r="T1912" s="38"/>
      <c r="U1912" s="39">
        <f>IFERROR(_xlfn.XLOOKUP(E1912,[1]EMPREENDIMENTO!C:C,[1]EMPREENDIMENTO!D:D),"")</f>
        <v>0</v>
      </c>
    </row>
    <row r="1913" spans="1:21" hidden="1" x14ac:dyDescent="0.35">
      <c r="A1913" s="36"/>
      <c r="B1913" s="36"/>
      <c r="C1913" s="36"/>
      <c r="D1913" s="36"/>
      <c r="E1913" s="36"/>
      <c r="F1913" s="36"/>
      <c r="G1913" s="36"/>
      <c r="H1913" s="36"/>
      <c r="I1913" s="40"/>
      <c r="J1913" s="31"/>
      <c r="K1913" s="36"/>
      <c r="M1913" s="37"/>
      <c r="N1913" s="37"/>
      <c r="O1913" s="37"/>
      <c r="P1913" s="36"/>
      <c r="Q1913" s="36"/>
      <c r="R1913" s="31"/>
      <c r="S1913" s="31"/>
      <c r="T1913" s="38"/>
      <c r="U1913" s="39">
        <f>IFERROR(_xlfn.XLOOKUP(E1913,[1]EMPREENDIMENTO!C:C,[1]EMPREENDIMENTO!D:D),"")</f>
        <v>0</v>
      </c>
    </row>
    <row r="1914" spans="1:21" hidden="1" x14ac:dyDescent="0.35">
      <c r="A1914" s="36"/>
      <c r="B1914" s="36"/>
      <c r="C1914" s="36"/>
      <c r="D1914" s="36"/>
      <c r="E1914" s="36"/>
      <c r="F1914" s="36"/>
      <c r="G1914" s="36"/>
      <c r="H1914" s="36"/>
      <c r="I1914" s="40"/>
      <c r="J1914" s="31"/>
      <c r="K1914" s="36"/>
      <c r="M1914" s="37"/>
      <c r="N1914" s="37"/>
      <c r="O1914" s="37"/>
      <c r="P1914" s="36"/>
      <c r="Q1914" s="36"/>
      <c r="R1914" s="31"/>
      <c r="S1914" s="31"/>
      <c r="T1914" s="38"/>
      <c r="U1914" s="39">
        <f>IFERROR(_xlfn.XLOOKUP(E1914,[1]EMPREENDIMENTO!C:C,[1]EMPREENDIMENTO!D:D),"")</f>
        <v>0</v>
      </c>
    </row>
    <row r="1915" spans="1:21" hidden="1" x14ac:dyDescent="0.35">
      <c r="A1915" s="36"/>
      <c r="B1915" s="36"/>
      <c r="C1915" s="36"/>
      <c r="D1915" s="36"/>
      <c r="E1915" s="36"/>
      <c r="F1915" s="36"/>
      <c r="G1915" s="36"/>
      <c r="H1915" s="36"/>
      <c r="I1915" s="40"/>
      <c r="J1915" s="31"/>
      <c r="K1915" s="36"/>
      <c r="M1915" s="37"/>
      <c r="N1915" s="37"/>
      <c r="O1915" s="37"/>
      <c r="P1915" s="36"/>
      <c r="Q1915" s="36"/>
      <c r="R1915" s="31"/>
      <c r="S1915" s="31"/>
      <c r="T1915" s="38"/>
      <c r="U1915" s="39">
        <f>IFERROR(_xlfn.XLOOKUP(E1915,[1]EMPREENDIMENTO!C:C,[1]EMPREENDIMENTO!D:D),"")</f>
        <v>0</v>
      </c>
    </row>
    <row r="1916" spans="1:21" hidden="1" x14ac:dyDescent="0.35">
      <c r="A1916" s="36"/>
      <c r="B1916" s="36"/>
      <c r="C1916" s="36"/>
      <c r="D1916" s="36"/>
      <c r="E1916" s="36"/>
      <c r="F1916" s="36"/>
      <c r="G1916" s="36"/>
      <c r="H1916" s="36"/>
      <c r="I1916" s="40"/>
      <c r="J1916" s="31"/>
      <c r="K1916" s="36"/>
      <c r="M1916" s="37"/>
      <c r="N1916" s="37"/>
      <c r="O1916" s="37"/>
      <c r="P1916" s="36"/>
      <c r="Q1916" s="36"/>
      <c r="R1916" s="31"/>
      <c r="S1916" s="31"/>
      <c r="T1916" s="38"/>
      <c r="U1916" s="39">
        <f>IFERROR(_xlfn.XLOOKUP(E1916,[1]EMPREENDIMENTO!C:C,[1]EMPREENDIMENTO!D:D),"")</f>
        <v>0</v>
      </c>
    </row>
    <row r="1917" spans="1:21" hidden="1" x14ac:dyDescent="0.35">
      <c r="A1917" s="36"/>
      <c r="B1917" s="36"/>
      <c r="C1917" s="36"/>
      <c r="D1917" s="36"/>
      <c r="E1917" s="36"/>
      <c r="F1917" s="36"/>
      <c r="G1917" s="36"/>
      <c r="H1917" s="36"/>
      <c r="I1917" s="40"/>
      <c r="J1917" s="31"/>
      <c r="K1917" s="36"/>
      <c r="M1917" s="37"/>
      <c r="N1917" s="37"/>
      <c r="O1917" s="37"/>
      <c r="P1917" s="36"/>
      <c r="Q1917" s="36"/>
      <c r="R1917" s="31"/>
      <c r="S1917" s="31"/>
      <c r="T1917" s="38"/>
      <c r="U1917" s="39">
        <f>IFERROR(_xlfn.XLOOKUP(E1917,[1]EMPREENDIMENTO!C:C,[1]EMPREENDIMENTO!D:D),"")</f>
        <v>0</v>
      </c>
    </row>
    <row r="1918" spans="1:21" hidden="1" x14ac:dyDescent="0.35">
      <c r="A1918" s="36"/>
      <c r="B1918" s="36"/>
      <c r="C1918" s="36"/>
      <c r="D1918" s="36"/>
      <c r="E1918" s="36"/>
      <c r="F1918" s="36"/>
      <c r="G1918" s="36"/>
      <c r="H1918" s="36"/>
      <c r="I1918" s="40"/>
      <c r="J1918" s="31"/>
      <c r="K1918" s="36"/>
      <c r="M1918" s="37"/>
      <c r="N1918" s="37"/>
      <c r="O1918" s="37"/>
      <c r="P1918" s="36"/>
      <c r="Q1918" s="36"/>
      <c r="R1918" s="31"/>
      <c r="S1918" s="31"/>
      <c r="T1918" s="38"/>
      <c r="U1918" s="39">
        <f>IFERROR(_xlfn.XLOOKUP(E1918,[1]EMPREENDIMENTO!C:C,[1]EMPREENDIMENTO!D:D),"")</f>
        <v>0</v>
      </c>
    </row>
    <row r="1919" spans="1:21" hidden="1" x14ac:dyDescent="0.35">
      <c r="A1919" s="36"/>
      <c r="B1919" s="36"/>
      <c r="C1919" s="36"/>
      <c r="D1919" s="36"/>
      <c r="E1919" s="36"/>
      <c r="F1919" s="36"/>
      <c r="G1919" s="36"/>
      <c r="H1919" s="36"/>
      <c r="I1919" s="40"/>
      <c r="J1919" s="31"/>
      <c r="K1919" s="36"/>
      <c r="M1919" s="37"/>
      <c r="N1919" s="37"/>
      <c r="O1919" s="37"/>
      <c r="P1919" s="36"/>
      <c r="Q1919" s="36"/>
      <c r="R1919" s="31"/>
      <c r="S1919" s="31"/>
      <c r="T1919" s="38"/>
      <c r="U1919" s="39">
        <f>IFERROR(_xlfn.XLOOKUP(E1919,[1]EMPREENDIMENTO!C:C,[1]EMPREENDIMENTO!D:D),"")</f>
        <v>0</v>
      </c>
    </row>
    <row r="1920" spans="1:21" hidden="1" x14ac:dyDescent="0.35">
      <c r="A1920" s="36"/>
      <c r="B1920" s="36"/>
      <c r="C1920" s="36"/>
      <c r="D1920" s="36"/>
      <c r="E1920" s="36"/>
      <c r="F1920" s="36"/>
      <c r="G1920" s="36"/>
      <c r="H1920" s="36"/>
      <c r="I1920" s="40"/>
      <c r="J1920" s="31"/>
      <c r="K1920" s="36"/>
      <c r="M1920" s="37"/>
      <c r="N1920" s="37"/>
      <c r="O1920" s="37"/>
      <c r="P1920" s="36"/>
      <c r="Q1920" s="36"/>
      <c r="R1920" s="31"/>
      <c r="S1920" s="31"/>
      <c r="T1920" s="38"/>
      <c r="U1920" s="39">
        <f>IFERROR(_xlfn.XLOOKUP(E1920,[1]EMPREENDIMENTO!C:C,[1]EMPREENDIMENTO!D:D),"")</f>
        <v>0</v>
      </c>
    </row>
    <row r="1921" spans="1:21" hidden="1" x14ac:dyDescent="0.35">
      <c r="A1921" s="36"/>
      <c r="B1921" s="36"/>
      <c r="C1921" s="36"/>
      <c r="D1921" s="36"/>
      <c r="E1921" s="36"/>
      <c r="F1921" s="36"/>
      <c r="G1921" s="36"/>
      <c r="H1921" s="36"/>
      <c r="I1921" s="40"/>
      <c r="J1921" s="31"/>
      <c r="K1921" s="36"/>
      <c r="M1921" s="37"/>
      <c r="N1921" s="37"/>
      <c r="O1921" s="37"/>
      <c r="P1921" s="36"/>
      <c r="Q1921" s="36"/>
      <c r="R1921" s="31"/>
      <c r="S1921" s="31"/>
      <c r="T1921" s="38"/>
      <c r="U1921" s="39">
        <f>IFERROR(_xlfn.XLOOKUP(E1921,[1]EMPREENDIMENTO!C:C,[1]EMPREENDIMENTO!D:D),"")</f>
        <v>0</v>
      </c>
    </row>
    <row r="1922" spans="1:21" hidden="1" x14ac:dyDescent="0.35">
      <c r="A1922" s="36"/>
      <c r="B1922" s="36"/>
      <c r="C1922" s="36"/>
      <c r="D1922" s="36"/>
      <c r="E1922" s="36"/>
      <c r="F1922" s="36"/>
      <c r="G1922" s="36"/>
      <c r="H1922" s="36"/>
      <c r="I1922" s="40"/>
      <c r="J1922" s="31"/>
      <c r="K1922" s="36"/>
      <c r="M1922" s="37"/>
      <c r="N1922" s="37"/>
      <c r="O1922" s="37"/>
      <c r="P1922" s="36"/>
      <c r="Q1922" s="36"/>
      <c r="R1922" s="31"/>
      <c r="S1922" s="31"/>
      <c r="T1922" s="38"/>
      <c r="U1922" s="39">
        <f>IFERROR(_xlfn.XLOOKUP(E1922,[1]EMPREENDIMENTO!C:C,[1]EMPREENDIMENTO!D:D),"")</f>
        <v>0</v>
      </c>
    </row>
    <row r="1923" spans="1:21" hidden="1" x14ac:dyDescent="0.35">
      <c r="A1923" s="36"/>
      <c r="B1923" s="36"/>
      <c r="C1923" s="36"/>
      <c r="D1923" s="36"/>
      <c r="E1923" s="36"/>
      <c r="F1923" s="36"/>
      <c r="G1923" s="36"/>
      <c r="H1923" s="36"/>
      <c r="I1923" s="40"/>
      <c r="J1923" s="31"/>
      <c r="K1923" s="36"/>
      <c r="M1923" s="37"/>
      <c r="N1923" s="37"/>
      <c r="O1923" s="37"/>
      <c r="P1923" s="36"/>
      <c r="Q1923" s="36"/>
      <c r="R1923" s="31"/>
      <c r="S1923" s="31"/>
      <c r="T1923" s="38"/>
      <c r="U1923" s="39">
        <f>IFERROR(_xlfn.XLOOKUP(E1923,[1]EMPREENDIMENTO!C:C,[1]EMPREENDIMENTO!D:D),"")</f>
        <v>0</v>
      </c>
    </row>
    <row r="1924" spans="1:21" hidden="1" x14ac:dyDescent="0.35">
      <c r="A1924" s="36"/>
      <c r="B1924" s="36"/>
      <c r="C1924" s="36"/>
      <c r="D1924" s="36"/>
      <c r="E1924" s="36"/>
      <c r="F1924" s="36"/>
      <c r="G1924" s="36"/>
      <c r="H1924" s="36"/>
      <c r="I1924" s="40"/>
      <c r="J1924" s="31"/>
      <c r="K1924" s="36"/>
      <c r="M1924" s="37"/>
      <c r="N1924" s="37"/>
      <c r="O1924" s="37"/>
      <c r="P1924" s="36"/>
      <c r="Q1924" s="36"/>
      <c r="R1924" s="31"/>
      <c r="S1924" s="31"/>
      <c r="T1924" s="38"/>
      <c r="U1924" s="39">
        <f>IFERROR(_xlfn.XLOOKUP(E1924,[1]EMPREENDIMENTO!C:C,[1]EMPREENDIMENTO!D:D),"")</f>
        <v>0</v>
      </c>
    </row>
    <row r="1925" spans="1:21" hidden="1" x14ac:dyDescent="0.35">
      <c r="A1925" s="36"/>
      <c r="B1925" s="36"/>
      <c r="C1925" s="36"/>
      <c r="D1925" s="36"/>
      <c r="E1925" s="36"/>
      <c r="F1925" s="36"/>
      <c r="G1925" s="36"/>
      <c r="H1925" s="36"/>
      <c r="I1925" s="40"/>
      <c r="J1925" s="31"/>
      <c r="K1925" s="36"/>
      <c r="M1925" s="37"/>
      <c r="N1925" s="37"/>
      <c r="O1925" s="37"/>
      <c r="P1925" s="36"/>
      <c r="Q1925" s="36"/>
      <c r="R1925" s="31"/>
      <c r="S1925" s="31"/>
      <c r="T1925" s="38"/>
      <c r="U1925" s="39">
        <f>IFERROR(_xlfn.XLOOKUP(E1925,[1]EMPREENDIMENTO!C:C,[1]EMPREENDIMENTO!D:D),"")</f>
        <v>0</v>
      </c>
    </row>
    <row r="1926" spans="1:21" hidden="1" x14ac:dyDescent="0.35">
      <c r="A1926" s="36"/>
      <c r="B1926" s="36"/>
      <c r="C1926" s="36"/>
      <c r="D1926" s="36"/>
      <c r="E1926" s="36"/>
      <c r="F1926" s="36"/>
      <c r="G1926" s="36"/>
      <c r="H1926" s="36"/>
      <c r="I1926" s="40"/>
      <c r="J1926" s="31"/>
      <c r="K1926" s="36"/>
      <c r="M1926" s="37"/>
      <c r="N1926" s="37"/>
      <c r="O1926" s="37"/>
      <c r="P1926" s="36"/>
      <c r="Q1926" s="36"/>
      <c r="R1926" s="31"/>
      <c r="S1926" s="31"/>
      <c r="T1926" s="38"/>
      <c r="U1926" s="39">
        <f>IFERROR(_xlfn.XLOOKUP(E1926,[1]EMPREENDIMENTO!C:C,[1]EMPREENDIMENTO!D:D),"")</f>
        <v>0</v>
      </c>
    </row>
    <row r="1927" spans="1:21" hidden="1" x14ac:dyDescent="0.35">
      <c r="A1927" s="36"/>
      <c r="B1927" s="36"/>
      <c r="C1927" s="36"/>
      <c r="D1927" s="36"/>
      <c r="E1927" s="36"/>
      <c r="F1927" s="36"/>
      <c r="G1927" s="36"/>
      <c r="H1927" s="36"/>
      <c r="I1927" s="40"/>
      <c r="J1927" s="31"/>
      <c r="K1927" s="36"/>
      <c r="M1927" s="37"/>
      <c r="N1927" s="37"/>
      <c r="O1927" s="37"/>
      <c r="P1927" s="36"/>
      <c r="Q1927" s="36"/>
      <c r="R1927" s="31"/>
      <c r="S1927" s="31"/>
      <c r="T1927" s="38"/>
      <c r="U1927" s="39">
        <f>IFERROR(_xlfn.XLOOKUP(E1927,[1]EMPREENDIMENTO!C:C,[1]EMPREENDIMENTO!D:D),"")</f>
        <v>0</v>
      </c>
    </row>
    <row r="1928" spans="1:21" hidden="1" x14ac:dyDescent="0.35">
      <c r="A1928" s="36"/>
      <c r="B1928" s="36"/>
      <c r="C1928" s="36"/>
      <c r="D1928" s="36"/>
      <c r="E1928" s="36"/>
      <c r="F1928" s="36"/>
      <c r="G1928" s="36"/>
      <c r="H1928" s="36"/>
      <c r="I1928" s="40"/>
      <c r="J1928" s="31"/>
      <c r="K1928" s="36"/>
      <c r="M1928" s="37"/>
      <c r="N1928" s="37"/>
      <c r="O1928" s="37"/>
      <c r="P1928" s="36"/>
      <c r="Q1928" s="36"/>
      <c r="R1928" s="31"/>
      <c r="S1928" s="31"/>
      <c r="T1928" s="38"/>
      <c r="U1928" s="39">
        <f>IFERROR(_xlfn.XLOOKUP(E1928,[1]EMPREENDIMENTO!C:C,[1]EMPREENDIMENTO!D:D),"")</f>
        <v>0</v>
      </c>
    </row>
    <row r="1929" spans="1:21" hidden="1" x14ac:dyDescent="0.35">
      <c r="A1929" s="36"/>
      <c r="B1929" s="36"/>
      <c r="C1929" s="36"/>
      <c r="D1929" s="36"/>
      <c r="E1929" s="36"/>
      <c r="F1929" s="36"/>
      <c r="G1929" s="36"/>
      <c r="H1929" s="36"/>
      <c r="I1929" s="40"/>
      <c r="J1929" s="31"/>
      <c r="K1929" s="36"/>
      <c r="M1929" s="37"/>
      <c r="N1929" s="37"/>
      <c r="O1929" s="37"/>
      <c r="P1929" s="36"/>
      <c r="Q1929" s="36"/>
      <c r="R1929" s="31"/>
      <c r="S1929" s="31"/>
      <c r="T1929" s="38"/>
      <c r="U1929" s="39">
        <f>IFERROR(_xlfn.XLOOKUP(E1929,[1]EMPREENDIMENTO!C:C,[1]EMPREENDIMENTO!D:D),"")</f>
        <v>0</v>
      </c>
    </row>
    <row r="1930" spans="1:21" hidden="1" x14ac:dyDescent="0.35">
      <c r="A1930" s="36"/>
      <c r="B1930" s="36"/>
      <c r="C1930" s="36"/>
      <c r="D1930" s="36"/>
      <c r="E1930" s="36"/>
      <c r="F1930" s="36"/>
      <c r="G1930" s="36"/>
      <c r="H1930" s="36"/>
      <c r="I1930" s="40"/>
      <c r="J1930" s="31"/>
      <c r="K1930" s="36"/>
      <c r="M1930" s="37"/>
      <c r="N1930" s="37"/>
      <c r="O1930" s="37"/>
      <c r="P1930" s="36"/>
      <c r="Q1930" s="36"/>
      <c r="R1930" s="31"/>
      <c r="S1930" s="31"/>
      <c r="T1930" s="38"/>
      <c r="U1930" s="39">
        <f>IFERROR(_xlfn.XLOOKUP(E1930,[1]EMPREENDIMENTO!C:C,[1]EMPREENDIMENTO!D:D),"")</f>
        <v>0</v>
      </c>
    </row>
    <row r="1931" spans="1:21" hidden="1" x14ac:dyDescent="0.35">
      <c r="A1931" s="36"/>
      <c r="B1931" s="36"/>
      <c r="C1931" s="36"/>
      <c r="D1931" s="36"/>
      <c r="E1931" s="36"/>
      <c r="F1931" s="36"/>
      <c r="G1931" s="36"/>
      <c r="H1931" s="36"/>
      <c r="I1931" s="40"/>
      <c r="J1931" s="31"/>
      <c r="K1931" s="36"/>
      <c r="M1931" s="37"/>
      <c r="N1931" s="37"/>
      <c r="O1931" s="37"/>
      <c r="P1931" s="36"/>
      <c r="Q1931" s="36"/>
      <c r="R1931" s="31"/>
      <c r="S1931" s="31"/>
      <c r="T1931" s="38"/>
      <c r="U1931" s="39">
        <f>IFERROR(_xlfn.XLOOKUP(E1931,[1]EMPREENDIMENTO!C:C,[1]EMPREENDIMENTO!D:D),"")</f>
        <v>0</v>
      </c>
    </row>
    <row r="1932" spans="1:21" hidden="1" x14ac:dyDescent="0.35">
      <c r="A1932" s="36"/>
      <c r="B1932" s="36"/>
      <c r="C1932" s="36"/>
      <c r="D1932" s="36"/>
      <c r="E1932" s="36"/>
      <c r="F1932" s="36"/>
      <c r="G1932" s="36"/>
      <c r="H1932" s="36"/>
      <c r="I1932" s="40"/>
      <c r="J1932" s="31"/>
      <c r="K1932" s="36"/>
      <c r="M1932" s="37"/>
      <c r="N1932" s="37"/>
      <c r="O1932" s="37"/>
      <c r="P1932" s="36"/>
      <c r="Q1932" s="36"/>
      <c r="R1932" s="31"/>
      <c r="S1932" s="31"/>
      <c r="T1932" s="38"/>
      <c r="U1932" s="39">
        <f>IFERROR(_xlfn.XLOOKUP(E1932,[1]EMPREENDIMENTO!C:C,[1]EMPREENDIMENTO!D:D),"")</f>
        <v>0</v>
      </c>
    </row>
    <row r="1933" spans="1:21" hidden="1" x14ac:dyDescent="0.35">
      <c r="A1933" s="36"/>
      <c r="B1933" s="36"/>
      <c r="C1933" s="36"/>
      <c r="D1933" s="36"/>
      <c r="E1933" s="36"/>
      <c r="F1933" s="36"/>
      <c r="G1933" s="36"/>
      <c r="H1933" s="36"/>
      <c r="I1933" s="40"/>
      <c r="J1933" s="31"/>
      <c r="K1933" s="36"/>
      <c r="M1933" s="37"/>
      <c r="N1933" s="37"/>
      <c r="O1933" s="37"/>
      <c r="P1933" s="36"/>
      <c r="Q1933" s="36"/>
      <c r="R1933" s="31"/>
      <c r="S1933" s="31"/>
      <c r="T1933" s="38"/>
      <c r="U1933" s="39">
        <f>IFERROR(_xlfn.XLOOKUP(E1933,[1]EMPREENDIMENTO!C:C,[1]EMPREENDIMENTO!D:D),"")</f>
        <v>0</v>
      </c>
    </row>
    <row r="1934" spans="1:21" hidden="1" x14ac:dyDescent="0.35">
      <c r="A1934" s="36"/>
      <c r="B1934" s="36"/>
      <c r="C1934" s="36"/>
      <c r="D1934" s="36"/>
      <c r="E1934" s="36"/>
      <c r="F1934" s="36"/>
      <c r="G1934" s="36"/>
      <c r="H1934" s="36"/>
      <c r="I1934" s="40"/>
      <c r="J1934" s="31"/>
      <c r="K1934" s="36"/>
      <c r="M1934" s="37"/>
      <c r="N1934" s="37"/>
      <c r="O1934" s="37"/>
      <c r="P1934" s="36"/>
      <c r="Q1934" s="36"/>
      <c r="R1934" s="31"/>
      <c r="S1934" s="31"/>
      <c r="T1934" s="38"/>
      <c r="U1934" s="39">
        <f>IFERROR(_xlfn.XLOOKUP(E1934,[1]EMPREENDIMENTO!C:C,[1]EMPREENDIMENTO!D:D),"")</f>
        <v>0</v>
      </c>
    </row>
    <row r="1935" spans="1:21" hidden="1" x14ac:dyDescent="0.35">
      <c r="A1935" s="36"/>
      <c r="B1935" s="36"/>
      <c r="C1935" s="36"/>
      <c r="D1935" s="36"/>
      <c r="E1935" s="36"/>
      <c r="F1935" s="36"/>
      <c r="G1935" s="36"/>
      <c r="H1935" s="36"/>
      <c r="I1935" s="40"/>
      <c r="J1935" s="31"/>
      <c r="K1935" s="36"/>
      <c r="M1935" s="37"/>
      <c r="N1935" s="37"/>
      <c r="O1935" s="37"/>
      <c r="P1935" s="36"/>
      <c r="Q1935" s="36"/>
      <c r="R1935" s="31"/>
      <c r="S1935" s="31"/>
      <c r="T1935" s="38"/>
      <c r="U1935" s="39">
        <f>IFERROR(_xlfn.XLOOKUP(E1935,[1]EMPREENDIMENTO!C:C,[1]EMPREENDIMENTO!D:D),"")</f>
        <v>0</v>
      </c>
    </row>
    <row r="1936" spans="1:21" hidden="1" x14ac:dyDescent="0.35">
      <c r="A1936" s="36"/>
      <c r="B1936" s="36"/>
      <c r="C1936" s="36"/>
      <c r="D1936" s="36"/>
      <c r="E1936" s="36"/>
      <c r="F1936" s="36"/>
      <c r="G1936" s="36"/>
      <c r="H1936" s="36"/>
      <c r="I1936" s="40"/>
      <c r="J1936" s="31"/>
      <c r="K1936" s="36"/>
      <c r="M1936" s="37"/>
      <c r="N1936" s="37"/>
      <c r="O1936" s="37"/>
      <c r="P1936" s="36"/>
      <c r="Q1936" s="36"/>
      <c r="R1936" s="31"/>
      <c r="S1936" s="31"/>
      <c r="T1936" s="38"/>
      <c r="U1936" s="39">
        <f>IFERROR(_xlfn.XLOOKUP(E1936,[1]EMPREENDIMENTO!C:C,[1]EMPREENDIMENTO!D:D),"")</f>
        <v>0</v>
      </c>
    </row>
    <row r="1937" spans="1:21" hidden="1" x14ac:dyDescent="0.35">
      <c r="A1937" s="36"/>
      <c r="B1937" s="36"/>
      <c r="C1937" s="36"/>
      <c r="D1937" s="36"/>
      <c r="E1937" s="36"/>
      <c r="F1937" s="36"/>
      <c r="G1937" s="36"/>
      <c r="H1937" s="36"/>
      <c r="I1937" s="40"/>
      <c r="J1937" s="31"/>
      <c r="K1937" s="36"/>
      <c r="M1937" s="37"/>
      <c r="N1937" s="37"/>
      <c r="O1937" s="37"/>
      <c r="P1937" s="36"/>
      <c r="Q1937" s="36"/>
      <c r="R1937" s="31"/>
      <c r="S1937" s="31"/>
      <c r="T1937" s="38"/>
      <c r="U1937" s="39">
        <f>IFERROR(_xlfn.XLOOKUP(E1937,[1]EMPREENDIMENTO!C:C,[1]EMPREENDIMENTO!D:D),"")</f>
        <v>0</v>
      </c>
    </row>
    <row r="1938" spans="1:21" hidden="1" x14ac:dyDescent="0.35">
      <c r="A1938" s="36"/>
      <c r="B1938" s="36"/>
      <c r="C1938" s="36"/>
      <c r="D1938" s="36"/>
      <c r="E1938" s="36"/>
      <c r="F1938" s="36"/>
      <c r="G1938" s="36"/>
      <c r="H1938" s="36"/>
      <c r="I1938" s="40"/>
      <c r="J1938" s="31"/>
      <c r="K1938" s="36"/>
      <c r="M1938" s="37"/>
      <c r="N1938" s="37"/>
      <c r="O1938" s="37"/>
      <c r="P1938" s="36"/>
      <c r="Q1938" s="36"/>
      <c r="R1938" s="31"/>
      <c r="S1938" s="31"/>
      <c r="T1938" s="38"/>
      <c r="U1938" s="39">
        <f>IFERROR(_xlfn.XLOOKUP(E1938,[1]EMPREENDIMENTO!C:C,[1]EMPREENDIMENTO!D:D),"")</f>
        <v>0</v>
      </c>
    </row>
    <row r="1939" spans="1:21" hidden="1" x14ac:dyDescent="0.35">
      <c r="A1939" s="36"/>
      <c r="B1939" s="36"/>
      <c r="C1939" s="36"/>
      <c r="D1939" s="36"/>
      <c r="E1939" s="36"/>
      <c r="F1939" s="36"/>
      <c r="G1939" s="36"/>
      <c r="H1939" s="36"/>
      <c r="I1939" s="40"/>
      <c r="J1939" s="31"/>
      <c r="K1939" s="36"/>
      <c r="M1939" s="37"/>
      <c r="N1939" s="37"/>
      <c r="O1939" s="37"/>
      <c r="P1939" s="36"/>
      <c r="Q1939" s="36"/>
      <c r="R1939" s="31"/>
      <c r="S1939" s="31"/>
      <c r="T1939" s="38"/>
      <c r="U1939" s="39">
        <f>IFERROR(_xlfn.XLOOKUP(E1939,[1]EMPREENDIMENTO!C:C,[1]EMPREENDIMENTO!D:D),"")</f>
        <v>0</v>
      </c>
    </row>
    <row r="1940" spans="1:21" hidden="1" x14ac:dyDescent="0.35">
      <c r="A1940" s="36"/>
      <c r="B1940" s="36"/>
      <c r="C1940" s="36"/>
      <c r="D1940" s="36"/>
      <c r="E1940" s="36"/>
      <c r="F1940" s="36"/>
      <c r="G1940" s="36"/>
      <c r="H1940" s="36"/>
      <c r="I1940" s="40"/>
      <c r="J1940" s="31"/>
      <c r="K1940" s="36"/>
      <c r="M1940" s="37"/>
      <c r="N1940" s="37"/>
      <c r="O1940" s="37"/>
      <c r="P1940" s="36"/>
      <c r="Q1940" s="36"/>
      <c r="R1940" s="31"/>
      <c r="S1940" s="31"/>
      <c r="T1940" s="38"/>
      <c r="U1940" s="39">
        <f>IFERROR(_xlfn.XLOOKUP(E1940,[1]EMPREENDIMENTO!C:C,[1]EMPREENDIMENTO!D:D),"")</f>
        <v>0</v>
      </c>
    </row>
    <row r="1941" spans="1:21" hidden="1" x14ac:dyDescent="0.35">
      <c r="A1941" s="36"/>
      <c r="B1941" s="36"/>
      <c r="C1941" s="36"/>
      <c r="D1941" s="36"/>
      <c r="E1941" s="36"/>
      <c r="F1941" s="36"/>
      <c r="G1941" s="36"/>
      <c r="H1941" s="36"/>
      <c r="I1941" s="40"/>
      <c r="J1941" s="31"/>
      <c r="K1941" s="36"/>
      <c r="M1941" s="37"/>
      <c r="N1941" s="37"/>
      <c r="O1941" s="37"/>
      <c r="P1941" s="36"/>
      <c r="Q1941" s="36"/>
      <c r="R1941" s="31"/>
      <c r="S1941" s="31"/>
      <c r="T1941" s="38"/>
      <c r="U1941" s="39">
        <f>IFERROR(_xlfn.XLOOKUP(E1941,[1]EMPREENDIMENTO!C:C,[1]EMPREENDIMENTO!D:D),"")</f>
        <v>0</v>
      </c>
    </row>
    <row r="1942" spans="1:21" hidden="1" x14ac:dyDescent="0.35">
      <c r="A1942" s="36"/>
      <c r="B1942" s="36"/>
      <c r="C1942" s="36"/>
      <c r="D1942" s="36"/>
      <c r="E1942" s="36"/>
      <c r="F1942" s="36"/>
      <c r="G1942" s="36"/>
      <c r="H1942" s="36"/>
      <c r="I1942" s="40"/>
      <c r="J1942" s="31"/>
      <c r="K1942" s="36"/>
      <c r="M1942" s="37"/>
      <c r="N1942" s="37"/>
      <c r="O1942" s="37"/>
      <c r="P1942" s="36"/>
      <c r="Q1942" s="36"/>
      <c r="R1942" s="31"/>
      <c r="S1942" s="31"/>
      <c r="T1942" s="38"/>
      <c r="U1942" s="39">
        <f>IFERROR(_xlfn.XLOOKUP(E1942,[1]EMPREENDIMENTO!C:C,[1]EMPREENDIMENTO!D:D),"")</f>
        <v>0</v>
      </c>
    </row>
    <row r="1943" spans="1:21" hidden="1" x14ac:dyDescent="0.35">
      <c r="A1943" s="36"/>
      <c r="B1943" s="36"/>
      <c r="C1943" s="36"/>
      <c r="D1943" s="36"/>
      <c r="E1943" s="36"/>
      <c r="F1943" s="36"/>
      <c r="G1943" s="36"/>
      <c r="H1943" s="36"/>
      <c r="I1943" s="40"/>
      <c r="J1943" s="31"/>
      <c r="K1943" s="36"/>
      <c r="M1943" s="37"/>
      <c r="N1943" s="37"/>
      <c r="O1943" s="37"/>
      <c r="P1943" s="36"/>
      <c r="Q1943" s="36"/>
      <c r="R1943" s="31"/>
      <c r="S1943" s="31"/>
      <c r="T1943" s="38"/>
      <c r="U1943" s="39">
        <f>IFERROR(_xlfn.XLOOKUP(E1943,[1]EMPREENDIMENTO!C:C,[1]EMPREENDIMENTO!D:D),"")</f>
        <v>0</v>
      </c>
    </row>
    <row r="1944" spans="1:21" hidden="1" x14ac:dyDescent="0.35">
      <c r="A1944" s="36"/>
      <c r="B1944" s="36"/>
      <c r="C1944" s="36"/>
      <c r="D1944" s="36"/>
      <c r="E1944" s="36"/>
      <c r="F1944" s="36"/>
      <c r="G1944" s="36"/>
      <c r="H1944" s="36"/>
      <c r="I1944" s="40"/>
      <c r="J1944" s="31"/>
      <c r="K1944" s="36"/>
      <c r="M1944" s="37"/>
      <c r="N1944" s="37"/>
      <c r="O1944" s="37"/>
      <c r="P1944" s="36"/>
      <c r="Q1944" s="36"/>
      <c r="R1944" s="31"/>
      <c r="S1944" s="31"/>
      <c r="T1944" s="38"/>
      <c r="U1944" s="39">
        <f>IFERROR(_xlfn.XLOOKUP(E1944,[1]EMPREENDIMENTO!C:C,[1]EMPREENDIMENTO!D:D),"")</f>
        <v>0</v>
      </c>
    </row>
    <row r="1945" spans="1:21" hidden="1" x14ac:dyDescent="0.35">
      <c r="A1945" s="36"/>
      <c r="B1945" s="36"/>
      <c r="C1945" s="36"/>
      <c r="D1945" s="36"/>
      <c r="E1945" s="36"/>
      <c r="F1945" s="36"/>
      <c r="G1945" s="36"/>
      <c r="H1945" s="36"/>
      <c r="I1945" s="40"/>
      <c r="J1945" s="31"/>
      <c r="K1945" s="36"/>
      <c r="M1945" s="37"/>
      <c r="N1945" s="37"/>
      <c r="O1945" s="37"/>
      <c r="P1945" s="36"/>
      <c r="Q1945" s="36"/>
      <c r="R1945" s="31"/>
      <c r="S1945" s="31"/>
      <c r="T1945" s="38"/>
      <c r="U1945" s="39">
        <f>IFERROR(_xlfn.XLOOKUP(E1945,[1]EMPREENDIMENTO!C:C,[1]EMPREENDIMENTO!D:D),"")</f>
        <v>0</v>
      </c>
    </row>
    <row r="1946" spans="1:21" hidden="1" x14ac:dyDescent="0.35">
      <c r="A1946" s="36"/>
      <c r="B1946" s="36"/>
      <c r="C1946" s="36"/>
      <c r="D1946" s="36"/>
      <c r="E1946" s="36"/>
      <c r="F1946" s="36"/>
      <c r="G1946" s="36"/>
      <c r="H1946" s="36"/>
      <c r="I1946" s="40"/>
      <c r="J1946" s="31"/>
      <c r="K1946" s="36"/>
      <c r="M1946" s="37"/>
      <c r="N1946" s="37"/>
      <c r="O1946" s="37"/>
      <c r="P1946" s="36"/>
      <c r="Q1946" s="36"/>
      <c r="R1946" s="31"/>
      <c r="S1946" s="31"/>
      <c r="T1946" s="38"/>
      <c r="U1946" s="39">
        <f>IFERROR(_xlfn.XLOOKUP(E1946,[1]EMPREENDIMENTO!C:C,[1]EMPREENDIMENTO!D:D),"")</f>
        <v>0</v>
      </c>
    </row>
    <row r="1947" spans="1:21" hidden="1" x14ac:dyDescent="0.35">
      <c r="A1947" s="36"/>
      <c r="B1947" s="36"/>
      <c r="C1947" s="36"/>
      <c r="D1947" s="36"/>
      <c r="E1947" s="36"/>
      <c r="F1947" s="36"/>
      <c r="G1947" s="36"/>
      <c r="H1947" s="36"/>
      <c r="I1947" s="40"/>
      <c r="J1947" s="31"/>
      <c r="K1947" s="36"/>
      <c r="M1947" s="37"/>
      <c r="N1947" s="37"/>
      <c r="O1947" s="37"/>
      <c r="P1947" s="36"/>
      <c r="Q1947" s="36"/>
      <c r="R1947" s="31"/>
      <c r="S1947" s="31"/>
      <c r="T1947" s="38"/>
      <c r="U1947" s="39">
        <f>IFERROR(_xlfn.XLOOKUP(E1947,[1]EMPREENDIMENTO!C:C,[1]EMPREENDIMENTO!D:D),"")</f>
        <v>0</v>
      </c>
    </row>
    <row r="1948" spans="1:21" hidden="1" x14ac:dyDescent="0.35">
      <c r="A1948" s="36"/>
      <c r="B1948" s="36"/>
      <c r="C1948" s="36"/>
      <c r="D1948" s="36"/>
      <c r="E1948" s="36"/>
      <c r="F1948" s="36"/>
      <c r="G1948" s="36"/>
      <c r="H1948" s="36"/>
      <c r="I1948" s="40"/>
      <c r="J1948" s="31"/>
      <c r="K1948" s="36"/>
      <c r="M1948" s="37"/>
      <c r="N1948" s="37"/>
      <c r="O1948" s="37"/>
      <c r="P1948" s="36"/>
      <c r="Q1948" s="36"/>
      <c r="R1948" s="31"/>
      <c r="S1948" s="31"/>
      <c r="T1948" s="38"/>
      <c r="U1948" s="39">
        <f>IFERROR(_xlfn.XLOOKUP(E1948,[1]EMPREENDIMENTO!C:C,[1]EMPREENDIMENTO!D:D),"")</f>
        <v>0</v>
      </c>
    </row>
    <row r="1949" spans="1:21" hidden="1" x14ac:dyDescent="0.35">
      <c r="A1949" s="36"/>
      <c r="B1949" s="36"/>
      <c r="C1949" s="36"/>
      <c r="D1949" s="36"/>
      <c r="E1949" s="36"/>
      <c r="F1949" s="36"/>
      <c r="G1949" s="36"/>
      <c r="H1949" s="36"/>
      <c r="I1949" s="40"/>
      <c r="J1949" s="31"/>
      <c r="K1949" s="36"/>
      <c r="M1949" s="37"/>
      <c r="N1949" s="37"/>
      <c r="O1949" s="37"/>
      <c r="P1949" s="36"/>
      <c r="Q1949" s="36"/>
      <c r="R1949" s="31"/>
      <c r="S1949" s="31"/>
      <c r="T1949" s="38"/>
      <c r="U1949" s="39">
        <f>IFERROR(_xlfn.XLOOKUP(E1949,[1]EMPREENDIMENTO!C:C,[1]EMPREENDIMENTO!D:D),"")</f>
        <v>0</v>
      </c>
    </row>
    <row r="1950" spans="1:21" hidden="1" x14ac:dyDescent="0.35">
      <c r="A1950" s="36"/>
      <c r="B1950" s="36"/>
      <c r="C1950" s="36"/>
      <c r="D1950" s="36"/>
      <c r="E1950" s="36"/>
      <c r="F1950" s="36"/>
      <c r="G1950" s="36"/>
      <c r="H1950" s="36"/>
      <c r="I1950" s="40"/>
      <c r="J1950" s="31"/>
      <c r="K1950" s="36"/>
      <c r="M1950" s="37"/>
      <c r="N1950" s="37"/>
      <c r="O1950" s="37"/>
      <c r="P1950" s="36"/>
      <c r="Q1950" s="36"/>
      <c r="R1950" s="31"/>
      <c r="S1950" s="31"/>
      <c r="T1950" s="38"/>
      <c r="U1950" s="39">
        <f>IFERROR(_xlfn.XLOOKUP(E1950,[1]EMPREENDIMENTO!C:C,[1]EMPREENDIMENTO!D:D),"")</f>
        <v>0</v>
      </c>
    </row>
    <row r="1951" spans="1:21" hidden="1" x14ac:dyDescent="0.35">
      <c r="A1951" s="36"/>
      <c r="B1951" s="36"/>
      <c r="C1951" s="36"/>
      <c r="D1951" s="36"/>
      <c r="E1951" s="36"/>
      <c r="F1951" s="36"/>
      <c r="G1951" s="36"/>
      <c r="H1951" s="36"/>
      <c r="I1951" s="40"/>
      <c r="J1951" s="31"/>
      <c r="K1951" s="36"/>
      <c r="M1951" s="37"/>
      <c r="N1951" s="37"/>
      <c r="O1951" s="37"/>
      <c r="P1951" s="36"/>
      <c r="Q1951" s="36"/>
      <c r="R1951" s="31"/>
      <c r="S1951" s="31"/>
      <c r="T1951" s="38"/>
      <c r="U1951" s="39">
        <f>IFERROR(_xlfn.XLOOKUP(E1951,[1]EMPREENDIMENTO!C:C,[1]EMPREENDIMENTO!D:D),"")</f>
        <v>0</v>
      </c>
    </row>
    <row r="1952" spans="1:21" hidden="1" x14ac:dyDescent="0.35">
      <c r="A1952" s="36"/>
      <c r="B1952" s="36"/>
      <c r="C1952" s="36"/>
      <c r="D1952" s="36"/>
      <c r="E1952" s="36"/>
      <c r="F1952" s="36"/>
      <c r="G1952" s="36"/>
      <c r="H1952" s="36"/>
      <c r="I1952" s="40"/>
      <c r="J1952" s="31"/>
      <c r="K1952" s="36"/>
      <c r="M1952" s="37"/>
      <c r="N1952" s="37"/>
      <c r="O1952" s="37"/>
      <c r="P1952" s="36"/>
      <c r="Q1952" s="36"/>
      <c r="R1952" s="31"/>
      <c r="S1952" s="31"/>
      <c r="T1952" s="38"/>
      <c r="U1952" s="39">
        <f>IFERROR(_xlfn.XLOOKUP(E1952,[1]EMPREENDIMENTO!C:C,[1]EMPREENDIMENTO!D:D),"")</f>
        <v>0</v>
      </c>
    </row>
    <row r="1953" spans="1:21" hidden="1" x14ac:dyDescent="0.35">
      <c r="A1953" s="36"/>
      <c r="B1953" s="36"/>
      <c r="C1953" s="36"/>
      <c r="D1953" s="36"/>
      <c r="E1953" s="36"/>
      <c r="F1953" s="36"/>
      <c r="G1953" s="36"/>
      <c r="H1953" s="36"/>
      <c r="I1953" s="40"/>
      <c r="J1953" s="31"/>
      <c r="K1953" s="36"/>
      <c r="M1953" s="37"/>
      <c r="N1953" s="37"/>
      <c r="O1953" s="37"/>
      <c r="P1953" s="36"/>
      <c r="Q1953" s="36"/>
      <c r="R1953" s="31"/>
      <c r="S1953" s="31"/>
      <c r="T1953" s="38"/>
      <c r="U1953" s="39">
        <f>IFERROR(_xlfn.XLOOKUP(E1953,[1]EMPREENDIMENTO!C:C,[1]EMPREENDIMENTO!D:D),"")</f>
        <v>0</v>
      </c>
    </row>
    <row r="1954" spans="1:21" hidden="1" x14ac:dyDescent="0.35">
      <c r="A1954" s="36"/>
      <c r="B1954" s="36"/>
      <c r="C1954" s="36"/>
      <c r="D1954" s="36"/>
      <c r="E1954" s="36"/>
      <c r="F1954" s="36"/>
      <c r="G1954" s="36"/>
      <c r="H1954" s="36"/>
      <c r="I1954" s="40"/>
      <c r="J1954" s="31"/>
      <c r="K1954" s="36"/>
      <c r="M1954" s="37"/>
      <c r="N1954" s="37"/>
      <c r="O1954" s="37"/>
      <c r="P1954" s="36"/>
      <c r="Q1954" s="36"/>
      <c r="R1954" s="31"/>
      <c r="S1954" s="31"/>
      <c r="T1954" s="38"/>
      <c r="U1954" s="39">
        <f>IFERROR(_xlfn.XLOOKUP(E1954,[1]EMPREENDIMENTO!C:C,[1]EMPREENDIMENTO!D:D),"")</f>
        <v>0</v>
      </c>
    </row>
    <row r="1955" spans="1:21" hidden="1" x14ac:dyDescent="0.35">
      <c r="A1955" s="36"/>
      <c r="B1955" s="36"/>
      <c r="C1955" s="36"/>
      <c r="D1955" s="36"/>
      <c r="E1955" s="36"/>
      <c r="F1955" s="36"/>
      <c r="G1955" s="36"/>
      <c r="H1955" s="36"/>
      <c r="I1955" s="40"/>
      <c r="J1955" s="31"/>
      <c r="K1955" s="36"/>
      <c r="M1955" s="37"/>
      <c r="N1955" s="37"/>
      <c r="O1955" s="37"/>
      <c r="P1955" s="36"/>
      <c r="Q1955" s="36"/>
      <c r="R1955" s="31"/>
      <c r="S1955" s="31"/>
      <c r="T1955" s="38"/>
      <c r="U1955" s="39">
        <f>IFERROR(_xlfn.XLOOKUP(E1955,[1]EMPREENDIMENTO!C:C,[1]EMPREENDIMENTO!D:D),"")</f>
        <v>0</v>
      </c>
    </row>
    <row r="1956" spans="1:21" hidden="1" x14ac:dyDescent="0.35">
      <c r="A1956" s="36"/>
      <c r="B1956" s="36"/>
      <c r="C1956" s="36"/>
      <c r="D1956" s="36"/>
      <c r="E1956" s="36"/>
      <c r="F1956" s="36"/>
      <c r="G1956" s="36"/>
      <c r="H1956" s="36"/>
      <c r="I1956" s="40"/>
      <c r="J1956" s="31"/>
      <c r="K1956" s="36"/>
      <c r="M1956" s="37"/>
      <c r="N1956" s="37"/>
      <c r="O1956" s="37"/>
      <c r="P1956" s="36"/>
      <c r="Q1956" s="36"/>
      <c r="R1956" s="31"/>
      <c r="S1956" s="31"/>
      <c r="T1956" s="38"/>
      <c r="U1956" s="39">
        <f>IFERROR(_xlfn.XLOOKUP(E1956,[1]EMPREENDIMENTO!C:C,[1]EMPREENDIMENTO!D:D),"")</f>
        <v>0</v>
      </c>
    </row>
    <row r="1957" spans="1:21" hidden="1" x14ac:dyDescent="0.35">
      <c r="A1957" s="36"/>
      <c r="B1957" s="36"/>
      <c r="C1957" s="36"/>
      <c r="D1957" s="36"/>
      <c r="E1957" s="36"/>
      <c r="F1957" s="36"/>
      <c r="G1957" s="36"/>
      <c r="H1957" s="36"/>
      <c r="I1957" s="40"/>
      <c r="J1957" s="31"/>
      <c r="K1957" s="36"/>
      <c r="M1957" s="37"/>
      <c r="N1957" s="37"/>
      <c r="O1957" s="37"/>
      <c r="P1957" s="36"/>
      <c r="Q1957" s="36"/>
      <c r="R1957" s="31"/>
      <c r="S1957" s="31"/>
      <c r="T1957" s="38"/>
      <c r="U1957" s="39">
        <f>IFERROR(_xlfn.XLOOKUP(E1957,[1]EMPREENDIMENTO!C:C,[1]EMPREENDIMENTO!D:D),"")</f>
        <v>0</v>
      </c>
    </row>
    <row r="1958" spans="1:21" hidden="1" x14ac:dyDescent="0.35">
      <c r="A1958" s="36"/>
      <c r="B1958" s="36"/>
      <c r="C1958" s="36"/>
      <c r="D1958" s="36"/>
      <c r="E1958" s="36"/>
      <c r="F1958" s="36"/>
      <c r="G1958" s="36"/>
      <c r="H1958" s="36"/>
      <c r="I1958" s="40"/>
      <c r="J1958" s="31"/>
      <c r="K1958" s="36"/>
      <c r="M1958" s="37"/>
      <c r="N1958" s="37"/>
      <c r="O1958" s="37"/>
      <c r="P1958" s="36"/>
      <c r="Q1958" s="36"/>
      <c r="R1958" s="31"/>
      <c r="S1958" s="31"/>
      <c r="T1958" s="38"/>
      <c r="U1958" s="39">
        <f>IFERROR(_xlfn.XLOOKUP(E1958,[1]EMPREENDIMENTO!C:C,[1]EMPREENDIMENTO!D:D),"")</f>
        <v>0</v>
      </c>
    </row>
    <row r="1959" spans="1:21" hidden="1" x14ac:dyDescent="0.35">
      <c r="A1959" s="36"/>
      <c r="B1959" s="36"/>
      <c r="C1959" s="36"/>
      <c r="D1959" s="36"/>
      <c r="E1959" s="36"/>
      <c r="F1959" s="36"/>
      <c r="G1959" s="36"/>
      <c r="H1959" s="36"/>
      <c r="I1959" s="40"/>
      <c r="J1959" s="31"/>
      <c r="K1959" s="36"/>
      <c r="M1959" s="37"/>
      <c r="N1959" s="37"/>
      <c r="O1959" s="37"/>
      <c r="P1959" s="36"/>
      <c r="Q1959" s="36"/>
      <c r="R1959" s="31"/>
      <c r="S1959" s="31"/>
      <c r="T1959" s="38"/>
      <c r="U1959" s="39">
        <f>IFERROR(_xlfn.XLOOKUP(E1959,[1]EMPREENDIMENTO!C:C,[1]EMPREENDIMENTO!D:D),"")</f>
        <v>0</v>
      </c>
    </row>
    <row r="1960" spans="1:21" hidden="1" x14ac:dyDescent="0.35">
      <c r="A1960" s="36"/>
      <c r="B1960" s="36"/>
      <c r="C1960" s="36"/>
      <c r="D1960" s="36"/>
      <c r="E1960" s="36"/>
      <c r="F1960" s="36"/>
      <c r="G1960" s="36"/>
      <c r="H1960" s="36"/>
      <c r="I1960" s="40"/>
      <c r="J1960" s="31"/>
      <c r="K1960" s="36"/>
      <c r="M1960" s="37"/>
      <c r="N1960" s="37"/>
      <c r="O1960" s="37"/>
      <c r="P1960" s="36"/>
      <c r="Q1960" s="36"/>
      <c r="R1960" s="31"/>
      <c r="S1960" s="31"/>
      <c r="T1960" s="38"/>
      <c r="U1960" s="39">
        <f>IFERROR(_xlfn.XLOOKUP(E1960,[1]EMPREENDIMENTO!C:C,[1]EMPREENDIMENTO!D:D),"")</f>
        <v>0</v>
      </c>
    </row>
    <row r="1961" spans="1:21" hidden="1" x14ac:dyDescent="0.35">
      <c r="A1961" s="36"/>
      <c r="B1961" s="36"/>
      <c r="C1961" s="36"/>
      <c r="D1961" s="36"/>
      <c r="E1961" s="36"/>
      <c r="F1961" s="36"/>
      <c r="G1961" s="36"/>
      <c r="H1961" s="36"/>
      <c r="I1961" s="40"/>
      <c r="J1961" s="31"/>
      <c r="K1961" s="36"/>
      <c r="M1961" s="37"/>
      <c r="N1961" s="37"/>
      <c r="O1961" s="37"/>
      <c r="P1961" s="36"/>
      <c r="Q1961" s="36"/>
      <c r="R1961" s="31"/>
      <c r="S1961" s="31"/>
      <c r="T1961" s="38"/>
      <c r="U1961" s="39">
        <f>IFERROR(_xlfn.XLOOKUP(E1961,[1]EMPREENDIMENTO!C:C,[1]EMPREENDIMENTO!D:D),"")</f>
        <v>0</v>
      </c>
    </row>
    <row r="1962" spans="1:21" hidden="1" x14ac:dyDescent="0.35">
      <c r="A1962" s="36"/>
      <c r="B1962" s="36"/>
      <c r="C1962" s="36"/>
      <c r="D1962" s="36"/>
      <c r="E1962" s="36"/>
      <c r="F1962" s="36"/>
      <c r="G1962" s="36"/>
      <c r="H1962" s="36"/>
      <c r="I1962" s="40"/>
      <c r="J1962" s="31"/>
      <c r="K1962" s="36"/>
      <c r="M1962" s="37"/>
      <c r="N1962" s="37"/>
      <c r="O1962" s="37"/>
      <c r="P1962" s="36"/>
      <c r="Q1962" s="36"/>
      <c r="R1962" s="31"/>
      <c r="S1962" s="31"/>
      <c r="T1962" s="38"/>
      <c r="U1962" s="39">
        <f>IFERROR(_xlfn.XLOOKUP(E1962,[1]EMPREENDIMENTO!C:C,[1]EMPREENDIMENTO!D:D),"")</f>
        <v>0</v>
      </c>
    </row>
    <row r="1963" spans="1:21" hidden="1" x14ac:dyDescent="0.35">
      <c r="A1963" s="36"/>
      <c r="B1963" s="36"/>
      <c r="C1963" s="36"/>
      <c r="D1963" s="36"/>
      <c r="E1963" s="36"/>
      <c r="F1963" s="36"/>
      <c r="G1963" s="36"/>
      <c r="H1963" s="36"/>
      <c r="I1963" s="40"/>
      <c r="J1963" s="31"/>
      <c r="K1963" s="36"/>
      <c r="M1963" s="37"/>
      <c r="N1963" s="37"/>
      <c r="O1963" s="37"/>
      <c r="P1963" s="36"/>
      <c r="Q1963" s="36"/>
      <c r="R1963" s="31"/>
      <c r="S1963" s="31"/>
      <c r="T1963" s="38"/>
      <c r="U1963" s="39">
        <f>IFERROR(_xlfn.XLOOKUP(E1963,[1]EMPREENDIMENTO!C:C,[1]EMPREENDIMENTO!D:D),"")</f>
        <v>0</v>
      </c>
    </row>
    <row r="1964" spans="1:21" hidden="1" x14ac:dyDescent="0.35">
      <c r="A1964" s="36"/>
      <c r="B1964" s="36"/>
      <c r="C1964" s="36"/>
      <c r="D1964" s="36"/>
      <c r="E1964" s="36"/>
      <c r="F1964" s="36"/>
      <c r="G1964" s="36"/>
      <c r="H1964" s="36"/>
      <c r="I1964" s="40"/>
      <c r="J1964" s="31"/>
      <c r="K1964" s="36"/>
      <c r="M1964" s="37"/>
      <c r="N1964" s="37"/>
      <c r="O1964" s="37"/>
      <c r="P1964" s="36"/>
      <c r="Q1964" s="36"/>
      <c r="R1964" s="31"/>
      <c r="S1964" s="31"/>
      <c r="T1964" s="38"/>
      <c r="U1964" s="39">
        <f>IFERROR(_xlfn.XLOOKUP(E1964,[1]EMPREENDIMENTO!C:C,[1]EMPREENDIMENTO!D:D),"")</f>
        <v>0</v>
      </c>
    </row>
    <row r="1965" spans="1:21" hidden="1" x14ac:dyDescent="0.35">
      <c r="A1965" s="36"/>
      <c r="B1965" s="36"/>
      <c r="C1965" s="36"/>
      <c r="D1965" s="36"/>
      <c r="E1965" s="36"/>
      <c r="F1965" s="36"/>
      <c r="G1965" s="36"/>
      <c r="H1965" s="36"/>
      <c r="I1965" s="40"/>
      <c r="J1965" s="31"/>
      <c r="K1965" s="36"/>
      <c r="M1965" s="37"/>
      <c r="N1965" s="37"/>
      <c r="O1965" s="37"/>
      <c r="P1965" s="36"/>
      <c r="Q1965" s="36"/>
      <c r="R1965" s="31"/>
      <c r="S1965" s="31"/>
      <c r="T1965" s="38"/>
      <c r="U1965" s="39">
        <f>IFERROR(_xlfn.XLOOKUP(E1965,[1]EMPREENDIMENTO!C:C,[1]EMPREENDIMENTO!D:D),"")</f>
        <v>0</v>
      </c>
    </row>
    <row r="1966" spans="1:21" hidden="1" x14ac:dyDescent="0.35">
      <c r="A1966" s="36"/>
      <c r="B1966" s="36"/>
      <c r="C1966" s="36"/>
      <c r="D1966" s="36"/>
      <c r="E1966" s="36"/>
      <c r="F1966" s="36"/>
      <c r="G1966" s="36"/>
      <c r="H1966" s="36"/>
      <c r="I1966" s="40"/>
      <c r="J1966" s="31"/>
      <c r="K1966" s="36"/>
      <c r="M1966" s="37"/>
      <c r="N1966" s="37"/>
      <c r="O1966" s="37"/>
      <c r="P1966" s="36"/>
      <c r="Q1966" s="36"/>
      <c r="R1966" s="31"/>
      <c r="S1966" s="31"/>
      <c r="T1966" s="38"/>
      <c r="U1966" s="39">
        <f>IFERROR(_xlfn.XLOOKUP(E1966,[1]EMPREENDIMENTO!C:C,[1]EMPREENDIMENTO!D:D),"")</f>
        <v>0</v>
      </c>
    </row>
    <row r="1967" spans="1:21" hidden="1" x14ac:dyDescent="0.35">
      <c r="A1967" s="36"/>
      <c r="B1967" s="36"/>
      <c r="C1967" s="36"/>
      <c r="D1967" s="36"/>
      <c r="E1967" s="36"/>
      <c r="F1967" s="36"/>
      <c r="G1967" s="36"/>
      <c r="H1967" s="36"/>
      <c r="I1967" s="40"/>
      <c r="J1967" s="31"/>
      <c r="K1967" s="36"/>
      <c r="M1967" s="37"/>
      <c r="N1967" s="37"/>
      <c r="O1967" s="37"/>
      <c r="P1967" s="36"/>
      <c r="Q1967" s="36"/>
      <c r="R1967" s="31"/>
      <c r="S1967" s="31"/>
      <c r="T1967" s="38"/>
      <c r="U1967" s="39">
        <f>IFERROR(_xlfn.XLOOKUP(E1967,[1]EMPREENDIMENTO!C:C,[1]EMPREENDIMENTO!D:D),"")</f>
        <v>0</v>
      </c>
    </row>
    <row r="1968" spans="1:21" hidden="1" x14ac:dyDescent="0.35">
      <c r="A1968" s="36"/>
      <c r="B1968" s="36"/>
      <c r="C1968" s="36"/>
      <c r="D1968" s="36"/>
      <c r="E1968" s="36"/>
      <c r="F1968" s="36"/>
      <c r="G1968" s="36"/>
      <c r="H1968" s="36"/>
      <c r="I1968" s="40"/>
      <c r="J1968" s="31"/>
      <c r="K1968" s="36"/>
      <c r="M1968" s="37"/>
      <c r="N1968" s="37"/>
      <c r="O1968" s="37"/>
      <c r="P1968" s="36"/>
      <c r="Q1968" s="36"/>
      <c r="R1968" s="31"/>
      <c r="S1968" s="31"/>
      <c r="T1968" s="38"/>
      <c r="U1968" s="39">
        <f>IFERROR(_xlfn.XLOOKUP(E1968,[1]EMPREENDIMENTO!C:C,[1]EMPREENDIMENTO!D:D),"")</f>
        <v>0</v>
      </c>
    </row>
    <row r="1969" spans="1:21" hidden="1" x14ac:dyDescent="0.35">
      <c r="A1969" s="36"/>
      <c r="B1969" s="36"/>
      <c r="C1969" s="36"/>
      <c r="D1969" s="36"/>
      <c r="E1969" s="36"/>
      <c r="F1969" s="36"/>
      <c r="G1969" s="36"/>
      <c r="H1969" s="36"/>
      <c r="I1969" s="40"/>
      <c r="J1969" s="31"/>
      <c r="K1969" s="36"/>
      <c r="M1969" s="37"/>
      <c r="N1969" s="37"/>
      <c r="O1969" s="37"/>
      <c r="P1969" s="36"/>
      <c r="Q1969" s="36"/>
      <c r="R1969" s="31"/>
      <c r="S1969" s="31"/>
      <c r="T1969" s="38"/>
      <c r="U1969" s="39">
        <f>IFERROR(_xlfn.XLOOKUP(E1969,[1]EMPREENDIMENTO!C:C,[1]EMPREENDIMENTO!D:D),"")</f>
        <v>0</v>
      </c>
    </row>
    <row r="1970" spans="1:21" hidden="1" x14ac:dyDescent="0.35">
      <c r="A1970" s="36"/>
      <c r="B1970" s="36"/>
      <c r="C1970" s="36"/>
      <c r="D1970" s="36"/>
      <c r="E1970" s="36"/>
      <c r="F1970" s="36"/>
      <c r="G1970" s="36"/>
      <c r="H1970" s="36"/>
      <c r="I1970" s="40"/>
      <c r="J1970" s="31"/>
      <c r="K1970" s="36"/>
      <c r="M1970" s="37"/>
      <c r="N1970" s="37"/>
      <c r="O1970" s="37"/>
      <c r="P1970" s="36"/>
      <c r="Q1970" s="36"/>
      <c r="R1970" s="31"/>
      <c r="S1970" s="31"/>
      <c r="T1970" s="38"/>
      <c r="U1970" s="39">
        <f>IFERROR(_xlfn.XLOOKUP(E1970,[1]EMPREENDIMENTO!C:C,[1]EMPREENDIMENTO!D:D),"")</f>
        <v>0</v>
      </c>
    </row>
    <row r="1971" spans="1:21" hidden="1" x14ac:dyDescent="0.35">
      <c r="A1971" s="36"/>
      <c r="B1971" s="36"/>
      <c r="C1971" s="36"/>
      <c r="D1971" s="36"/>
      <c r="E1971" s="36"/>
      <c r="F1971" s="36"/>
      <c r="G1971" s="36"/>
      <c r="H1971" s="36"/>
      <c r="I1971" s="40"/>
      <c r="J1971" s="31"/>
      <c r="K1971" s="36"/>
      <c r="M1971" s="37"/>
      <c r="N1971" s="37"/>
      <c r="O1971" s="37"/>
      <c r="P1971" s="36"/>
      <c r="Q1971" s="36"/>
      <c r="R1971" s="31"/>
      <c r="S1971" s="31"/>
      <c r="T1971" s="38"/>
      <c r="U1971" s="39">
        <f>IFERROR(_xlfn.XLOOKUP(E1971,[1]EMPREENDIMENTO!C:C,[1]EMPREENDIMENTO!D:D),"")</f>
        <v>0</v>
      </c>
    </row>
    <row r="1972" spans="1:21" hidden="1" x14ac:dyDescent="0.35">
      <c r="A1972" s="36"/>
      <c r="B1972" s="36"/>
      <c r="C1972" s="36"/>
      <c r="D1972" s="36"/>
      <c r="E1972" s="36"/>
      <c r="F1972" s="36"/>
      <c r="G1972" s="36"/>
      <c r="H1972" s="36"/>
      <c r="I1972" s="40"/>
      <c r="J1972" s="31"/>
      <c r="K1972" s="36"/>
      <c r="M1972" s="37"/>
      <c r="N1972" s="37"/>
      <c r="O1972" s="37"/>
      <c r="P1972" s="36"/>
      <c r="Q1972" s="36"/>
      <c r="R1972" s="31"/>
      <c r="S1972" s="31"/>
      <c r="T1972" s="38"/>
      <c r="U1972" s="39">
        <f>IFERROR(_xlfn.XLOOKUP(E1972,[1]EMPREENDIMENTO!C:C,[1]EMPREENDIMENTO!D:D),"")</f>
        <v>0</v>
      </c>
    </row>
    <row r="1973" spans="1:21" hidden="1" x14ac:dyDescent="0.35">
      <c r="A1973" s="36"/>
      <c r="B1973" s="36"/>
      <c r="C1973" s="36"/>
      <c r="D1973" s="36"/>
      <c r="E1973" s="36"/>
      <c r="F1973" s="36"/>
      <c r="G1973" s="36"/>
      <c r="H1973" s="36"/>
      <c r="I1973" s="40"/>
      <c r="J1973" s="31"/>
      <c r="K1973" s="36"/>
      <c r="M1973" s="37"/>
      <c r="N1973" s="37"/>
      <c r="O1973" s="37"/>
      <c r="P1973" s="36"/>
      <c r="Q1973" s="36"/>
      <c r="R1973" s="31"/>
      <c r="S1973" s="31"/>
      <c r="T1973" s="38"/>
      <c r="U1973" s="39">
        <f>IFERROR(_xlfn.XLOOKUP(E1973,[1]EMPREENDIMENTO!C:C,[1]EMPREENDIMENTO!D:D),"")</f>
        <v>0</v>
      </c>
    </row>
    <row r="1974" spans="1:21" hidden="1" x14ac:dyDescent="0.35">
      <c r="A1974" s="36"/>
      <c r="B1974" s="36"/>
      <c r="C1974" s="36"/>
      <c r="D1974" s="36"/>
      <c r="E1974" s="36"/>
      <c r="F1974" s="36"/>
      <c r="G1974" s="36"/>
      <c r="H1974" s="36"/>
      <c r="I1974" s="40"/>
      <c r="J1974" s="31"/>
      <c r="K1974" s="36"/>
      <c r="M1974" s="37"/>
      <c r="N1974" s="37"/>
      <c r="O1974" s="37"/>
      <c r="P1974" s="36"/>
      <c r="Q1974" s="36"/>
      <c r="R1974" s="31"/>
      <c r="S1974" s="31"/>
      <c r="T1974" s="38"/>
      <c r="U1974" s="39">
        <f>IFERROR(_xlfn.XLOOKUP(E1974,[1]EMPREENDIMENTO!C:C,[1]EMPREENDIMENTO!D:D),"")</f>
        <v>0</v>
      </c>
    </row>
    <row r="1975" spans="1:21" hidden="1" x14ac:dyDescent="0.35">
      <c r="A1975" s="36"/>
      <c r="B1975" s="36"/>
      <c r="C1975" s="36"/>
      <c r="D1975" s="36"/>
      <c r="E1975" s="36"/>
      <c r="F1975" s="36"/>
      <c r="G1975" s="36"/>
      <c r="H1975" s="36"/>
      <c r="I1975" s="40"/>
      <c r="J1975" s="31"/>
      <c r="K1975" s="36"/>
      <c r="M1975" s="37"/>
      <c r="N1975" s="37"/>
      <c r="O1975" s="37"/>
      <c r="P1975" s="36"/>
      <c r="Q1975" s="36"/>
      <c r="R1975" s="31"/>
      <c r="S1975" s="31"/>
      <c r="T1975" s="38"/>
      <c r="U1975" s="39">
        <f>IFERROR(_xlfn.XLOOKUP(E1975,[1]EMPREENDIMENTO!C:C,[1]EMPREENDIMENTO!D:D),"")</f>
        <v>0</v>
      </c>
    </row>
    <row r="1976" spans="1:21" hidden="1" x14ac:dyDescent="0.35">
      <c r="A1976" s="36"/>
      <c r="B1976" s="36"/>
      <c r="C1976" s="36"/>
      <c r="D1976" s="36"/>
      <c r="E1976" s="36"/>
      <c r="F1976" s="36"/>
      <c r="G1976" s="36"/>
      <c r="H1976" s="36"/>
      <c r="I1976" s="40"/>
      <c r="J1976" s="31"/>
      <c r="K1976" s="36"/>
      <c r="M1976" s="37"/>
      <c r="N1976" s="37"/>
      <c r="O1976" s="37"/>
      <c r="P1976" s="36"/>
      <c r="Q1976" s="36"/>
      <c r="R1976" s="31"/>
      <c r="S1976" s="31"/>
      <c r="T1976" s="38"/>
      <c r="U1976" s="39">
        <f>IFERROR(_xlfn.XLOOKUP(E1976,[1]EMPREENDIMENTO!C:C,[1]EMPREENDIMENTO!D:D),"")</f>
        <v>0</v>
      </c>
    </row>
    <row r="1977" spans="1:21" hidden="1" x14ac:dyDescent="0.35">
      <c r="A1977" s="36"/>
      <c r="B1977" s="36"/>
      <c r="C1977" s="36"/>
      <c r="D1977" s="36"/>
      <c r="E1977" s="36"/>
      <c r="F1977" s="36"/>
      <c r="G1977" s="36"/>
      <c r="H1977" s="36"/>
      <c r="I1977" s="40"/>
      <c r="J1977" s="31"/>
      <c r="K1977" s="36"/>
      <c r="M1977" s="37"/>
      <c r="N1977" s="37"/>
      <c r="O1977" s="37"/>
      <c r="P1977" s="36"/>
      <c r="Q1977" s="36"/>
      <c r="R1977" s="31"/>
      <c r="S1977" s="31"/>
      <c r="T1977" s="38"/>
      <c r="U1977" s="39">
        <f>IFERROR(_xlfn.XLOOKUP(E1977,[1]EMPREENDIMENTO!C:C,[1]EMPREENDIMENTO!D:D),"")</f>
        <v>0</v>
      </c>
    </row>
    <row r="1978" spans="1:21" hidden="1" x14ac:dyDescent="0.35">
      <c r="A1978" s="36"/>
      <c r="B1978" s="36"/>
      <c r="C1978" s="36"/>
      <c r="D1978" s="36"/>
      <c r="E1978" s="36"/>
      <c r="F1978" s="36"/>
      <c r="G1978" s="36"/>
      <c r="H1978" s="36"/>
      <c r="I1978" s="40"/>
      <c r="J1978" s="31"/>
      <c r="K1978" s="36"/>
      <c r="M1978" s="37"/>
      <c r="N1978" s="37"/>
      <c r="O1978" s="37"/>
      <c r="P1978" s="36"/>
      <c r="Q1978" s="36"/>
      <c r="R1978" s="31"/>
      <c r="S1978" s="31"/>
      <c r="T1978" s="38"/>
      <c r="U1978" s="39">
        <f>IFERROR(_xlfn.XLOOKUP(E1978,[1]EMPREENDIMENTO!C:C,[1]EMPREENDIMENTO!D:D),"")</f>
        <v>0</v>
      </c>
    </row>
    <row r="1979" spans="1:21" hidden="1" x14ac:dyDescent="0.35">
      <c r="A1979" s="36"/>
      <c r="B1979" s="36"/>
      <c r="C1979" s="36"/>
      <c r="D1979" s="36"/>
      <c r="E1979" s="36"/>
      <c r="F1979" s="36"/>
      <c r="G1979" s="36"/>
      <c r="H1979" s="36"/>
      <c r="I1979" s="40"/>
      <c r="J1979" s="31"/>
      <c r="K1979" s="36"/>
      <c r="M1979" s="37"/>
      <c r="N1979" s="37"/>
      <c r="O1979" s="37"/>
      <c r="P1979" s="36"/>
      <c r="Q1979" s="36"/>
      <c r="R1979" s="31"/>
      <c r="S1979" s="31"/>
      <c r="T1979" s="38"/>
      <c r="U1979" s="39">
        <f>IFERROR(_xlfn.XLOOKUP(E1979,[1]EMPREENDIMENTO!C:C,[1]EMPREENDIMENTO!D:D),"")</f>
        <v>0</v>
      </c>
    </row>
    <row r="1980" spans="1:21" hidden="1" x14ac:dyDescent="0.35">
      <c r="A1980" s="36"/>
      <c r="B1980" s="36"/>
      <c r="C1980" s="36"/>
      <c r="D1980" s="36"/>
      <c r="E1980" s="36"/>
      <c r="F1980" s="36"/>
      <c r="G1980" s="36"/>
      <c r="H1980" s="36"/>
      <c r="I1980" s="40"/>
      <c r="J1980" s="31"/>
      <c r="K1980" s="36"/>
      <c r="M1980" s="37"/>
      <c r="N1980" s="37"/>
      <c r="O1980" s="37"/>
      <c r="P1980" s="36"/>
      <c r="Q1980" s="36"/>
      <c r="R1980" s="31"/>
      <c r="S1980" s="31"/>
      <c r="T1980" s="38"/>
      <c r="U1980" s="39">
        <f>IFERROR(_xlfn.XLOOKUP(E1980,[1]EMPREENDIMENTO!C:C,[1]EMPREENDIMENTO!D:D),"")</f>
        <v>0</v>
      </c>
    </row>
    <row r="1981" spans="1:21" hidden="1" x14ac:dyDescent="0.35">
      <c r="A1981" s="36"/>
      <c r="B1981" s="36"/>
      <c r="C1981" s="36"/>
      <c r="D1981" s="36"/>
      <c r="E1981" s="36"/>
      <c r="F1981" s="36"/>
      <c r="G1981" s="36"/>
      <c r="H1981" s="36"/>
      <c r="I1981" s="40"/>
      <c r="J1981" s="31"/>
      <c r="K1981" s="36"/>
      <c r="M1981" s="37"/>
      <c r="N1981" s="37"/>
      <c r="O1981" s="37"/>
      <c r="P1981" s="36"/>
      <c r="Q1981" s="36"/>
      <c r="R1981" s="31"/>
      <c r="S1981" s="31"/>
      <c r="T1981" s="38"/>
      <c r="U1981" s="39">
        <f>IFERROR(_xlfn.XLOOKUP(E1981,[1]EMPREENDIMENTO!C:C,[1]EMPREENDIMENTO!D:D),"")</f>
        <v>0</v>
      </c>
    </row>
    <row r="1982" spans="1:21" hidden="1" x14ac:dyDescent="0.35">
      <c r="A1982" s="36"/>
      <c r="B1982" s="36"/>
      <c r="C1982" s="36"/>
      <c r="D1982" s="36"/>
      <c r="E1982" s="36"/>
      <c r="F1982" s="36"/>
      <c r="G1982" s="36"/>
      <c r="H1982" s="36"/>
      <c r="I1982" s="40"/>
      <c r="J1982" s="31"/>
      <c r="K1982" s="36"/>
      <c r="M1982" s="37"/>
      <c r="N1982" s="37"/>
      <c r="O1982" s="37"/>
      <c r="P1982" s="36"/>
      <c r="Q1982" s="36"/>
      <c r="R1982" s="31"/>
      <c r="S1982" s="31"/>
      <c r="T1982" s="38"/>
      <c r="U1982" s="39">
        <f>IFERROR(_xlfn.XLOOKUP(E1982,[1]EMPREENDIMENTO!C:C,[1]EMPREENDIMENTO!D:D),"")</f>
        <v>0</v>
      </c>
    </row>
    <row r="1983" spans="1:21" hidden="1" x14ac:dyDescent="0.35">
      <c r="A1983" s="36"/>
      <c r="B1983" s="36"/>
      <c r="C1983" s="36"/>
      <c r="D1983" s="36"/>
      <c r="E1983" s="36"/>
      <c r="F1983" s="36"/>
      <c r="G1983" s="36"/>
      <c r="H1983" s="36"/>
      <c r="I1983" s="40"/>
      <c r="J1983" s="31"/>
      <c r="K1983" s="36"/>
      <c r="M1983" s="37"/>
      <c r="N1983" s="37"/>
      <c r="O1983" s="37"/>
      <c r="P1983" s="36"/>
      <c r="Q1983" s="36"/>
      <c r="R1983" s="31"/>
      <c r="S1983" s="31"/>
      <c r="T1983" s="38"/>
      <c r="U1983" s="39">
        <f>IFERROR(_xlfn.XLOOKUP(E1983,[1]EMPREENDIMENTO!C:C,[1]EMPREENDIMENTO!D:D),"")</f>
        <v>0</v>
      </c>
    </row>
    <row r="1984" spans="1:21" hidden="1" x14ac:dyDescent="0.35">
      <c r="A1984" s="36"/>
      <c r="B1984" s="36"/>
      <c r="C1984" s="36"/>
      <c r="D1984" s="36"/>
      <c r="E1984" s="36"/>
      <c r="F1984" s="36"/>
      <c r="G1984" s="36"/>
      <c r="H1984" s="36"/>
      <c r="I1984" s="40"/>
      <c r="J1984" s="31"/>
      <c r="K1984" s="36"/>
      <c r="M1984" s="37"/>
      <c r="N1984" s="37"/>
      <c r="O1984" s="37"/>
      <c r="P1984" s="36"/>
      <c r="Q1984" s="36"/>
      <c r="R1984" s="31"/>
      <c r="S1984" s="31"/>
      <c r="T1984" s="38"/>
      <c r="U1984" s="39">
        <f>IFERROR(_xlfn.XLOOKUP(E1984,[1]EMPREENDIMENTO!C:C,[1]EMPREENDIMENTO!D:D),"")</f>
        <v>0</v>
      </c>
    </row>
    <row r="1985" spans="1:21" hidden="1" x14ac:dyDescent="0.35">
      <c r="A1985" s="36"/>
      <c r="B1985" s="36"/>
      <c r="C1985" s="36"/>
      <c r="D1985" s="36"/>
      <c r="E1985" s="36"/>
      <c r="F1985" s="36"/>
      <c r="G1985" s="36"/>
      <c r="H1985" s="36"/>
      <c r="I1985" s="40"/>
      <c r="J1985" s="31"/>
      <c r="K1985" s="36"/>
      <c r="M1985" s="37"/>
      <c r="N1985" s="37"/>
      <c r="O1985" s="37"/>
      <c r="P1985" s="36"/>
      <c r="Q1985" s="36"/>
      <c r="R1985" s="31"/>
      <c r="S1985" s="31"/>
      <c r="T1985" s="38"/>
      <c r="U1985" s="39">
        <f>IFERROR(_xlfn.XLOOKUP(E1985,[1]EMPREENDIMENTO!C:C,[1]EMPREENDIMENTO!D:D),"")</f>
        <v>0</v>
      </c>
    </row>
    <row r="1986" spans="1:21" hidden="1" x14ac:dyDescent="0.35">
      <c r="A1986" s="36"/>
      <c r="B1986" s="36"/>
      <c r="C1986" s="36"/>
      <c r="D1986" s="36"/>
      <c r="E1986" s="36"/>
      <c r="F1986" s="36"/>
      <c r="G1986" s="36"/>
      <c r="H1986" s="36"/>
      <c r="I1986" s="40"/>
      <c r="J1986" s="31"/>
      <c r="K1986" s="36"/>
      <c r="M1986" s="37"/>
      <c r="N1986" s="37"/>
      <c r="O1986" s="37"/>
      <c r="P1986" s="36"/>
      <c r="Q1986" s="36"/>
      <c r="R1986" s="31"/>
      <c r="S1986" s="31"/>
      <c r="T1986" s="38"/>
      <c r="U1986" s="39">
        <f>IFERROR(_xlfn.XLOOKUP(E1986,[1]EMPREENDIMENTO!C:C,[1]EMPREENDIMENTO!D:D),"")</f>
        <v>0</v>
      </c>
    </row>
    <row r="1987" spans="1:21" hidden="1" x14ac:dyDescent="0.35">
      <c r="A1987" s="36"/>
      <c r="B1987" s="36"/>
      <c r="C1987" s="36"/>
      <c r="D1987" s="36"/>
      <c r="E1987" s="36"/>
      <c r="F1987" s="36"/>
      <c r="G1987" s="36"/>
      <c r="H1987" s="36"/>
      <c r="I1987" s="40"/>
      <c r="J1987" s="31"/>
      <c r="K1987" s="36"/>
      <c r="M1987" s="37"/>
      <c r="N1987" s="37"/>
      <c r="O1987" s="37"/>
      <c r="P1987" s="36"/>
      <c r="Q1987" s="36"/>
      <c r="R1987" s="31"/>
      <c r="S1987" s="31"/>
      <c r="T1987" s="38"/>
      <c r="U1987" s="39">
        <f>IFERROR(_xlfn.XLOOKUP(E1987,[1]EMPREENDIMENTO!C:C,[1]EMPREENDIMENTO!D:D),"")</f>
        <v>0</v>
      </c>
    </row>
    <row r="1988" spans="1:21" hidden="1" x14ac:dyDescent="0.35">
      <c r="A1988" s="36"/>
      <c r="B1988" s="36"/>
      <c r="C1988" s="36"/>
      <c r="D1988" s="36"/>
      <c r="E1988" s="36"/>
      <c r="F1988" s="36"/>
      <c r="G1988" s="36"/>
      <c r="H1988" s="36"/>
      <c r="I1988" s="40"/>
      <c r="J1988" s="31"/>
      <c r="K1988" s="36"/>
      <c r="M1988" s="37"/>
      <c r="N1988" s="37"/>
      <c r="O1988" s="37"/>
      <c r="P1988" s="36"/>
      <c r="Q1988" s="36"/>
      <c r="R1988" s="31"/>
      <c r="S1988" s="31"/>
      <c r="T1988" s="38"/>
      <c r="U1988" s="39">
        <f>IFERROR(_xlfn.XLOOKUP(E1988,[1]EMPREENDIMENTO!C:C,[1]EMPREENDIMENTO!D:D),"")</f>
        <v>0</v>
      </c>
    </row>
    <row r="1989" spans="1:21" hidden="1" x14ac:dyDescent="0.35">
      <c r="A1989" s="36"/>
      <c r="B1989" s="36"/>
      <c r="C1989" s="36"/>
      <c r="D1989" s="36"/>
      <c r="E1989" s="36"/>
      <c r="F1989" s="36"/>
      <c r="G1989" s="36"/>
      <c r="H1989" s="36"/>
      <c r="I1989" s="40"/>
      <c r="J1989" s="31"/>
      <c r="K1989" s="36"/>
      <c r="M1989" s="37"/>
      <c r="N1989" s="37"/>
      <c r="O1989" s="37"/>
      <c r="P1989" s="36"/>
      <c r="Q1989" s="36"/>
      <c r="R1989" s="31"/>
      <c r="S1989" s="31"/>
      <c r="T1989" s="38"/>
      <c r="U1989" s="39">
        <f>IFERROR(_xlfn.XLOOKUP(E1989,[1]EMPREENDIMENTO!C:C,[1]EMPREENDIMENTO!D:D),"")</f>
        <v>0</v>
      </c>
    </row>
    <row r="1990" spans="1:21" hidden="1" x14ac:dyDescent="0.35">
      <c r="A1990" s="36"/>
      <c r="B1990" s="36"/>
      <c r="C1990" s="36"/>
      <c r="D1990" s="36"/>
      <c r="E1990" s="36"/>
      <c r="F1990" s="36"/>
      <c r="G1990" s="36"/>
      <c r="H1990" s="36"/>
      <c r="I1990" s="40"/>
      <c r="J1990" s="31"/>
      <c r="K1990" s="36"/>
      <c r="M1990" s="37"/>
      <c r="N1990" s="37"/>
      <c r="O1990" s="37"/>
      <c r="P1990" s="36"/>
      <c r="Q1990" s="36"/>
      <c r="R1990" s="31"/>
      <c r="S1990" s="31"/>
      <c r="T1990" s="38"/>
      <c r="U1990" s="39">
        <f>IFERROR(_xlfn.XLOOKUP(E1990,[1]EMPREENDIMENTO!C:C,[1]EMPREENDIMENTO!D:D),"")</f>
        <v>0</v>
      </c>
    </row>
    <row r="1991" spans="1:21" hidden="1" x14ac:dyDescent="0.35">
      <c r="A1991" s="36"/>
      <c r="B1991" s="36"/>
      <c r="C1991" s="36"/>
      <c r="D1991" s="36"/>
      <c r="E1991" s="36"/>
      <c r="F1991" s="36"/>
      <c r="G1991" s="36"/>
      <c r="H1991" s="36"/>
      <c r="I1991" s="40"/>
      <c r="J1991" s="31"/>
      <c r="K1991" s="36"/>
      <c r="M1991" s="37"/>
      <c r="N1991" s="37"/>
      <c r="O1991" s="37"/>
      <c r="P1991" s="36"/>
      <c r="Q1991" s="36"/>
      <c r="R1991" s="31"/>
      <c r="S1991" s="31"/>
      <c r="T1991" s="38"/>
      <c r="U1991" s="39">
        <f>IFERROR(_xlfn.XLOOKUP(E1991,[1]EMPREENDIMENTO!C:C,[1]EMPREENDIMENTO!D:D),"")</f>
        <v>0</v>
      </c>
    </row>
    <row r="1992" spans="1:21" hidden="1" x14ac:dyDescent="0.35">
      <c r="A1992" s="36"/>
      <c r="B1992" s="36"/>
      <c r="C1992" s="36"/>
      <c r="D1992" s="36"/>
      <c r="E1992" s="36"/>
      <c r="F1992" s="36"/>
      <c r="G1992" s="36"/>
      <c r="H1992" s="36"/>
      <c r="I1992" s="40"/>
      <c r="J1992" s="31"/>
      <c r="K1992" s="36"/>
      <c r="M1992" s="37"/>
      <c r="N1992" s="37"/>
      <c r="O1992" s="37"/>
      <c r="P1992" s="36"/>
      <c r="Q1992" s="36"/>
      <c r="R1992" s="31"/>
      <c r="S1992" s="31"/>
      <c r="T1992" s="38"/>
      <c r="U1992" s="39">
        <f>IFERROR(_xlfn.XLOOKUP(E1992,[1]EMPREENDIMENTO!C:C,[1]EMPREENDIMENTO!D:D),"")</f>
        <v>0</v>
      </c>
    </row>
    <row r="1993" spans="1:21" hidden="1" x14ac:dyDescent="0.35">
      <c r="A1993" s="36"/>
      <c r="B1993" s="36"/>
      <c r="C1993" s="36"/>
      <c r="D1993" s="36"/>
      <c r="E1993" s="36"/>
      <c r="F1993" s="36"/>
      <c r="G1993" s="36"/>
      <c r="H1993" s="36"/>
      <c r="I1993" s="40"/>
      <c r="J1993" s="31"/>
      <c r="K1993" s="36"/>
      <c r="M1993" s="37"/>
      <c r="N1993" s="37"/>
      <c r="O1993" s="37"/>
      <c r="P1993" s="36"/>
      <c r="Q1993" s="36"/>
      <c r="R1993" s="31"/>
      <c r="S1993" s="31"/>
      <c r="T1993" s="38"/>
      <c r="U1993" s="39">
        <f>IFERROR(_xlfn.XLOOKUP(E1993,[1]EMPREENDIMENTO!C:C,[1]EMPREENDIMENTO!D:D),"")</f>
        <v>0</v>
      </c>
    </row>
    <row r="1994" spans="1:21" hidden="1" x14ac:dyDescent="0.35">
      <c r="A1994" s="36"/>
      <c r="B1994" s="36"/>
      <c r="C1994" s="36"/>
      <c r="D1994" s="36"/>
      <c r="E1994" s="36"/>
      <c r="F1994" s="36"/>
      <c r="G1994" s="36"/>
      <c r="H1994" s="36"/>
      <c r="I1994" s="40"/>
      <c r="J1994" s="31"/>
      <c r="K1994" s="36"/>
      <c r="M1994" s="37"/>
      <c r="N1994" s="37"/>
      <c r="O1994" s="37"/>
      <c r="P1994" s="36"/>
      <c r="Q1994" s="36"/>
      <c r="R1994" s="31"/>
      <c r="S1994" s="31"/>
      <c r="T1994" s="38"/>
      <c r="U1994" s="39">
        <f>IFERROR(_xlfn.XLOOKUP(E1994,[1]EMPREENDIMENTO!C:C,[1]EMPREENDIMENTO!D:D),"")</f>
        <v>0</v>
      </c>
    </row>
    <row r="1995" spans="1:21" hidden="1" x14ac:dyDescent="0.35">
      <c r="A1995" s="36"/>
      <c r="B1995" s="36"/>
      <c r="C1995" s="36"/>
      <c r="D1995" s="36"/>
      <c r="E1995" s="36"/>
      <c r="F1995" s="36"/>
      <c r="G1995" s="36"/>
      <c r="H1995" s="36"/>
      <c r="I1995" s="40"/>
      <c r="J1995" s="31"/>
      <c r="K1995" s="36"/>
      <c r="M1995" s="37"/>
      <c r="N1995" s="37"/>
      <c r="O1995" s="37"/>
      <c r="P1995" s="36"/>
      <c r="Q1995" s="36"/>
      <c r="R1995" s="31"/>
      <c r="S1995" s="31"/>
      <c r="T1995" s="38"/>
      <c r="U1995" s="39">
        <f>IFERROR(_xlfn.XLOOKUP(E1995,[1]EMPREENDIMENTO!C:C,[1]EMPREENDIMENTO!D:D),"")</f>
        <v>0</v>
      </c>
    </row>
    <row r="1996" spans="1:21" hidden="1" x14ac:dyDescent="0.35">
      <c r="A1996" s="36"/>
      <c r="B1996" s="36"/>
      <c r="C1996" s="36"/>
      <c r="D1996" s="36"/>
      <c r="E1996" s="36"/>
      <c r="F1996" s="36"/>
      <c r="G1996" s="36"/>
      <c r="H1996" s="36"/>
      <c r="I1996" s="40"/>
      <c r="J1996" s="31"/>
      <c r="K1996" s="36"/>
      <c r="M1996" s="37"/>
      <c r="N1996" s="37"/>
      <c r="O1996" s="37"/>
      <c r="P1996" s="36"/>
      <c r="Q1996" s="36"/>
      <c r="R1996" s="31"/>
      <c r="S1996" s="31"/>
      <c r="T1996" s="38"/>
      <c r="U1996" s="39">
        <f>IFERROR(_xlfn.XLOOKUP(E1996,[1]EMPREENDIMENTO!C:C,[1]EMPREENDIMENTO!D:D),"")</f>
        <v>0</v>
      </c>
    </row>
    <row r="1997" spans="1:21" hidden="1" x14ac:dyDescent="0.35">
      <c r="A1997" s="36"/>
      <c r="B1997" s="36"/>
      <c r="C1997" s="36"/>
      <c r="D1997" s="36"/>
      <c r="E1997" s="36"/>
      <c r="F1997" s="36"/>
      <c r="G1997" s="36"/>
      <c r="H1997" s="36"/>
      <c r="I1997" s="40"/>
      <c r="J1997" s="31"/>
      <c r="K1997" s="36"/>
      <c r="M1997" s="37"/>
      <c r="N1997" s="37"/>
      <c r="O1997" s="37"/>
      <c r="P1997" s="36"/>
      <c r="Q1997" s="36"/>
      <c r="R1997" s="31"/>
      <c r="S1997" s="31"/>
      <c r="T1997" s="38"/>
      <c r="U1997" s="39">
        <f>IFERROR(_xlfn.XLOOKUP(E1997,[1]EMPREENDIMENTO!C:C,[1]EMPREENDIMENTO!D:D),"")</f>
        <v>0</v>
      </c>
    </row>
    <row r="1998" spans="1:21" hidden="1" x14ac:dyDescent="0.35">
      <c r="A1998" s="36"/>
      <c r="B1998" s="36"/>
      <c r="C1998" s="36"/>
      <c r="D1998" s="36"/>
      <c r="E1998" s="36"/>
      <c r="F1998" s="36"/>
      <c r="G1998" s="36"/>
      <c r="H1998" s="36"/>
      <c r="I1998" s="40"/>
      <c r="J1998" s="31"/>
      <c r="K1998" s="36"/>
      <c r="M1998" s="37"/>
      <c r="N1998" s="37"/>
      <c r="O1998" s="37"/>
      <c r="P1998" s="36"/>
      <c r="Q1998" s="36"/>
      <c r="R1998" s="31"/>
      <c r="S1998" s="31"/>
      <c r="T1998" s="38"/>
      <c r="U1998" s="39">
        <f>IFERROR(_xlfn.XLOOKUP(E1998,[1]EMPREENDIMENTO!C:C,[1]EMPREENDIMENTO!D:D),"")</f>
        <v>0</v>
      </c>
    </row>
    <row r="1999" spans="1:21" hidden="1" x14ac:dyDescent="0.35">
      <c r="A1999" s="36"/>
      <c r="B1999" s="36"/>
      <c r="C1999" s="36"/>
      <c r="D1999" s="36"/>
      <c r="E1999" s="36"/>
      <c r="F1999" s="36"/>
      <c r="G1999" s="36"/>
      <c r="H1999" s="36"/>
      <c r="I1999" s="40"/>
      <c r="J1999" s="31"/>
      <c r="K1999" s="36"/>
      <c r="M1999" s="37"/>
      <c r="N1999" s="37"/>
      <c r="O1999" s="37"/>
      <c r="P1999" s="36"/>
      <c r="Q1999" s="36"/>
      <c r="R1999" s="31"/>
      <c r="S1999" s="31"/>
      <c r="T1999" s="38"/>
      <c r="U1999" s="39">
        <f>IFERROR(_xlfn.XLOOKUP(E1999,[1]EMPREENDIMENTO!C:C,[1]EMPREENDIMENTO!D:D),"")</f>
        <v>0</v>
      </c>
    </row>
    <row r="2000" spans="1:21" hidden="1" x14ac:dyDescent="0.35">
      <c r="A2000" s="36"/>
      <c r="B2000" s="36"/>
      <c r="C2000" s="36"/>
      <c r="D2000" s="36"/>
      <c r="E2000" s="36"/>
      <c r="F2000" s="36"/>
      <c r="G2000" s="36"/>
      <c r="H2000" s="36"/>
      <c r="I2000" s="40"/>
      <c r="J2000" s="31"/>
      <c r="K2000" s="36"/>
      <c r="M2000" s="37"/>
      <c r="N2000" s="37"/>
      <c r="O2000" s="37"/>
      <c r="P2000" s="36"/>
      <c r="Q2000" s="36"/>
      <c r="R2000" s="31"/>
      <c r="S2000" s="31"/>
      <c r="T2000" s="38"/>
      <c r="U2000" s="39">
        <f>IFERROR(_xlfn.XLOOKUP(E2000,[1]EMPREENDIMENTO!C:C,[1]EMPREENDIMENTO!D:D),"")</f>
        <v>0</v>
      </c>
    </row>
    <row r="2001" spans="1:21" hidden="1" x14ac:dyDescent="0.35">
      <c r="A2001" s="36"/>
      <c r="B2001" s="36"/>
      <c r="C2001" s="36"/>
      <c r="D2001" s="36"/>
      <c r="E2001" s="36"/>
      <c r="F2001" s="36"/>
      <c r="G2001" s="36"/>
      <c r="H2001" s="36"/>
      <c r="I2001" s="40"/>
      <c r="J2001" s="31"/>
      <c r="K2001" s="36"/>
      <c r="M2001" s="37"/>
      <c r="N2001" s="37"/>
      <c r="O2001" s="37"/>
      <c r="P2001" s="36"/>
      <c r="Q2001" s="36"/>
      <c r="R2001" s="31"/>
      <c r="S2001" s="31"/>
      <c r="T2001" s="38"/>
      <c r="U2001" s="39">
        <f>IFERROR(_xlfn.XLOOKUP(E2001,[1]EMPREENDIMENTO!C:C,[1]EMPREENDIMENTO!D:D),"")</f>
        <v>0</v>
      </c>
    </row>
    <row r="2002" spans="1:21" hidden="1" x14ac:dyDescent="0.35">
      <c r="A2002" s="36"/>
      <c r="B2002" s="36"/>
      <c r="C2002" s="36"/>
      <c r="D2002" s="36"/>
      <c r="E2002" s="36"/>
      <c r="F2002" s="36"/>
      <c r="G2002" s="36"/>
      <c r="H2002" s="36"/>
      <c r="I2002" s="40"/>
      <c r="J2002" s="31"/>
      <c r="K2002" s="36"/>
      <c r="M2002" s="37"/>
      <c r="N2002" s="37"/>
      <c r="O2002" s="37"/>
      <c r="P2002" s="36"/>
      <c r="Q2002" s="36"/>
      <c r="R2002" s="31"/>
      <c r="S2002" s="31"/>
      <c r="T2002" s="38"/>
      <c r="U2002" s="39">
        <f>IFERROR(_xlfn.XLOOKUP(E2002,[1]EMPREENDIMENTO!C:C,[1]EMPREENDIMENTO!D:D),"")</f>
        <v>0</v>
      </c>
    </row>
    <row r="2003" spans="1:21" hidden="1" x14ac:dyDescent="0.35">
      <c r="A2003" s="36"/>
      <c r="B2003" s="36"/>
      <c r="C2003" s="36"/>
      <c r="D2003" s="36"/>
      <c r="E2003" s="36"/>
      <c r="F2003" s="36"/>
      <c r="G2003" s="36"/>
      <c r="H2003" s="36"/>
      <c r="I2003" s="40"/>
      <c r="J2003" s="31"/>
      <c r="K2003" s="36"/>
      <c r="M2003" s="37"/>
      <c r="N2003" s="37"/>
      <c r="O2003" s="37"/>
      <c r="P2003" s="36"/>
      <c r="Q2003" s="36"/>
      <c r="R2003" s="31"/>
      <c r="S2003" s="31"/>
      <c r="T2003" s="38"/>
      <c r="U2003" s="39">
        <f>IFERROR(_xlfn.XLOOKUP(E2003,[1]EMPREENDIMENTO!C:C,[1]EMPREENDIMENTO!D:D),"")</f>
        <v>0</v>
      </c>
    </row>
    <row r="2004" spans="1:21" hidden="1" x14ac:dyDescent="0.35">
      <c r="A2004" s="36"/>
      <c r="B2004" s="36"/>
      <c r="C2004" s="36"/>
      <c r="D2004" s="36"/>
      <c r="E2004" s="36"/>
      <c r="F2004" s="36"/>
      <c r="G2004" s="36"/>
      <c r="H2004" s="36"/>
      <c r="I2004" s="40"/>
      <c r="J2004" s="31"/>
      <c r="K2004" s="36"/>
      <c r="M2004" s="37"/>
      <c r="N2004" s="37"/>
      <c r="O2004" s="37"/>
      <c r="P2004" s="36"/>
      <c r="Q2004" s="36"/>
      <c r="R2004" s="31"/>
      <c r="S2004" s="31"/>
      <c r="T2004" s="38"/>
      <c r="U2004" s="39">
        <f>IFERROR(_xlfn.XLOOKUP(E2004,[1]EMPREENDIMENTO!C:C,[1]EMPREENDIMENTO!D:D),"")</f>
        <v>0</v>
      </c>
    </row>
    <row r="2005" spans="1:21" hidden="1" x14ac:dyDescent="0.35">
      <c r="A2005" s="36"/>
      <c r="B2005" s="36"/>
      <c r="C2005" s="36"/>
      <c r="D2005" s="36"/>
      <c r="E2005" s="36"/>
      <c r="F2005" s="36"/>
      <c r="G2005" s="36"/>
      <c r="H2005" s="36"/>
      <c r="I2005" s="40"/>
      <c r="J2005" s="31"/>
      <c r="K2005" s="36"/>
      <c r="M2005" s="37"/>
      <c r="N2005" s="37"/>
      <c r="O2005" s="37"/>
      <c r="P2005" s="36"/>
      <c r="Q2005" s="36"/>
      <c r="R2005" s="31"/>
      <c r="S2005" s="31"/>
      <c r="T2005" s="38"/>
      <c r="U2005" s="39">
        <f>IFERROR(_xlfn.XLOOKUP(E2005,[1]EMPREENDIMENTO!C:C,[1]EMPREENDIMENTO!D:D),"")</f>
        <v>0</v>
      </c>
    </row>
    <row r="2006" spans="1:21" hidden="1" x14ac:dyDescent="0.35">
      <c r="A2006" s="36"/>
      <c r="B2006" s="36"/>
      <c r="C2006" s="36"/>
      <c r="D2006" s="36"/>
      <c r="E2006" s="36"/>
      <c r="F2006" s="36"/>
      <c r="G2006" s="36"/>
      <c r="H2006" s="36"/>
      <c r="I2006" s="40"/>
      <c r="J2006" s="31"/>
      <c r="K2006" s="36"/>
      <c r="M2006" s="37"/>
      <c r="N2006" s="37"/>
      <c r="O2006" s="37"/>
      <c r="P2006" s="36"/>
      <c r="Q2006" s="36"/>
      <c r="R2006" s="31"/>
      <c r="S2006" s="31"/>
      <c r="T2006" s="38"/>
      <c r="U2006" s="39">
        <f>IFERROR(_xlfn.XLOOKUP(E2006,[1]EMPREENDIMENTO!C:C,[1]EMPREENDIMENTO!D:D),"")</f>
        <v>0</v>
      </c>
    </row>
    <row r="2007" spans="1:21" hidden="1" x14ac:dyDescent="0.35">
      <c r="A2007" s="36"/>
      <c r="B2007" s="36"/>
      <c r="C2007" s="36"/>
      <c r="D2007" s="36"/>
      <c r="E2007" s="36"/>
      <c r="F2007" s="36"/>
      <c r="G2007" s="36"/>
      <c r="H2007" s="36"/>
      <c r="I2007" s="40"/>
      <c r="J2007" s="31"/>
      <c r="K2007" s="36"/>
      <c r="M2007" s="37"/>
      <c r="N2007" s="37"/>
      <c r="O2007" s="37"/>
      <c r="P2007" s="36"/>
      <c r="Q2007" s="36"/>
      <c r="R2007" s="31"/>
      <c r="S2007" s="31"/>
      <c r="T2007" s="38"/>
      <c r="U2007" s="39">
        <f>IFERROR(_xlfn.XLOOKUP(E2007,[1]EMPREENDIMENTO!C:C,[1]EMPREENDIMENTO!D:D),"")</f>
        <v>0</v>
      </c>
    </row>
    <row r="2008" spans="1:21" hidden="1" x14ac:dyDescent="0.35">
      <c r="A2008" s="36"/>
      <c r="B2008" s="36"/>
      <c r="C2008" s="36"/>
      <c r="D2008" s="36"/>
      <c r="E2008" s="36"/>
      <c r="F2008" s="36"/>
      <c r="G2008" s="36"/>
      <c r="H2008" s="36"/>
      <c r="I2008" s="40"/>
      <c r="J2008" s="31"/>
      <c r="K2008" s="36"/>
      <c r="M2008" s="37"/>
      <c r="N2008" s="37"/>
      <c r="O2008" s="37"/>
      <c r="P2008" s="36"/>
      <c r="Q2008" s="36"/>
      <c r="R2008" s="31"/>
      <c r="S2008" s="31"/>
      <c r="T2008" s="38"/>
      <c r="U2008" s="39">
        <f>IFERROR(_xlfn.XLOOKUP(E2008,[1]EMPREENDIMENTO!C:C,[1]EMPREENDIMENTO!D:D),"")</f>
        <v>0</v>
      </c>
    </row>
    <row r="2009" spans="1:21" hidden="1" x14ac:dyDescent="0.35">
      <c r="A2009" s="36"/>
      <c r="B2009" s="36"/>
      <c r="C2009" s="36"/>
      <c r="D2009" s="36"/>
      <c r="E2009" s="36"/>
      <c r="F2009" s="36"/>
      <c r="G2009" s="36"/>
      <c r="H2009" s="36"/>
      <c r="I2009" s="40"/>
      <c r="J2009" s="31"/>
      <c r="K2009" s="36"/>
      <c r="M2009" s="37"/>
      <c r="N2009" s="37"/>
      <c r="O2009" s="37"/>
      <c r="P2009" s="36"/>
      <c r="Q2009" s="36"/>
      <c r="R2009" s="31"/>
      <c r="S2009" s="31"/>
      <c r="T2009" s="38"/>
      <c r="U2009" s="39">
        <f>IFERROR(_xlfn.XLOOKUP(E2009,[1]EMPREENDIMENTO!C:C,[1]EMPREENDIMENTO!D:D),"")</f>
        <v>0</v>
      </c>
    </row>
    <row r="2010" spans="1:21" hidden="1" x14ac:dyDescent="0.35">
      <c r="A2010" s="36"/>
      <c r="B2010" s="36"/>
      <c r="C2010" s="36"/>
      <c r="D2010" s="36"/>
      <c r="E2010" s="36"/>
      <c r="F2010" s="36"/>
      <c r="G2010" s="36"/>
      <c r="H2010" s="36"/>
      <c r="I2010" s="40"/>
      <c r="J2010" s="31"/>
      <c r="K2010" s="36"/>
      <c r="M2010" s="37"/>
      <c r="N2010" s="37"/>
      <c r="O2010" s="37"/>
      <c r="P2010" s="36"/>
      <c r="Q2010" s="36"/>
      <c r="R2010" s="31"/>
      <c r="S2010" s="31"/>
      <c r="T2010" s="38"/>
      <c r="U2010" s="39">
        <f>IFERROR(_xlfn.XLOOKUP(E2010,[1]EMPREENDIMENTO!C:C,[1]EMPREENDIMENTO!D:D),"")</f>
        <v>0</v>
      </c>
    </row>
    <row r="2011" spans="1:21" hidden="1" x14ac:dyDescent="0.35">
      <c r="A2011" s="36"/>
      <c r="B2011" s="36"/>
      <c r="C2011" s="36"/>
      <c r="D2011" s="36"/>
      <c r="E2011" s="36"/>
      <c r="F2011" s="36"/>
      <c r="G2011" s="36"/>
      <c r="H2011" s="36"/>
      <c r="I2011" s="40"/>
      <c r="J2011" s="31"/>
      <c r="K2011" s="36"/>
      <c r="M2011" s="37"/>
      <c r="N2011" s="37"/>
      <c r="O2011" s="37"/>
      <c r="P2011" s="36"/>
      <c r="Q2011" s="36"/>
      <c r="R2011" s="31"/>
      <c r="S2011" s="31"/>
      <c r="T2011" s="38"/>
      <c r="U2011" s="39">
        <f>IFERROR(_xlfn.XLOOKUP(E2011,[1]EMPREENDIMENTO!C:C,[1]EMPREENDIMENTO!D:D),"")</f>
        <v>0</v>
      </c>
    </row>
    <row r="2012" spans="1:21" hidden="1" x14ac:dyDescent="0.35">
      <c r="A2012" s="36"/>
      <c r="B2012" s="36"/>
      <c r="C2012" s="36"/>
      <c r="D2012" s="36"/>
      <c r="E2012" s="36"/>
      <c r="F2012" s="36"/>
      <c r="G2012" s="36"/>
      <c r="H2012" s="36"/>
      <c r="I2012" s="40"/>
      <c r="J2012" s="31"/>
      <c r="K2012" s="36"/>
      <c r="M2012" s="37"/>
      <c r="N2012" s="37"/>
      <c r="O2012" s="37"/>
      <c r="P2012" s="36"/>
      <c r="Q2012" s="36"/>
      <c r="R2012" s="31"/>
      <c r="S2012" s="31"/>
      <c r="T2012" s="38"/>
      <c r="U2012" s="39">
        <f>IFERROR(_xlfn.XLOOKUP(E2012,[1]EMPREENDIMENTO!C:C,[1]EMPREENDIMENTO!D:D),"")</f>
        <v>0</v>
      </c>
    </row>
    <row r="2013" spans="1:21" hidden="1" x14ac:dyDescent="0.35">
      <c r="A2013" s="36"/>
      <c r="B2013" s="36"/>
      <c r="C2013" s="36"/>
      <c r="D2013" s="36"/>
      <c r="E2013" s="36"/>
      <c r="F2013" s="36"/>
      <c r="G2013" s="36"/>
      <c r="H2013" s="36"/>
      <c r="I2013" s="40"/>
      <c r="J2013" s="31"/>
      <c r="K2013" s="36"/>
      <c r="M2013" s="37"/>
      <c r="N2013" s="37"/>
      <c r="O2013" s="37"/>
      <c r="P2013" s="36"/>
      <c r="Q2013" s="36"/>
      <c r="R2013" s="31"/>
      <c r="S2013" s="31"/>
      <c r="T2013" s="38"/>
      <c r="U2013" s="39">
        <f>IFERROR(_xlfn.XLOOKUP(E2013,[1]EMPREENDIMENTO!C:C,[1]EMPREENDIMENTO!D:D),"")</f>
        <v>0</v>
      </c>
    </row>
    <row r="2014" spans="1:21" hidden="1" x14ac:dyDescent="0.35">
      <c r="A2014" s="36"/>
      <c r="B2014" s="36"/>
      <c r="C2014" s="36"/>
      <c r="D2014" s="36"/>
      <c r="E2014" s="36"/>
      <c r="F2014" s="36"/>
      <c r="G2014" s="36"/>
      <c r="H2014" s="36"/>
      <c r="I2014" s="40"/>
      <c r="J2014" s="31"/>
      <c r="K2014" s="36"/>
      <c r="M2014" s="37"/>
      <c r="N2014" s="37"/>
      <c r="O2014" s="37"/>
      <c r="P2014" s="36"/>
      <c r="Q2014" s="36"/>
      <c r="R2014" s="31"/>
      <c r="S2014" s="31"/>
      <c r="T2014" s="38"/>
      <c r="U2014" s="39">
        <f>IFERROR(_xlfn.XLOOKUP(E2014,[1]EMPREENDIMENTO!C:C,[1]EMPREENDIMENTO!D:D),"")</f>
        <v>0</v>
      </c>
    </row>
    <row r="2015" spans="1:21" hidden="1" x14ac:dyDescent="0.35">
      <c r="A2015" s="36"/>
      <c r="B2015" s="36"/>
      <c r="C2015" s="36"/>
      <c r="D2015" s="36"/>
      <c r="E2015" s="36"/>
      <c r="F2015" s="36"/>
      <c r="G2015" s="36"/>
      <c r="H2015" s="36"/>
      <c r="I2015" s="40"/>
      <c r="J2015" s="31"/>
      <c r="K2015" s="36"/>
      <c r="M2015" s="37"/>
      <c r="N2015" s="37"/>
      <c r="O2015" s="37"/>
      <c r="P2015" s="36"/>
      <c r="Q2015" s="36"/>
      <c r="R2015" s="31"/>
      <c r="S2015" s="31"/>
      <c r="T2015" s="38"/>
      <c r="U2015" s="39">
        <f>IFERROR(_xlfn.XLOOKUP(E2015,[1]EMPREENDIMENTO!C:C,[1]EMPREENDIMENTO!D:D),"")</f>
        <v>0</v>
      </c>
    </row>
    <row r="2016" spans="1:21" hidden="1" x14ac:dyDescent="0.35">
      <c r="A2016" s="36"/>
      <c r="B2016" s="36"/>
      <c r="C2016" s="36"/>
      <c r="D2016" s="36"/>
      <c r="E2016" s="36"/>
      <c r="F2016" s="36"/>
      <c r="G2016" s="36"/>
      <c r="H2016" s="36"/>
      <c r="I2016" s="40"/>
      <c r="J2016" s="31"/>
      <c r="K2016" s="36"/>
      <c r="M2016" s="37"/>
      <c r="N2016" s="37"/>
      <c r="O2016" s="37"/>
      <c r="P2016" s="36"/>
      <c r="Q2016" s="36"/>
      <c r="R2016" s="31"/>
      <c r="S2016" s="31"/>
      <c r="T2016" s="38"/>
      <c r="U2016" s="39">
        <f>IFERROR(_xlfn.XLOOKUP(E2016,[1]EMPREENDIMENTO!C:C,[1]EMPREENDIMENTO!D:D),"")</f>
        <v>0</v>
      </c>
    </row>
    <row r="2017" spans="1:21" hidden="1" x14ac:dyDescent="0.35">
      <c r="A2017" s="36"/>
      <c r="B2017" s="36"/>
      <c r="C2017" s="36"/>
      <c r="D2017" s="36"/>
      <c r="E2017" s="36"/>
      <c r="F2017" s="36"/>
      <c r="G2017" s="36"/>
      <c r="H2017" s="36"/>
      <c r="I2017" s="40"/>
      <c r="J2017" s="31"/>
      <c r="K2017" s="36"/>
      <c r="M2017" s="37"/>
      <c r="N2017" s="37"/>
      <c r="O2017" s="37"/>
      <c r="P2017" s="36"/>
      <c r="Q2017" s="36"/>
      <c r="R2017" s="31"/>
      <c r="S2017" s="31"/>
      <c r="T2017" s="38"/>
      <c r="U2017" s="39">
        <f>IFERROR(_xlfn.XLOOKUP(E2017,[1]EMPREENDIMENTO!C:C,[1]EMPREENDIMENTO!D:D),"")</f>
        <v>0</v>
      </c>
    </row>
    <row r="2018" spans="1:21" hidden="1" x14ac:dyDescent="0.35">
      <c r="A2018" s="36"/>
      <c r="B2018" s="36"/>
      <c r="C2018" s="36"/>
      <c r="D2018" s="36"/>
      <c r="E2018" s="36"/>
      <c r="F2018" s="36"/>
      <c r="G2018" s="36"/>
      <c r="H2018" s="36"/>
      <c r="I2018" s="40"/>
      <c r="J2018" s="31"/>
      <c r="K2018" s="36"/>
      <c r="M2018" s="37"/>
      <c r="N2018" s="37"/>
      <c r="O2018" s="37"/>
      <c r="P2018" s="36"/>
      <c r="Q2018" s="36"/>
      <c r="R2018" s="31"/>
      <c r="S2018" s="31"/>
      <c r="T2018" s="38"/>
      <c r="U2018" s="39">
        <f>IFERROR(_xlfn.XLOOKUP(E2018,[1]EMPREENDIMENTO!C:C,[1]EMPREENDIMENTO!D:D),"")</f>
        <v>0</v>
      </c>
    </row>
    <row r="2019" spans="1:21" hidden="1" x14ac:dyDescent="0.35">
      <c r="A2019" s="36"/>
      <c r="B2019" s="36"/>
      <c r="C2019" s="36"/>
      <c r="D2019" s="36"/>
      <c r="E2019" s="36"/>
      <c r="F2019" s="36"/>
      <c r="G2019" s="36"/>
      <c r="H2019" s="36"/>
      <c r="I2019" s="40"/>
      <c r="J2019" s="31"/>
      <c r="K2019" s="36"/>
      <c r="M2019" s="37"/>
      <c r="N2019" s="37"/>
      <c r="O2019" s="37"/>
      <c r="P2019" s="36"/>
      <c r="Q2019" s="36"/>
      <c r="R2019" s="31"/>
      <c r="S2019" s="31"/>
      <c r="T2019" s="38"/>
      <c r="U2019" s="39">
        <f>IFERROR(_xlfn.XLOOKUP(E2019,[1]EMPREENDIMENTO!C:C,[1]EMPREENDIMENTO!D:D),"")</f>
        <v>0</v>
      </c>
    </row>
    <row r="2020" spans="1:21" hidden="1" x14ac:dyDescent="0.35">
      <c r="A2020" s="36"/>
      <c r="B2020" s="36"/>
      <c r="C2020" s="36"/>
      <c r="D2020" s="36"/>
      <c r="E2020" s="36"/>
      <c r="F2020" s="36"/>
      <c r="G2020" s="36"/>
      <c r="H2020" s="36"/>
      <c r="I2020" s="40"/>
      <c r="J2020" s="31"/>
      <c r="K2020" s="36"/>
      <c r="M2020" s="37"/>
      <c r="N2020" s="37"/>
      <c r="O2020" s="37"/>
      <c r="P2020" s="36"/>
      <c r="Q2020" s="36"/>
      <c r="R2020" s="31"/>
      <c r="S2020" s="31"/>
      <c r="T2020" s="38"/>
      <c r="U2020" s="39">
        <f>IFERROR(_xlfn.XLOOKUP(E2020,[1]EMPREENDIMENTO!C:C,[1]EMPREENDIMENTO!D:D),"")</f>
        <v>0</v>
      </c>
    </row>
    <row r="2021" spans="1:21" hidden="1" x14ac:dyDescent="0.35">
      <c r="A2021" s="36"/>
      <c r="B2021" s="36"/>
      <c r="C2021" s="36"/>
      <c r="D2021" s="36"/>
      <c r="E2021" s="36"/>
      <c r="F2021" s="36"/>
      <c r="G2021" s="36"/>
      <c r="H2021" s="36"/>
      <c r="I2021" s="40"/>
      <c r="J2021" s="31"/>
      <c r="K2021" s="36"/>
      <c r="M2021" s="37"/>
      <c r="N2021" s="37"/>
      <c r="O2021" s="37"/>
      <c r="P2021" s="36"/>
      <c r="Q2021" s="36"/>
      <c r="R2021" s="31"/>
      <c r="S2021" s="31"/>
      <c r="T2021" s="38"/>
      <c r="U2021" s="39">
        <f>IFERROR(_xlfn.XLOOKUP(E2021,[1]EMPREENDIMENTO!C:C,[1]EMPREENDIMENTO!D:D),"")</f>
        <v>0</v>
      </c>
    </row>
    <row r="2022" spans="1:21" hidden="1" x14ac:dyDescent="0.35">
      <c r="A2022" s="36"/>
      <c r="B2022" s="36"/>
      <c r="C2022" s="36"/>
      <c r="D2022" s="36"/>
      <c r="E2022" s="36"/>
      <c r="F2022" s="36"/>
      <c r="G2022" s="36"/>
      <c r="H2022" s="36"/>
      <c r="I2022" s="40"/>
      <c r="J2022" s="31"/>
      <c r="K2022" s="36"/>
      <c r="M2022" s="37"/>
      <c r="N2022" s="37"/>
      <c r="O2022" s="37"/>
      <c r="P2022" s="36"/>
      <c r="Q2022" s="36"/>
      <c r="R2022" s="31"/>
      <c r="S2022" s="31"/>
      <c r="T2022" s="38"/>
      <c r="U2022" s="39">
        <f>IFERROR(_xlfn.XLOOKUP(E2022,[1]EMPREENDIMENTO!C:C,[1]EMPREENDIMENTO!D:D),"")</f>
        <v>0</v>
      </c>
    </row>
    <row r="2023" spans="1:21" hidden="1" x14ac:dyDescent="0.35">
      <c r="A2023" s="36"/>
      <c r="B2023" s="36"/>
      <c r="C2023" s="36"/>
      <c r="D2023" s="36"/>
      <c r="E2023" s="36"/>
      <c r="F2023" s="36"/>
      <c r="G2023" s="36"/>
      <c r="H2023" s="36"/>
      <c r="I2023" s="40"/>
      <c r="J2023" s="31"/>
      <c r="K2023" s="36"/>
      <c r="M2023" s="37"/>
      <c r="N2023" s="37"/>
      <c r="O2023" s="37"/>
      <c r="P2023" s="36"/>
      <c r="Q2023" s="36"/>
      <c r="R2023" s="31"/>
      <c r="S2023" s="31"/>
      <c r="T2023" s="38"/>
      <c r="U2023" s="39">
        <f>IFERROR(_xlfn.XLOOKUP(E2023,[1]EMPREENDIMENTO!C:C,[1]EMPREENDIMENTO!D:D),"")</f>
        <v>0</v>
      </c>
    </row>
    <row r="2024" spans="1:21" hidden="1" x14ac:dyDescent="0.35">
      <c r="A2024" s="36"/>
      <c r="B2024" s="36"/>
      <c r="C2024" s="36"/>
      <c r="D2024" s="36"/>
      <c r="E2024" s="36"/>
      <c r="F2024" s="36"/>
      <c r="G2024" s="36"/>
      <c r="H2024" s="36"/>
      <c r="I2024" s="40"/>
      <c r="J2024" s="31"/>
      <c r="K2024" s="36"/>
      <c r="M2024" s="37"/>
      <c r="N2024" s="37"/>
      <c r="O2024" s="37"/>
      <c r="P2024" s="36"/>
      <c r="Q2024" s="36"/>
      <c r="R2024" s="31"/>
      <c r="S2024" s="31"/>
      <c r="T2024" s="38"/>
      <c r="U2024" s="39">
        <f>IFERROR(_xlfn.XLOOKUP(E2024,[1]EMPREENDIMENTO!C:C,[1]EMPREENDIMENTO!D:D),"")</f>
        <v>0</v>
      </c>
    </row>
    <row r="2025" spans="1:21" hidden="1" x14ac:dyDescent="0.35">
      <c r="A2025" s="36"/>
      <c r="B2025" s="36"/>
      <c r="C2025" s="36"/>
      <c r="D2025" s="36"/>
      <c r="E2025" s="36"/>
      <c r="F2025" s="36"/>
      <c r="G2025" s="36"/>
      <c r="H2025" s="36"/>
      <c r="I2025" s="40"/>
      <c r="J2025" s="31"/>
      <c r="K2025" s="36"/>
      <c r="M2025" s="37"/>
      <c r="N2025" s="37"/>
      <c r="O2025" s="37"/>
      <c r="P2025" s="36"/>
      <c r="Q2025" s="36"/>
      <c r="R2025" s="31"/>
      <c r="S2025" s="31"/>
      <c r="T2025" s="38"/>
      <c r="U2025" s="39">
        <f>IFERROR(_xlfn.XLOOKUP(E2025,[1]EMPREENDIMENTO!C:C,[1]EMPREENDIMENTO!D:D),"")</f>
        <v>0</v>
      </c>
    </row>
    <row r="2026" spans="1:21" hidden="1" x14ac:dyDescent="0.35">
      <c r="A2026" s="36"/>
      <c r="B2026" s="36"/>
      <c r="C2026" s="36"/>
      <c r="D2026" s="36"/>
      <c r="E2026" s="36"/>
      <c r="F2026" s="36"/>
      <c r="G2026" s="36"/>
      <c r="H2026" s="36"/>
      <c r="I2026" s="40"/>
      <c r="J2026" s="31"/>
      <c r="K2026" s="36"/>
      <c r="M2026" s="37"/>
      <c r="N2026" s="37"/>
      <c r="O2026" s="37"/>
      <c r="P2026" s="36"/>
      <c r="Q2026" s="36"/>
      <c r="R2026" s="31"/>
      <c r="S2026" s="31"/>
      <c r="T2026" s="38"/>
      <c r="U2026" s="39">
        <f>IFERROR(_xlfn.XLOOKUP(E2026,[1]EMPREENDIMENTO!C:C,[1]EMPREENDIMENTO!D:D),"")</f>
        <v>0</v>
      </c>
    </row>
    <row r="2027" spans="1:21" hidden="1" x14ac:dyDescent="0.35">
      <c r="A2027" s="36"/>
      <c r="B2027" s="36"/>
      <c r="C2027" s="36"/>
      <c r="D2027" s="36"/>
      <c r="E2027" s="36"/>
      <c r="F2027" s="36"/>
      <c r="G2027" s="36"/>
      <c r="H2027" s="36"/>
      <c r="I2027" s="40"/>
      <c r="J2027" s="31"/>
      <c r="K2027" s="36"/>
      <c r="M2027" s="37"/>
      <c r="N2027" s="37"/>
      <c r="O2027" s="37"/>
      <c r="P2027" s="36"/>
      <c r="Q2027" s="36"/>
      <c r="R2027" s="31"/>
      <c r="S2027" s="31"/>
      <c r="T2027" s="38"/>
      <c r="U2027" s="39">
        <f>IFERROR(_xlfn.XLOOKUP(E2027,[1]EMPREENDIMENTO!C:C,[1]EMPREENDIMENTO!D:D),"")</f>
        <v>0</v>
      </c>
    </row>
    <row r="2028" spans="1:21" hidden="1" x14ac:dyDescent="0.35">
      <c r="A2028" s="36"/>
      <c r="B2028" s="36"/>
      <c r="C2028" s="36"/>
      <c r="D2028" s="36"/>
      <c r="E2028" s="36"/>
      <c r="F2028" s="36"/>
      <c r="G2028" s="36"/>
      <c r="H2028" s="36"/>
      <c r="I2028" s="40"/>
      <c r="J2028" s="31"/>
      <c r="K2028" s="36"/>
      <c r="M2028" s="37"/>
      <c r="N2028" s="37"/>
      <c r="O2028" s="37"/>
      <c r="P2028" s="36"/>
      <c r="Q2028" s="36"/>
      <c r="R2028" s="31"/>
      <c r="S2028" s="31"/>
      <c r="T2028" s="38"/>
      <c r="U2028" s="39">
        <f>IFERROR(_xlfn.XLOOKUP(E2028,[1]EMPREENDIMENTO!C:C,[1]EMPREENDIMENTO!D:D),"")</f>
        <v>0</v>
      </c>
    </row>
    <row r="2029" spans="1:21" hidden="1" x14ac:dyDescent="0.35">
      <c r="A2029" s="36"/>
      <c r="B2029" s="36"/>
      <c r="C2029" s="36"/>
      <c r="D2029" s="36"/>
      <c r="E2029" s="36"/>
      <c r="F2029" s="36"/>
      <c r="G2029" s="36"/>
      <c r="H2029" s="36"/>
      <c r="I2029" s="40"/>
      <c r="J2029" s="31"/>
      <c r="K2029" s="36"/>
      <c r="M2029" s="37"/>
      <c r="N2029" s="37"/>
      <c r="O2029" s="37"/>
      <c r="P2029" s="36"/>
      <c r="Q2029" s="36"/>
      <c r="R2029" s="31"/>
      <c r="S2029" s="31"/>
      <c r="T2029" s="38"/>
      <c r="U2029" s="39">
        <f>IFERROR(_xlfn.XLOOKUP(E2029,[1]EMPREENDIMENTO!C:C,[1]EMPREENDIMENTO!D:D),"")</f>
        <v>0</v>
      </c>
    </row>
    <row r="2030" spans="1:21" hidden="1" x14ac:dyDescent="0.35">
      <c r="A2030" s="36"/>
      <c r="B2030" s="36"/>
      <c r="C2030" s="36"/>
      <c r="D2030" s="36"/>
      <c r="E2030" s="36"/>
      <c r="F2030" s="36"/>
      <c r="G2030" s="36"/>
      <c r="H2030" s="36"/>
      <c r="I2030" s="40"/>
      <c r="J2030" s="31"/>
      <c r="K2030" s="36"/>
      <c r="M2030" s="37"/>
      <c r="N2030" s="37"/>
      <c r="O2030" s="37"/>
      <c r="P2030" s="36"/>
      <c r="Q2030" s="36"/>
      <c r="R2030" s="31"/>
      <c r="S2030" s="31"/>
      <c r="T2030" s="38"/>
      <c r="U2030" s="39">
        <f>IFERROR(_xlfn.XLOOKUP(E2030,[1]EMPREENDIMENTO!C:C,[1]EMPREENDIMENTO!D:D),"")</f>
        <v>0</v>
      </c>
    </row>
    <row r="2031" spans="1:21" hidden="1" x14ac:dyDescent="0.35">
      <c r="A2031" s="36"/>
      <c r="B2031" s="36"/>
      <c r="C2031" s="36"/>
      <c r="D2031" s="36"/>
      <c r="E2031" s="36"/>
      <c r="F2031" s="36"/>
      <c r="G2031" s="36"/>
      <c r="H2031" s="36"/>
      <c r="I2031" s="40"/>
      <c r="J2031" s="31"/>
      <c r="K2031" s="36"/>
      <c r="M2031" s="37"/>
      <c r="N2031" s="37"/>
      <c r="O2031" s="37"/>
      <c r="P2031" s="36"/>
      <c r="Q2031" s="36"/>
      <c r="R2031" s="31"/>
      <c r="S2031" s="31"/>
      <c r="T2031" s="38"/>
      <c r="U2031" s="39">
        <f>IFERROR(_xlfn.XLOOKUP(E2031,[1]EMPREENDIMENTO!C:C,[1]EMPREENDIMENTO!D:D),"")</f>
        <v>0</v>
      </c>
    </row>
    <row r="2032" spans="1:21" hidden="1" x14ac:dyDescent="0.35">
      <c r="A2032" s="36"/>
      <c r="B2032" s="36"/>
      <c r="C2032" s="36"/>
      <c r="D2032" s="36"/>
      <c r="E2032" s="36"/>
      <c r="F2032" s="36"/>
      <c r="G2032" s="36"/>
      <c r="H2032" s="36"/>
      <c r="I2032" s="40"/>
      <c r="J2032" s="31"/>
      <c r="K2032" s="36"/>
      <c r="M2032" s="37"/>
      <c r="N2032" s="37"/>
      <c r="O2032" s="37"/>
      <c r="P2032" s="36"/>
      <c r="Q2032" s="36"/>
      <c r="R2032" s="31"/>
      <c r="S2032" s="31"/>
      <c r="T2032" s="38"/>
      <c r="U2032" s="39">
        <f>IFERROR(_xlfn.XLOOKUP(E2032,[1]EMPREENDIMENTO!C:C,[1]EMPREENDIMENTO!D:D),"")</f>
        <v>0</v>
      </c>
    </row>
    <row r="2033" spans="1:21" hidden="1" x14ac:dyDescent="0.35">
      <c r="A2033" s="36"/>
      <c r="B2033" s="36"/>
      <c r="C2033" s="36"/>
      <c r="D2033" s="36"/>
      <c r="E2033" s="36"/>
      <c r="F2033" s="36"/>
      <c r="G2033" s="36"/>
      <c r="H2033" s="36"/>
      <c r="I2033" s="40"/>
      <c r="J2033" s="31"/>
      <c r="K2033" s="36"/>
      <c r="M2033" s="37"/>
      <c r="N2033" s="37"/>
      <c r="O2033" s="37"/>
      <c r="P2033" s="36"/>
      <c r="Q2033" s="36"/>
      <c r="R2033" s="31"/>
      <c r="S2033" s="31"/>
      <c r="T2033" s="38"/>
      <c r="U2033" s="39">
        <f>IFERROR(_xlfn.XLOOKUP(E2033,[1]EMPREENDIMENTO!C:C,[1]EMPREENDIMENTO!D:D),"")</f>
        <v>0</v>
      </c>
    </row>
    <row r="2034" spans="1:21" hidden="1" x14ac:dyDescent="0.35">
      <c r="A2034" s="36"/>
      <c r="B2034" s="36"/>
      <c r="C2034" s="36"/>
      <c r="D2034" s="36"/>
      <c r="E2034" s="36"/>
      <c r="F2034" s="36"/>
      <c r="G2034" s="36"/>
      <c r="H2034" s="36"/>
      <c r="I2034" s="40"/>
      <c r="J2034" s="31"/>
      <c r="K2034" s="36"/>
      <c r="M2034" s="37"/>
      <c r="N2034" s="37"/>
      <c r="O2034" s="37"/>
      <c r="P2034" s="36"/>
      <c r="Q2034" s="36"/>
      <c r="R2034" s="31"/>
      <c r="S2034" s="31"/>
      <c r="T2034" s="38"/>
      <c r="U2034" s="39">
        <f>IFERROR(_xlfn.XLOOKUP(E2034,[1]EMPREENDIMENTO!C:C,[1]EMPREENDIMENTO!D:D),"")</f>
        <v>0</v>
      </c>
    </row>
    <row r="2035" spans="1:21" hidden="1" x14ac:dyDescent="0.35">
      <c r="A2035" s="36"/>
      <c r="B2035" s="36"/>
      <c r="C2035" s="36"/>
      <c r="D2035" s="36"/>
      <c r="E2035" s="36"/>
      <c r="F2035" s="36"/>
      <c r="G2035" s="36"/>
      <c r="H2035" s="36"/>
      <c r="I2035" s="40"/>
      <c r="J2035" s="31"/>
      <c r="K2035" s="36"/>
      <c r="M2035" s="37"/>
      <c r="N2035" s="37"/>
      <c r="O2035" s="37"/>
      <c r="P2035" s="36"/>
      <c r="Q2035" s="36"/>
      <c r="R2035" s="31"/>
      <c r="S2035" s="31"/>
      <c r="T2035" s="38"/>
      <c r="U2035" s="39">
        <f>IFERROR(_xlfn.XLOOKUP(E2035,[1]EMPREENDIMENTO!C:C,[1]EMPREENDIMENTO!D:D),"")</f>
        <v>0</v>
      </c>
    </row>
    <row r="2036" spans="1:21" hidden="1" x14ac:dyDescent="0.35">
      <c r="A2036" s="36"/>
      <c r="B2036" s="36"/>
      <c r="C2036" s="36"/>
      <c r="D2036" s="36"/>
      <c r="E2036" s="36"/>
      <c r="F2036" s="36"/>
      <c r="G2036" s="36"/>
      <c r="H2036" s="36"/>
      <c r="I2036" s="40"/>
      <c r="J2036" s="31"/>
      <c r="K2036" s="36"/>
      <c r="M2036" s="37"/>
      <c r="N2036" s="37"/>
      <c r="O2036" s="37"/>
      <c r="P2036" s="36"/>
      <c r="Q2036" s="36"/>
      <c r="R2036" s="31"/>
      <c r="S2036" s="31"/>
      <c r="T2036" s="38"/>
      <c r="U2036" s="39">
        <f>IFERROR(_xlfn.XLOOKUP(E2036,[1]EMPREENDIMENTO!C:C,[1]EMPREENDIMENTO!D:D),"")</f>
        <v>0</v>
      </c>
    </row>
    <row r="2037" spans="1:21" hidden="1" x14ac:dyDescent="0.35">
      <c r="A2037" s="36"/>
      <c r="B2037" s="36"/>
      <c r="C2037" s="36"/>
      <c r="D2037" s="36"/>
      <c r="E2037" s="36"/>
      <c r="F2037" s="36"/>
      <c r="G2037" s="36"/>
      <c r="H2037" s="36"/>
      <c r="I2037" s="40"/>
      <c r="J2037" s="31"/>
      <c r="K2037" s="36"/>
      <c r="M2037" s="37"/>
      <c r="N2037" s="37"/>
      <c r="O2037" s="37"/>
      <c r="P2037" s="36"/>
      <c r="Q2037" s="36"/>
      <c r="R2037" s="31"/>
      <c r="S2037" s="31"/>
      <c r="T2037" s="38"/>
      <c r="U2037" s="39">
        <f>IFERROR(_xlfn.XLOOKUP(E2037,[1]EMPREENDIMENTO!C:C,[1]EMPREENDIMENTO!D:D),"")</f>
        <v>0</v>
      </c>
    </row>
    <row r="2038" spans="1:21" hidden="1" x14ac:dyDescent="0.35">
      <c r="A2038" s="36"/>
      <c r="B2038" s="36"/>
      <c r="C2038" s="36"/>
      <c r="D2038" s="36"/>
      <c r="E2038" s="36"/>
      <c r="F2038" s="36"/>
      <c r="G2038" s="36"/>
      <c r="H2038" s="36"/>
      <c r="I2038" s="40"/>
      <c r="J2038" s="31"/>
      <c r="K2038" s="36"/>
      <c r="M2038" s="37"/>
      <c r="N2038" s="37"/>
      <c r="O2038" s="37"/>
      <c r="P2038" s="36"/>
      <c r="Q2038" s="36"/>
      <c r="R2038" s="31"/>
      <c r="S2038" s="31"/>
      <c r="T2038" s="38"/>
      <c r="U2038" s="39">
        <f>IFERROR(_xlfn.XLOOKUP(E2038,[1]EMPREENDIMENTO!C:C,[1]EMPREENDIMENTO!D:D),"")</f>
        <v>0</v>
      </c>
    </row>
    <row r="2039" spans="1:21" hidden="1" x14ac:dyDescent="0.35">
      <c r="A2039" s="36"/>
      <c r="B2039" s="36"/>
      <c r="C2039" s="36"/>
      <c r="D2039" s="36"/>
      <c r="E2039" s="36"/>
      <c r="F2039" s="36"/>
      <c r="G2039" s="36"/>
      <c r="H2039" s="36"/>
      <c r="I2039" s="40"/>
      <c r="J2039" s="31"/>
      <c r="K2039" s="36"/>
      <c r="M2039" s="37"/>
      <c r="N2039" s="37"/>
      <c r="O2039" s="37"/>
      <c r="P2039" s="36"/>
      <c r="Q2039" s="36"/>
      <c r="R2039" s="31"/>
      <c r="S2039" s="31"/>
      <c r="T2039" s="38"/>
      <c r="U2039" s="39">
        <f>IFERROR(_xlfn.XLOOKUP(E2039,[1]EMPREENDIMENTO!C:C,[1]EMPREENDIMENTO!D:D),"")</f>
        <v>0</v>
      </c>
    </row>
    <row r="2040" spans="1:21" hidden="1" x14ac:dyDescent="0.35">
      <c r="A2040" s="36"/>
      <c r="B2040" s="36"/>
      <c r="C2040" s="36"/>
      <c r="D2040" s="36"/>
      <c r="E2040" s="36"/>
      <c r="F2040" s="36"/>
      <c r="G2040" s="36"/>
      <c r="H2040" s="36"/>
      <c r="I2040" s="40"/>
      <c r="J2040" s="31"/>
      <c r="K2040" s="36"/>
      <c r="M2040" s="37"/>
      <c r="N2040" s="37"/>
      <c r="O2040" s="37"/>
      <c r="P2040" s="36"/>
      <c r="Q2040" s="36"/>
      <c r="R2040" s="31"/>
      <c r="S2040" s="31"/>
      <c r="T2040" s="38"/>
      <c r="U2040" s="39">
        <f>IFERROR(_xlfn.XLOOKUP(E2040,[1]EMPREENDIMENTO!C:C,[1]EMPREENDIMENTO!D:D),"")</f>
        <v>0</v>
      </c>
    </row>
    <row r="2041" spans="1:21" hidden="1" x14ac:dyDescent="0.35">
      <c r="A2041" s="36"/>
      <c r="B2041" s="36"/>
      <c r="C2041" s="36"/>
      <c r="D2041" s="36"/>
      <c r="E2041" s="36"/>
      <c r="F2041" s="36"/>
      <c r="G2041" s="36"/>
      <c r="H2041" s="36"/>
      <c r="I2041" s="40"/>
      <c r="J2041" s="31"/>
      <c r="K2041" s="36"/>
      <c r="M2041" s="37"/>
      <c r="N2041" s="37"/>
      <c r="O2041" s="37"/>
      <c r="P2041" s="36"/>
      <c r="Q2041" s="36"/>
      <c r="R2041" s="31"/>
      <c r="S2041" s="31"/>
      <c r="T2041" s="38"/>
      <c r="U2041" s="39">
        <f>IFERROR(_xlfn.XLOOKUP(E2041,[1]EMPREENDIMENTO!C:C,[1]EMPREENDIMENTO!D:D),"")</f>
        <v>0</v>
      </c>
    </row>
    <row r="2042" spans="1:21" hidden="1" x14ac:dyDescent="0.35">
      <c r="A2042" s="36"/>
      <c r="B2042" s="36"/>
      <c r="C2042" s="36"/>
      <c r="D2042" s="36"/>
      <c r="E2042" s="36"/>
      <c r="F2042" s="36"/>
      <c r="G2042" s="36"/>
      <c r="H2042" s="36"/>
      <c r="I2042" s="40"/>
      <c r="J2042" s="31"/>
      <c r="K2042" s="36"/>
      <c r="M2042" s="37"/>
      <c r="N2042" s="37"/>
      <c r="O2042" s="37"/>
      <c r="P2042" s="36"/>
      <c r="Q2042" s="36"/>
      <c r="R2042" s="31"/>
      <c r="S2042" s="31"/>
      <c r="T2042" s="38"/>
      <c r="U2042" s="39">
        <f>IFERROR(_xlfn.XLOOKUP(E2042,[1]EMPREENDIMENTO!C:C,[1]EMPREENDIMENTO!D:D),"")</f>
        <v>0</v>
      </c>
    </row>
    <row r="2043" spans="1:21" hidden="1" x14ac:dyDescent="0.35">
      <c r="A2043" s="36"/>
      <c r="B2043" s="36"/>
      <c r="C2043" s="36"/>
      <c r="D2043" s="36"/>
      <c r="E2043" s="36"/>
      <c r="F2043" s="36"/>
      <c r="G2043" s="36"/>
      <c r="H2043" s="36"/>
      <c r="I2043" s="40"/>
      <c r="J2043" s="31"/>
      <c r="K2043" s="36"/>
      <c r="M2043" s="37"/>
      <c r="N2043" s="37"/>
      <c r="O2043" s="37"/>
      <c r="P2043" s="36"/>
      <c r="Q2043" s="36"/>
      <c r="R2043" s="31"/>
      <c r="S2043" s="31"/>
      <c r="T2043" s="38"/>
      <c r="U2043" s="39">
        <f>IFERROR(_xlfn.XLOOKUP(E2043,[1]EMPREENDIMENTO!C:C,[1]EMPREENDIMENTO!D:D),"")</f>
        <v>0</v>
      </c>
    </row>
    <row r="2044" spans="1:21" hidden="1" x14ac:dyDescent="0.35">
      <c r="A2044" s="36"/>
      <c r="B2044" s="36"/>
      <c r="C2044" s="36"/>
      <c r="D2044" s="36"/>
      <c r="E2044" s="36"/>
      <c r="F2044" s="36"/>
      <c r="G2044" s="36"/>
      <c r="H2044" s="36"/>
      <c r="I2044" s="40"/>
      <c r="J2044" s="31"/>
      <c r="K2044" s="36"/>
      <c r="M2044" s="37"/>
      <c r="N2044" s="37"/>
      <c r="O2044" s="37"/>
      <c r="P2044" s="36"/>
      <c r="Q2044" s="36"/>
      <c r="R2044" s="31"/>
      <c r="S2044" s="31"/>
      <c r="T2044" s="38"/>
      <c r="U2044" s="39">
        <f>IFERROR(_xlfn.XLOOKUP(E2044,[1]EMPREENDIMENTO!C:C,[1]EMPREENDIMENTO!D:D),"")</f>
        <v>0</v>
      </c>
    </row>
    <row r="2045" spans="1:21" hidden="1" x14ac:dyDescent="0.35">
      <c r="A2045" s="36"/>
      <c r="B2045" s="36"/>
      <c r="C2045" s="36"/>
      <c r="D2045" s="36"/>
      <c r="E2045" s="36"/>
      <c r="F2045" s="36"/>
      <c r="G2045" s="36"/>
      <c r="H2045" s="36"/>
      <c r="I2045" s="40"/>
      <c r="J2045" s="31"/>
      <c r="K2045" s="36"/>
      <c r="M2045" s="37"/>
      <c r="N2045" s="37"/>
      <c r="O2045" s="37"/>
      <c r="P2045" s="36"/>
      <c r="Q2045" s="36"/>
      <c r="R2045" s="31"/>
      <c r="S2045" s="31"/>
      <c r="T2045" s="38"/>
      <c r="U2045" s="39">
        <f>IFERROR(_xlfn.XLOOKUP(E2045,[1]EMPREENDIMENTO!C:C,[1]EMPREENDIMENTO!D:D),"")</f>
        <v>0</v>
      </c>
    </row>
    <row r="2046" spans="1:21" hidden="1" x14ac:dyDescent="0.35">
      <c r="A2046" s="36"/>
      <c r="B2046" s="36"/>
      <c r="C2046" s="36"/>
      <c r="D2046" s="36"/>
      <c r="E2046" s="36"/>
      <c r="F2046" s="36"/>
      <c r="G2046" s="36"/>
      <c r="H2046" s="36"/>
      <c r="I2046" s="40"/>
      <c r="J2046" s="31"/>
      <c r="K2046" s="36"/>
      <c r="M2046" s="37"/>
      <c r="N2046" s="37"/>
      <c r="O2046" s="37"/>
      <c r="P2046" s="36"/>
      <c r="Q2046" s="36"/>
      <c r="R2046" s="31"/>
      <c r="S2046" s="31"/>
      <c r="T2046" s="38"/>
      <c r="U2046" s="39">
        <f>IFERROR(_xlfn.XLOOKUP(E2046,[1]EMPREENDIMENTO!C:C,[1]EMPREENDIMENTO!D:D),"")</f>
        <v>0</v>
      </c>
    </row>
    <row r="2047" spans="1:21" hidden="1" x14ac:dyDescent="0.35">
      <c r="A2047" s="36"/>
      <c r="B2047" s="36"/>
      <c r="C2047" s="36"/>
      <c r="D2047" s="36"/>
      <c r="E2047" s="36"/>
      <c r="F2047" s="36"/>
      <c r="G2047" s="36"/>
      <c r="H2047" s="36"/>
      <c r="I2047" s="40"/>
      <c r="J2047" s="31"/>
      <c r="K2047" s="36"/>
      <c r="M2047" s="37"/>
      <c r="N2047" s="37"/>
      <c r="O2047" s="37"/>
      <c r="P2047" s="36"/>
      <c r="Q2047" s="36"/>
      <c r="R2047" s="31"/>
      <c r="S2047" s="31"/>
      <c r="T2047" s="38"/>
      <c r="U2047" s="39">
        <f>IFERROR(_xlfn.XLOOKUP(E2047,[1]EMPREENDIMENTO!C:C,[1]EMPREENDIMENTO!D:D),"")</f>
        <v>0</v>
      </c>
    </row>
    <row r="2048" spans="1:21" hidden="1" x14ac:dyDescent="0.35">
      <c r="A2048" s="36"/>
      <c r="B2048" s="36"/>
      <c r="C2048" s="36"/>
      <c r="D2048" s="36"/>
      <c r="E2048" s="36"/>
      <c r="F2048" s="36"/>
      <c r="G2048" s="36"/>
      <c r="H2048" s="36"/>
      <c r="I2048" s="40"/>
      <c r="J2048" s="31"/>
      <c r="K2048" s="36"/>
      <c r="M2048" s="37"/>
      <c r="N2048" s="37"/>
      <c r="O2048" s="37"/>
      <c r="P2048" s="36"/>
      <c r="Q2048" s="36"/>
      <c r="R2048" s="31"/>
      <c r="S2048" s="31"/>
      <c r="T2048" s="38"/>
      <c r="U2048" s="39">
        <f>IFERROR(_xlfn.XLOOKUP(E2048,[1]EMPREENDIMENTO!C:C,[1]EMPREENDIMENTO!D:D),"")</f>
        <v>0</v>
      </c>
    </row>
    <row r="2049" spans="1:21" hidden="1" x14ac:dyDescent="0.35">
      <c r="A2049" s="36"/>
      <c r="B2049" s="36"/>
      <c r="C2049" s="36"/>
      <c r="D2049" s="36"/>
      <c r="E2049" s="36"/>
      <c r="F2049" s="36"/>
      <c r="G2049" s="36"/>
      <c r="H2049" s="36"/>
      <c r="I2049" s="40"/>
      <c r="J2049" s="31"/>
      <c r="K2049" s="36"/>
      <c r="M2049" s="37"/>
      <c r="N2049" s="37"/>
      <c r="O2049" s="37"/>
      <c r="P2049" s="36"/>
      <c r="Q2049" s="36"/>
      <c r="R2049" s="31"/>
      <c r="S2049" s="31"/>
      <c r="T2049" s="38"/>
      <c r="U2049" s="39">
        <f>IFERROR(_xlfn.XLOOKUP(E2049,[1]EMPREENDIMENTO!C:C,[1]EMPREENDIMENTO!D:D),"")</f>
        <v>0</v>
      </c>
    </row>
    <row r="2050" spans="1:21" hidden="1" x14ac:dyDescent="0.35">
      <c r="A2050" s="36"/>
      <c r="B2050" s="36"/>
      <c r="C2050" s="36"/>
      <c r="D2050" s="36"/>
      <c r="E2050" s="36"/>
      <c r="F2050" s="36"/>
      <c r="G2050" s="36"/>
      <c r="H2050" s="36"/>
      <c r="I2050" s="40"/>
      <c r="J2050" s="31"/>
      <c r="K2050" s="36"/>
      <c r="M2050" s="37"/>
      <c r="N2050" s="37"/>
      <c r="O2050" s="37"/>
      <c r="P2050" s="36"/>
      <c r="Q2050" s="36"/>
      <c r="R2050" s="31"/>
      <c r="S2050" s="31"/>
      <c r="T2050" s="38"/>
      <c r="U2050" s="39">
        <f>IFERROR(_xlfn.XLOOKUP(E2050,[1]EMPREENDIMENTO!C:C,[1]EMPREENDIMENTO!D:D),"")</f>
        <v>0</v>
      </c>
    </row>
    <row r="2051" spans="1:21" hidden="1" x14ac:dyDescent="0.35">
      <c r="A2051" s="36"/>
      <c r="B2051" s="36"/>
      <c r="C2051" s="36"/>
      <c r="D2051" s="36"/>
      <c r="E2051" s="36"/>
      <c r="F2051" s="36"/>
      <c r="G2051" s="36"/>
      <c r="H2051" s="36"/>
      <c r="I2051" s="40"/>
      <c r="J2051" s="31"/>
      <c r="K2051" s="36"/>
      <c r="M2051" s="37"/>
      <c r="N2051" s="37"/>
      <c r="O2051" s="37"/>
      <c r="P2051" s="36"/>
      <c r="Q2051" s="36"/>
      <c r="R2051" s="31"/>
      <c r="S2051" s="31"/>
      <c r="T2051" s="38"/>
      <c r="U2051" s="39">
        <f>IFERROR(_xlfn.XLOOKUP(E2051,[1]EMPREENDIMENTO!C:C,[1]EMPREENDIMENTO!D:D),"")</f>
        <v>0</v>
      </c>
    </row>
    <row r="2052" spans="1:21" hidden="1" x14ac:dyDescent="0.35">
      <c r="A2052" s="36"/>
      <c r="B2052" s="36"/>
      <c r="C2052" s="36"/>
      <c r="D2052" s="36"/>
      <c r="E2052" s="36"/>
      <c r="F2052" s="36"/>
      <c r="G2052" s="36"/>
      <c r="H2052" s="36"/>
      <c r="I2052" s="40"/>
      <c r="J2052" s="31"/>
      <c r="K2052" s="36"/>
      <c r="M2052" s="37"/>
      <c r="N2052" s="37"/>
      <c r="O2052" s="37"/>
      <c r="P2052" s="36"/>
      <c r="Q2052" s="36"/>
      <c r="R2052" s="31"/>
      <c r="S2052" s="31"/>
      <c r="T2052" s="38"/>
      <c r="U2052" s="39">
        <f>IFERROR(_xlfn.XLOOKUP(E2052,[1]EMPREENDIMENTO!C:C,[1]EMPREENDIMENTO!D:D),"")</f>
        <v>0</v>
      </c>
    </row>
    <row r="2053" spans="1:21" hidden="1" x14ac:dyDescent="0.35">
      <c r="A2053" s="36"/>
      <c r="B2053" s="36"/>
      <c r="C2053" s="36"/>
      <c r="D2053" s="36"/>
      <c r="E2053" s="36"/>
      <c r="F2053" s="36"/>
      <c r="G2053" s="36"/>
      <c r="H2053" s="36"/>
      <c r="I2053" s="40"/>
      <c r="J2053" s="31"/>
      <c r="K2053" s="36"/>
      <c r="M2053" s="37"/>
      <c r="N2053" s="37"/>
      <c r="O2053" s="37"/>
      <c r="P2053" s="36"/>
      <c r="Q2053" s="36"/>
      <c r="R2053" s="31"/>
      <c r="S2053" s="31"/>
      <c r="T2053" s="38"/>
      <c r="U2053" s="39">
        <f>IFERROR(_xlfn.XLOOKUP(E2053,[1]EMPREENDIMENTO!C:C,[1]EMPREENDIMENTO!D:D),"")</f>
        <v>0</v>
      </c>
    </row>
    <row r="2054" spans="1:21" hidden="1" x14ac:dyDescent="0.35">
      <c r="A2054" s="36"/>
      <c r="B2054" s="36"/>
      <c r="C2054" s="36"/>
      <c r="D2054" s="36"/>
      <c r="E2054" s="36"/>
      <c r="F2054" s="36"/>
      <c r="G2054" s="36"/>
      <c r="H2054" s="36"/>
      <c r="I2054" s="40"/>
      <c r="J2054" s="31"/>
      <c r="K2054" s="36"/>
      <c r="M2054" s="37"/>
      <c r="N2054" s="37"/>
      <c r="O2054" s="37"/>
      <c r="P2054" s="36"/>
      <c r="Q2054" s="36"/>
      <c r="R2054" s="31"/>
      <c r="S2054" s="31"/>
      <c r="T2054" s="38"/>
      <c r="U2054" s="39">
        <f>IFERROR(_xlfn.XLOOKUP(E2054,[1]EMPREENDIMENTO!C:C,[1]EMPREENDIMENTO!D:D),"")</f>
        <v>0</v>
      </c>
    </row>
    <row r="2055" spans="1:21" hidden="1" x14ac:dyDescent="0.35">
      <c r="A2055" s="36"/>
      <c r="B2055" s="36"/>
      <c r="C2055" s="36"/>
      <c r="D2055" s="36"/>
      <c r="E2055" s="36"/>
      <c r="F2055" s="36"/>
      <c r="G2055" s="36"/>
      <c r="H2055" s="36"/>
      <c r="I2055" s="40"/>
      <c r="J2055" s="31"/>
      <c r="K2055" s="36"/>
      <c r="M2055" s="37"/>
      <c r="N2055" s="37"/>
      <c r="O2055" s="37"/>
      <c r="P2055" s="36"/>
      <c r="Q2055" s="36"/>
      <c r="R2055" s="31"/>
      <c r="S2055" s="31"/>
      <c r="T2055" s="38"/>
      <c r="U2055" s="39">
        <f>IFERROR(_xlfn.XLOOKUP(E2055,[1]EMPREENDIMENTO!C:C,[1]EMPREENDIMENTO!D:D),"")</f>
        <v>0</v>
      </c>
    </row>
    <row r="2056" spans="1:21" hidden="1" x14ac:dyDescent="0.35">
      <c r="A2056" s="36"/>
      <c r="B2056" s="36"/>
      <c r="C2056" s="36"/>
      <c r="D2056" s="36"/>
      <c r="E2056" s="36"/>
      <c r="F2056" s="36"/>
      <c r="G2056" s="36"/>
      <c r="H2056" s="36"/>
      <c r="I2056" s="40"/>
      <c r="J2056" s="31"/>
      <c r="K2056" s="36"/>
      <c r="M2056" s="37"/>
      <c r="N2056" s="37"/>
      <c r="O2056" s="37"/>
      <c r="P2056" s="36"/>
      <c r="Q2056" s="36"/>
      <c r="R2056" s="31"/>
      <c r="S2056" s="31"/>
      <c r="T2056" s="38"/>
      <c r="U2056" s="39">
        <f>IFERROR(_xlfn.XLOOKUP(E2056,[1]EMPREENDIMENTO!C:C,[1]EMPREENDIMENTO!D:D),"")</f>
        <v>0</v>
      </c>
    </row>
    <row r="2057" spans="1:21" hidden="1" x14ac:dyDescent="0.35">
      <c r="A2057" s="36"/>
      <c r="B2057" s="36"/>
      <c r="C2057" s="36"/>
      <c r="D2057" s="36"/>
      <c r="E2057" s="36"/>
      <c r="F2057" s="36"/>
      <c r="G2057" s="36"/>
      <c r="H2057" s="36"/>
      <c r="I2057" s="40"/>
      <c r="J2057" s="31"/>
      <c r="K2057" s="36"/>
      <c r="M2057" s="37"/>
      <c r="N2057" s="37"/>
      <c r="O2057" s="37"/>
      <c r="P2057" s="36"/>
      <c r="Q2057" s="36"/>
      <c r="R2057" s="31"/>
      <c r="S2057" s="31"/>
      <c r="T2057" s="38"/>
      <c r="U2057" s="39">
        <f>IFERROR(_xlfn.XLOOKUP(E2057,[1]EMPREENDIMENTO!C:C,[1]EMPREENDIMENTO!D:D),"")</f>
        <v>0</v>
      </c>
    </row>
    <row r="2058" spans="1:21" hidden="1" x14ac:dyDescent="0.35">
      <c r="A2058" s="36"/>
      <c r="B2058" s="36"/>
      <c r="C2058" s="36"/>
      <c r="D2058" s="36"/>
      <c r="E2058" s="36"/>
      <c r="F2058" s="36"/>
      <c r="G2058" s="36"/>
      <c r="H2058" s="36"/>
      <c r="I2058" s="40"/>
      <c r="J2058" s="31"/>
      <c r="K2058" s="36"/>
      <c r="M2058" s="37"/>
      <c r="N2058" s="37"/>
      <c r="O2058" s="37"/>
      <c r="P2058" s="36"/>
      <c r="Q2058" s="36"/>
      <c r="R2058" s="31"/>
      <c r="S2058" s="31"/>
      <c r="T2058" s="38"/>
      <c r="U2058" s="39">
        <f>IFERROR(_xlfn.XLOOKUP(E2058,[1]EMPREENDIMENTO!C:C,[1]EMPREENDIMENTO!D:D),"")</f>
        <v>0</v>
      </c>
    </row>
    <row r="2059" spans="1:21" hidden="1" x14ac:dyDescent="0.35">
      <c r="A2059" s="36"/>
      <c r="B2059" s="36"/>
      <c r="C2059" s="36"/>
      <c r="D2059" s="36"/>
      <c r="E2059" s="36"/>
      <c r="F2059" s="36"/>
      <c r="G2059" s="36"/>
      <c r="H2059" s="36"/>
      <c r="I2059" s="40"/>
      <c r="J2059" s="31"/>
      <c r="K2059" s="36"/>
      <c r="M2059" s="37"/>
      <c r="N2059" s="37"/>
      <c r="O2059" s="37"/>
      <c r="P2059" s="36"/>
      <c r="Q2059" s="36"/>
      <c r="R2059" s="31"/>
      <c r="S2059" s="31"/>
      <c r="T2059" s="38"/>
      <c r="U2059" s="39">
        <f>IFERROR(_xlfn.XLOOKUP(E2059,[1]EMPREENDIMENTO!C:C,[1]EMPREENDIMENTO!D:D),"")</f>
        <v>0</v>
      </c>
    </row>
    <row r="2060" spans="1:21" hidden="1" x14ac:dyDescent="0.35">
      <c r="A2060" s="36"/>
      <c r="B2060" s="36"/>
      <c r="C2060" s="36"/>
      <c r="D2060" s="36"/>
      <c r="E2060" s="36"/>
      <c r="F2060" s="36"/>
      <c r="G2060" s="36"/>
      <c r="H2060" s="36"/>
      <c r="I2060" s="40"/>
      <c r="J2060" s="31"/>
      <c r="K2060" s="36"/>
      <c r="M2060" s="37"/>
      <c r="N2060" s="37"/>
      <c r="O2060" s="37"/>
      <c r="P2060" s="36"/>
      <c r="Q2060" s="36"/>
      <c r="R2060" s="31"/>
      <c r="S2060" s="31"/>
      <c r="T2060" s="38"/>
      <c r="U2060" s="39">
        <f>IFERROR(_xlfn.XLOOKUP(E2060,[1]EMPREENDIMENTO!C:C,[1]EMPREENDIMENTO!D:D),"")</f>
        <v>0</v>
      </c>
    </row>
    <row r="2061" spans="1:21" hidden="1" x14ac:dyDescent="0.35">
      <c r="A2061" s="36"/>
      <c r="B2061" s="36"/>
      <c r="C2061" s="36"/>
      <c r="D2061" s="36"/>
      <c r="E2061" s="36"/>
      <c r="F2061" s="36"/>
      <c r="G2061" s="36"/>
      <c r="H2061" s="36"/>
      <c r="I2061" s="40"/>
      <c r="J2061" s="31"/>
      <c r="K2061" s="36"/>
      <c r="M2061" s="37"/>
      <c r="N2061" s="37"/>
      <c r="O2061" s="37"/>
      <c r="P2061" s="36"/>
      <c r="Q2061" s="36"/>
      <c r="R2061" s="31"/>
      <c r="S2061" s="31"/>
      <c r="T2061" s="38"/>
      <c r="U2061" s="39">
        <f>IFERROR(_xlfn.XLOOKUP(E2061,[1]EMPREENDIMENTO!C:C,[1]EMPREENDIMENTO!D:D),"")</f>
        <v>0</v>
      </c>
    </row>
    <row r="2062" spans="1:21" hidden="1" x14ac:dyDescent="0.35">
      <c r="A2062" s="36"/>
      <c r="B2062" s="36"/>
      <c r="C2062" s="36"/>
      <c r="D2062" s="36"/>
      <c r="E2062" s="36"/>
      <c r="F2062" s="36"/>
      <c r="G2062" s="36"/>
      <c r="H2062" s="36"/>
      <c r="I2062" s="40"/>
      <c r="J2062" s="31"/>
      <c r="K2062" s="36"/>
      <c r="M2062" s="37"/>
      <c r="N2062" s="37"/>
      <c r="O2062" s="37"/>
      <c r="P2062" s="36"/>
      <c r="Q2062" s="36"/>
      <c r="R2062" s="31"/>
      <c r="S2062" s="31"/>
      <c r="T2062" s="38"/>
      <c r="U2062" s="39">
        <f>IFERROR(_xlfn.XLOOKUP(E2062,[1]EMPREENDIMENTO!C:C,[1]EMPREENDIMENTO!D:D),"")</f>
        <v>0</v>
      </c>
    </row>
    <row r="2063" spans="1:21" hidden="1" x14ac:dyDescent="0.35">
      <c r="A2063" s="36"/>
      <c r="B2063" s="36"/>
      <c r="C2063" s="36"/>
      <c r="D2063" s="36"/>
      <c r="E2063" s="36"/>
      <c r="F2063" s="36"/>
      <c r="G2063" s="36"/>
      <c r="H2063" s="36"/>
      <c r="I2063" s="40"/>
      <c r="J2063" s="31"/>
      <c r="K2063" s="36"/>
      <c r="M2063" s="37"/>
      <c r="N2063" s="37"/>
      <c r="O2063" s="37"/>
      <c r="P2063" s="36"/>
      <c r="Q2063" s="36"/>
      <c r="R2063" s="31"/>
      <c r="S2063" s="31"/>
      <c r="T2063" s="38"/>
      <c r="U2063" s="39">
        <f>IFERROR(_xlfn.XLOOKUP(E2063,[1]EMPREENDIMENTO!C:C,[1]EMPREENDIMENTO!D:D),"")</f>
        <v>0</v>
      </c>
    </row>
    <row r="2064" spans="1:21" hidden="1" x14ac:dyDescent="0.35">
      <c r="A2064" s="36"/>
      <c r="B2064" s="36"/>
      <c r="C2064" s="36"/>
      <c r="D2064" s="36"/>
      <c r="E2064" s="36"/>
      <c r="F2064" s="36"/>
      <c r="G2064" s="36"/>
      <c r="H2064" s="36"/>
      <c r="I2064" s="40"/>
      <c r="J2064" s="31"/>
      <c r="K2064" s="36"/>
      <c r="M2064" s="37"/>
      <c r="N2064" s="37"/>
      <c r="O2064" s="37"/>
      <c r="P2064" s="36"/>
      <c r="Q2064" s="36"/>
      <c r="R2064" s="31"/>
      <c r="S2064" s="31"/>
      <c r="T2064" s="38"/>
      <c r="U2064" s="39">
        <f>IFERROR(_xlfn.XLOOKUP(E2064,[1]EMPREENDIMENTO!C:C,[1]EMPREENDIMENTO!D:D),"")</f>
        <v>0</v>
      </c>
    </row>
    <row r="2065" spans="1:21" hidden="1" x14ac:dyDescent="0.35">
      <c r="A2065" s="36"/>
      <c r="B2065" s="36"/>
      <c r="C2065" s="36"/>
      <c r="D2065" s="36"/>
      <c r="E2065" s="36"/>
      <c r="F2065" s="36"/>
      <c r="G2065" s="36"/>
      <c r="H2065" s="36"/>
      <c r="I2065" s="40"/>
      <c r="J2065" s="31"/>
      <c r="K2065" s="36"/>
      <c r="M2065" s="37"/>
      <c r="N2065" s="37"/>
      <c r="O2065" s="37"/>
      <c r="P2065" s="36"/>
      <c r="Q2065" s="36"/>
      <c r="R2065" s="31"/>
      <c r="S2065" s="31"/>
      <c r="T2065" s="38"/>
      <c r="U2065" s="39">
        <f>IFERROR(_xlfn.XLOOKUP(E2065,[1]EMPREENDIMENTO!C:C,[1]EMPREENDIMENTO!D:D),"")</f>
        <v>0</v>
      </c>
    </row>
    <row r="2066" spans="1:21" hidden="1" x14ac:dyDescent="0.35">
      <c r="A2066" s="36"/>
      <c r="B2066" s="36"/>
      <c r="C2066" s="36"/>
      <c r="D2066" s="36"/>
      <c r="E2066" s="36"/>
      <c r="F2066" s="36"/>
      <c r="G2066" s="36"/>
      <c r="H2066" s="36"/>
      <c r="I2066" s="40"/>
      <c r="J2066" s="31"/>
      <c r="K2066" s="36"/>
      <c r="M2066" s="37"/>
      <c r="N2066" s="37"/>
      <c r="O2066" s="37"/>
      <c r="P2066" s="36"/>
      <c r="Q2066" s="36"/>
      <c r="R2066" s="31"/>
      <c r="S2066" s="31"/>
      <c r="T2066" s="38"/>
      <c r="U2066" s="39">
        <f>IFERROR(_xlfn.XLOOKUP(E2066,[1]EMPREENDIMENTO!C:C,[1]EMPREENDIMENTO!D:D),"")</f>
        <v>0</v>
      </c>
    </row>
    <row r="2067" spans="1:21" hidden="1" x14ac:dyDescent="0.35">
      <c r="A2067" s="36"/>
      <c r="B2067" s="36"/>
      <c r="C2067" s="36"/>
      <c r="D2067" s="36"/>
      <c r="E2067" s="36"/>
      <c r="F2067" s="36"/>
      <c r="G2067" s="36"/>
      <c r="H2067" s="36"/>
      <c r="I2067" s="40"/>
      <c r="J2067" s="31"/>
      <c r="K2067" s="36"/>
      <c r="M2067" s="37"/>
      <c r="N2067" s="37"/>
      <c r="O2067" s="37"/>
      <c r="P2067" s="36"/>
      <c r="Q2067" s="36"/>
      <c r="R2067" s="31"/>
      <c r="S2067" s="31"/>
      <c r="T2067" s="38"/>
      <c r="U2067" s="39">
        <f>IFERROR(_xlfn.XLOOKUP(E2067,[1]EMPREENDIMENTO!C:C,[1]EMPREENDIMENTO!D:D),"")</f>
        <v>0</v>
      </c>
    </row>
    <row r="2068" spans="1:21" hidden="1" x14ac:dyDescent="0.35">
      <c r="A2068" s="36"/>
      <c r="B2068" s="36"/>
      <c r="C2068" s="36"/>
      <c r="D2068" s="36"/>
      <c r="E2068" s="36"/>
      <c r="F2068" s="36"/>
      <c r="G2068" s="36"/>
      <c r="H2068" s="36"/>
      <c r="I2068" s="40"/>
      <c r="J2068" s="31"/>
      <c r="K2068" s="36"/>
      <c r="M2068" s="37"/>
      <c r="N2068" s="37"/>
      <c r="O2068" s="37"/>
      <c r="P2068" s="36"/>
      <c r="Q2068" s="36"/>
      <c r="R2068" s="31"/>
      <c r="S2068" s="31"/>
      <c r="T2068" s="38"/>
      <c r="U2068" s="39">
        <f>IFERROR(_xlfn.XLOOKUP(E2068,[1]EMPREENDIMENTO!C:C,[1]EMPREENDIMENTO!D:D),"")</f>
        <v>0</v>
      </c>
    </row>
    <row r="2069" spans="1:21" hidden="1" x14ac:dyDescent="0.35">
      <c r="A2069" s="36"/>
      <c r="B2069" s="36"/>
      <c r="C2069" s="36"/>
      <c r="D2069" s="36"/>
      <c r="E2069" s="36"/>
      <c r="F2069" s="36"/>
      <c r="G2069" s="36"/>
      <c r="H2069" s="36"/>
      <c r="I2069" s="40"/>
      <c r="J2069" s="31"/>
      <c r="K2069" s="36"/>
      <c r="M2069" s="37"/>
      <c r="N2069" s="37"/>
      <c r="O2069" s="37"/>
      <c r="P2069" s="36"/>
      <c r="Q2069" s="36"/>
      <c r="R2069" s="31"/>
      <c r="S2069" s="31"/>
      <c r="T2069" s="38"/>
      <c r="U2069" s="39">
        <f>IFERROR(_xlfn.XLOOKUP(E2069,[1]EMPREENDIMENTO!C:C,[1]EMPREENDIMENTO!D:D),"")</f>
        <v>0</v>
      </c>
    </row>
    <row r="2070" spans="1:21" hidden="1" x14ac:dyDescent="0.35">
      <c r="A2070" s="36"/>
      <c r="B2070" s="36"/>
      <c r="C2070" s="36"/>
      <c r="D2070" s="36"/>
      <c r="E2070" s="36"/>
      <c r="F2070" s="36"/>
      <c r="G2070" s="36"/>
      <c r="H2070" s="36"/>
      <c r="I2070" s="40"/>
      <c r="J2070" s="31"/>
      <c r="K2070" s="36"/>
      <c r="M2070" s="37"/>
      <c r="N2070" s="37"/>
      <c r="O2070" s="37"/>
      <c r="P2070" s="36"/>
      <c r="Q2070" s="36"/>
      <c r="R2070" s="31"/>
      <c r="S2070" s="31"/>
      <c r="T2070" s="38"/>
      <c r="U2070" s="39">
        <f>IFERROR(_xlfn.XLOOKUP(E2070,[1]EMPREENDIMENTO!C:C,[1]EMPREENDIMENTO!D:D),"")</f>
        <v>0</v>
      </c>
    </row>
    <row r="2071" spans="1:21" hidden="1" x14ac:dyDescent="0.35">
      <c r="A2071" s="36"/>
      <c r="B2071" s="36"/>
      <c r="C2071" s="36"/>
      <c r="D2071" s="36"/>
      <c r="E2071" s="36"/>
      <c r="F2071" s="36"/>
      <c r="G2071" s="36"/>
      <c r="H2071" s="36"/>
      <c r="I2071" s="40"/>
      <c r="J2071" s="31"/>
      <c r="K2071" s="36"/>
      <c r="M2071" s="37"/>
      <c r="N2071" s="37"/>
      <c r="O2071" s="37"/>
      <c r="P2071" s="36"/>
      <c r="Q2071" s="36"/>
      <c r="R2071" s="31"/>
      <c r="S2071" s="31"/>
      <c r="T2071" s="38"/>
      <c r="U2071" s="39">
        <f>IFERROR(_xlfn.XLOOKUP(E2071,[1]EMPREENDIMENTO!C:C,[1]EMPREENDIMENTO!D:D),"")</f>
        <v>0</v>
      </c>
    </row>
    <row r="2072" spans="1:21" hidden="1" x14ac:dyDescent="0.35">
      <c r="A2072" s="36"/>
      <c r="B2072" s="36"/>
      <c r="C2072" s="36"/>
      <c r="D2072" s="36"/>
      <c r="E2072" s="36"/>
      <c r="F2072" s="36"/>
      <c r="G2072" s="36"/>
      <c r="H2072" s="36"/>
      <c r="I2072" s="40"/>
      <c r="J2072" s="31"/>
      <c r="K2072" s="36"/>
      <c r="M2072" s="37"/>
      <c r="N2072" s="37"/>
      <c r="O2072" s="37"/>
      <c r="P2072" s="36"/>
      <c r="Q2072" s="36"/>
      <c r="R2072" s="31"/>
      <c r="S2072" s="31"/>
      <c r="T2072" s="38"/>
      <c r="U2072" s="39">
        <f>IFERROR(_xlfn.XLOOKUP(E2072,[1]EMPREENDIMENTO!C:C,[1]EMPREENDIMENTO!D:D),"")</f>
        <v>0</v>
      </c>
    </row>
    <row r="2073" spans="1:21" hidden="1" x14ac:dyDescent="0.35">
      <c r="A2073" s="36"/>
      <c r="B2073" s="36"/>
      <c r="C2073" s="36"/>
      <c r="D2073" s="36"/>
      <c r="E2073" s="36"/>
      <c r="F2073" s="36"/>
      <c r="G2073" s="36"/>
      <c r="H2073" s="36"/>
      <c r="I2073" s="40"/>
      <c r="J2073" s="31"/>
      <c r="K2073" s="36"/>
      <c r="M2073" s="37"/>
      <c r="N2073" s="37"/>
      <c r="O2073" s="37"/>
      <c r="P2073" s="36"/>
      <c r="Q2073" s="36"/>
      <c r="R2073" s="31"/>
      <c r="S2073" s="31"/>
      <c r="T2073" s="38"/>
      <c r="U2073" s="39">
        <f>IFERROR(_xlfn.XLOOKUP(E2073,[1]EMPREENDIMENTO!C:C,[1]EMPREENDIMENTO!D:D),"")</f>
        <v>0</v>
      </c>
    </row>
    <row r="2074" spans="1:21" hidden="1" x14ac:dyDescent="0.35">
      <c r="A2074" s="36"/>
      <c r="B2074" s="36"/>
      <c r="C2074" s="36"/>
      <c r="D2074" s="36"/>
      <c r="E2074" s="36"/>
      <c r="F2074" s="36"/>
      <c r="G2074" s="36"/>
      <c r="H2074" s="36"/>
      <c r="I2074" s="40"/>
      <c r="J2074" s="31"/>
      <c r="K2074" s="36"/>
      <c r="M2074" s="37"/>
      <c r="N2074" s="37"/>
      <c r="O2074" s="37"/>
      <c r="P2074" s="36"/>
      <c r="Q2074" s="36"/>
      <c r="R2074" s="31"/>
      <c r="S2074" s="31"/>
      <c r="T2074" s="38"/>
      <c r="U2074" s="39">
        <f>IFERROR(_xlfn.XLOOKUP(E2074,[1]EMPREENDIMENTO!C:C,[1]EMPREENDIMENTO!D:D),"")</f>
        <v>0</v>
      </c>
    </row>
    <row r="2075" spans="1:21" hidden="1" x14ac:dyDescent="0.35">
      <c r="A2075" s="36"/>
      <c r="B2075" s="36"/>
      <c r="C2075" s="36"/>
      <c r="D2075" s="36"/>
      <c r="E2075" s="36"/>
      <c r="F2075" s="36"/>
      <c r="G2075" s="36"/>
      <c r="H2075" s="36"/>
      <c r="I2075" s="40"/>
      <c r="J2075" s="31"/>
      <c r="K2075" s="36"/>
      <c r="M2075" s="37"/>
      <c r="N2075" s="37"/>
      <c r="O2075" s="37"/>
      <c r="P2075" s="36"/>
      <c r="Q2075" s="36"/>
      <c r="R2075" s="31"/>
      <c r="S2075" s="31"/>
      <c r="T2075" s="38"/>
      <c r="U2075" s="39">
        <f>IFERROR(_xlfn.XLOOKUP(E2075,[1]EMPREENDIMENTO!C:C,[1]EMPREENDIMENTO!D:D),"")</f>
        <v>0</v>
      </c>
    </row>
    <row r="2076" spans="1:21" hidden="1" x14ac:dyDescent="0.35">
      <c r="A2076" s="36"/>
      <c r="B2076" s="36"/>
      <c r="C2076" s="36"/>
      <c r="D2076" s="36"/>
      <c r="E2076" s="36"/>
      <c r="F2076" s="36"/>
      <c r="G2076" s="36"/>
      <c r="H2076" s="36"/>
      <c r="I2076" s="40"/>
      <c r="J2076" s="31"/>
      <c r="K2076" s="36"/>
      <c r="M2076" s="37"/>
      <c r="N2076" s="37"/>
      <c r="O2076" s="37"/>
      <c r="P2076" s="36"/>
      <c r="Q2076" s="36"/>
      <c r="R2076" s="31"/>
      <c r="S2076" s="31"/>
      <c r="T2076" s="38"/>
      <c r="U2076" s="39">
        <f>IFERROR(_xlfn.XLOOKUP(E2076,[1]EMPREENDIMENTO!C:C,[1]EMPREENDIMENTO!D:D),"")</f>
        <v>0</v>
      </c>
    </row>
    <row r="2077" spans="1:21" hidden="1" x14ac:dyDescent="0.35">
      <c r="A2077" s="36"/>
      <c r="B2077" s="36"/>
      <c r="C2077" s="36"/>
      <c r="D2077" s="36"/>
      <c r="E2077" s="36"/>
      <c r="F2077" s="36"/>
      <c r="G2077" s="36"/>
      <c r="H2077" s="36"/>
      <c r="I2077" s="40"/>
      <c r="J2077" s="31"/>
      <c r="K2077" s="36"/>
      <c r="M2077" s="37"/>
      <c r="N2077" s="37"/>
      <c r="O2077" s="37"/>
      <c r="P2077" s="36"/>
      <c r="Q2077" s="36"/>
      <c r="R2077" s="31"/>
      <c r="S2077" s="31"/>
      <c r="T2077" s="38"/>
      <c r="U2077" s="39">
        <f>IFERROR(_xlfn.XLOOKUP(E2077,[1]EMPREENDIMENTO!C:C,[1]EMPREENDIMENTO!D:D),"")</f>
        <v>0</v>
      </c>
    </row>
    <row r="2078" spans="1:21" hidden="1" x14ac:dyDescent="0.35">
      <c r="A2078" s="36"/>
      <c r="B2078" s="36"/>
      <c r="C2078" s="36"/>
      <c r="D2078" s="36"/>
      <c r="E2078" s="36"/>
      <c r="F2078" s="36"/>
      <c r="G2078" s="36"/>
      <c r="H2078" s="36"/>
      <c r="I2078" s="40"/>
      <c r="J2078" s="31"/>
      <c r="K2078" s="36"/>
      <c r="M2078" s="37"/>
      <c r="N2078" s="37"/>
      <c r="O2078" s="37"/>
      <c r="P2078" s="36"/>
      <c r="Q2078" s="36"/>
      <c r="R2078" s="31"/>
      <c r="S2078" s="31"/>
      <c r="T2078" s="38"/>
      <c r="U2078" s="39">
        <f>IFERROR(_xlfn.XLOOKUP(E2078,[1]EMPREENDIMENTO!C:C,[1]EMPREENDIMENTO!D:D),"")</f>
        <v>0</v>
      </c>
    </row>
    <row r="2079" spans="1:21" hidden="1" x14ac:dyDescent="0.35">
      <c r="A2079" s="36"/>
      <c r="B2079" s="36"/>
      <c r="C2079" s="36"/>
      <c r="D2079" s="36"/>
      <c r="E2079" s="36"/>
      <c r="F2079" s="36"/>
      <c r="G2079" s="36"/>
      <c r="H2079" s="36"/>
      <c r="I2079" s="40"/>
      <c r="J2079" s="31"/>
      <c r="K2079" s="36"/>
      <c r="M2079" s="37"/>
      <c r="N2079" s="37"/>
      <c r="O2079" s="37"/>
      <c r="P2079" s="36"/>
      <c r="Q2079" s="36"/>
      <c r="R2079" s="31"/>
      <c r="S2079" s="31"/>
      <c r="T2079" s="38"/>
      <c r="U2079" s="39">
        <f>IFERROR(_xlfn.XLOOKUP(E2079,[1]EMPREENDIMENTO!C:C,[1]EMPREENDIMENTO!D:D),"")</f>
        <v>0</v>
      </c>
    </row>
    <row r="2080" spans="1:21" hidden="1" x14ac:dyDescent="0.35">
      <c r="A2080" s="36"/>
      <c r="B2080" s="36"/>
      <c r="C2080" s="36"/>
      <c r="D2080" s="36"/>
      <c r="E2080" s="36"/>
      <c r="F2080" s="36"/>
      <c r="G2080" s="36"/>
      <c r="H2080" s="36"/>
      <c r="I2080" s="40"/>
      <c r="J2080" s="31"/>
      <c r="K2080" s="36"/>
      <c r="M2080" s="37"/>
      <c r="N2080" s="37"/>
      <c r="O2080" s="37"/>
      <c r="P2080" s="36"/>
      <c r="Q2080" s="36"/>
      <c r="R2080" s="31"/>
      <c r="S2080" s="31"/>
      <c r="T2080" s="38"/>
      <c r="U2080" s="39">
        <f>IFERROR(_xlfn.XLOOKUP(E2080,[1]EMPREENDIMENTO!C:C,[1]EMPREENDIMENTO!D:D),"")</f>
        <v>0</v>
      </c>
    </row>
    <row r="2081" spans="1:21" hidden="1" x14ac:dyDescent="0.35">
      <c r="A2081" s="36"/>
      <c r="B2081" s="36"/>
      <c r="C2081" s="36"/>
      <c r="D2081" s="36"/>
      <c r="E2081" s="36"/>
      <c r="F2081" s="36"/>
      <c r="G2081" s="36"/>
      <c r="H2081" s="36"/>
      <c r="I2081" s="40"/>
      <c r="J2081" s="31"/>
      <c r="K2081" s="36"/>
      <c r="M2081" s="37"/>
      <c r="N2081" s="37"/>
      <c r="O2081" s="37"/>
      <c r="P2081" s="36"/>
      <c r="Q2081" s="36"/>
      <c r="R2081" s="31"/>
      <c r="S2081" s="31"/>
      <c r="T2081" s="38"/>
      <c r="U2081" s="39">
        <f>IFERROR(_xlfn.XLOOKUP(E2081,[1]EMPREENDIMENTO!C:C,[1]EMPREENDIMENTO!D:D),"")</f>
        <v>0</v>
      </c>
    </row>
    <row r="2082" spans="1:21" hidden="1" x14ac:dyDescent="0.35">
      <c r="A2082" s="36"/>
      <c r="B2082" s="36"/>
      <c r="C2082" s="36"/>
      <c r="D2082" s="36"/>
      <c r="E2082" s="36"/>
      <c r="F2082" s="36"/>
      <c r="G2082" s="36"/>
      <c r="H2082" s="36"/>
      <c r="I2082" s="40"/>
      <c r="J2082" s="31"/>
      <c r="K2082" s="36"/>
      <c r="M2082" s="37"/>
      <c r="N2082" s="37"/>
      <c r="O2082" s="37"/>
      <c r="P2082" s="36"/>
      <c r="Q2082" s="36"/>
      <c r="R2082" s="31"/>
      <c r="S2082" s="31"/>
      <c r="T2082" s="38"/>
      <c r="U2082" s="39">
        <f>IFERROR(_xlfn.XLOOKUP(E2082,[1]EMPREENDIMENTO!C:C,[1]EMPREENDIMENTO!D:D),"")</f>
        <v>0</v>
      </c>
    </row>
    <row r="2083" spans="1:21" hidden="1" x14ac:dyDescent="0.35">
      <c r="A2083" s="36"/>
      <c r="B2083" s="36"/>
      <c r="C2083" s="36"/>
      <c r="D2083" s="36"/>
      <c r="E2083" s="36"/>
      <c r="F2083" s="36"/>
      <c r="G2083" s="36"/>
      <c r="H2083" s="36"/>
      <c r="I2083" s="40"/>
      <c r="J2083" s="31"/>
      <c r="K2083" s="36"/>
      <c r="M2083" s="37"/>
      <c r="N2083" s="37"/>
      <c r="O2083" s="37"/>
      <c r="P2083" s="36"/>
      <c r="Q2083" s="36"/>
      <c r="R2083" s="31"/>
      <c r="S2083" s="31"/>
      <c r="T2083" s="38"/>
      <c r="U2083" s="39">
        <f>IFERROR(_xlfn.XLOOKUP(E2083,[1]EMPREENDIMENTO!C:C,[1]EMPREENDIMENTO!D:D),"")</f>
        <v>0</v>
      </c>
    </row>
    <row r="2084" spans="1:21" hidden="1" x14ac:dyDescent="0.35">
      <c r="A2084" s="36"/>
      <c r="B2084" s="36"/>
      <c r="C2084" s="36"/>
      <c r="D2084" s="36"/>
      <c r="E2084" s="36"/>
      <c r="F2084" s="36"/>
      <c r="G2084" s="36"/>
      <c r="H2084" s="36"/>
      <c r="I2084" s="40"/>
      <c r="J2084" s="31"/>
      <c r="K2084" s="36"/>
      <c r="M2084" s="37"/>
      <c r="N2084" s="37"/>
      <c r="O2084" s="37"/>
      <c r="P2084" s="36"/>
      <c r="Q2084" s="36"/>
      <c r="R2084" s="31"/>
      <c r="S2084" s="31"/>
      <c r="T2084" s="38"/>
      <c r="U2084" s="39">
        <f>IFERROR(_xlfn.XLOOKUP(E2084,[1]EMPREENDIMENTO!C:C,[1]EMPREENDIMENTO!D:D),"")</f>
        <v>0</v>
      </c>
    </row>
    <row r="2085" spans="1:21" hidden="1" x14ac:dyDescent="0.35">
      <c r="A2085" s="36"/>
      <c r="B2085" s="36"/>
      <c r="C2085" s="36"/>
      <c r="D2085" s="36"/>
      <c r="E2085" s="36"/>
      <c r="F2085" s="36"/>
      <c r="G2085" s="36"/>
      <c r="H2085" s="36"/>
      <c r="I2085" s="40"/>
      <c r="J2085" s="31"/>
      <c r="K2085" s="36"/>
      <c r="M2085" s="37"/>
      <c r="N2085" s="37"/>
      <c r="O2085" s="37"/>
      <c r="P2085" s="36"/>
      <c r="Q2085" s="36"/>
      <c r="R2085" s="31"/>
      <c r="S2085" s="31"/>
      <c r="T2085" s="38"/>
      <c r="U2085" s="39">
        <f>IFERROR(_xlfn.XLOOKUP(E2085,[1]EMPREENDIMENTO!C:C,[1]EMPREENDIMENTO!D:D),"")</f>
        <v>0</v>
      </c>
    </row>
    <row r="2086" spans="1:21" hidden="1" x14ac:dyDescent="0.35">
      <c r="A2086" s="36"/>
      <c r="B2086" s="36"/>
      <c r="C2086" s="36"/>
      <c r="D2086" s="36"/>
      <c r="E2086" s="36"/>
      <c r="F2086" s="36"/>
      <c r="G2086" s="36"/>
      <c r="H2086" s="36"/>
      <c r="I2086" s="40"/>
      <c r="J2086" s="31"/>
      <c r="K2086" s="36"/>
      <c r="M2086" s="37"/>
      <c r="N2086" s="37"/>
      <c r="O2086" s="37"/>
      <c r="P2086" s="36"/>
      <c r="Q2086" s="36"/>
      <c r="R2086" s="31"/>
      <c r="S2086" s="31"/>
      <c r="T2086" s="38"/>
      <c r="U2086" s="39">
        <f>IFERROR(_xlfn.XLOOKUP(E2086,[1]EMPREENDIMENTO!C:C,[1]EMPREENDIMENTO!D:D),"")</f>
        <v>0</v>
      </c>
    </row>
    <row r="2087" spans="1:21" hidden="1" x14ac:dyDescent="0.35">
      <c r="A2087" s="36"/>
      <c r="B2087" s="36"/>
      <c r="C2087" s="36"/>
      <c r="D2087" s="36"/>
      <c r="E2087" s="36"/>
      <c r="F2087" s="36"/>
      <c r="G2087" s="36"/>
      <c r="H2087" s="36"/>
      <c r="I2087" s="40"/>
      <c r="J2087" s="31"/>
      <c r="K2087" s="36"/>
      <c r="M2087" s="37"/>
      <c r="N2087" s="37"/>
      <c r="O2087" s="37"/>
      <c r="P2087" s="36"/>
      <c r="Q2087" s="36"/>
      <c r="R2087" s="31"/>
      <c r="S2087" s="31"/>
      <c r="T2087" s="38"/>
      <c r="U2087" s="39">
        <f>IFERROR(_xlfn.XLOOKUP(E2087,[1]EMPREENDIMENTO!C:C,[1]EMPREENDIMENTO!D:D),"")</f>
        <v>0</v>
      </c>
    </row>
    <row r="2088" spans="1:21" hidden="1" x14ac:dyDescent="0.35">
      <c r="A2088" s="36"/>
      <c r="B2088" s="36"/>
      <c r="C2088" s="36"/>
      <c r="D2088" s="36"/>
      <c r="E2088" s="36"/>
      <c r="F2088" s="36"/>
      <c r="G2088" s="36"/>
      <c r="H2088" s="36"/>
      <c r="I2088" s="40"/>
      <c r="J2088" s="31"/>
      <c r="K2088" s="36"/>
      <c r="M2088" s="37"/>
      <c r="N2088" s="37"/>
      <c r="O2088" s="37"/>
      <c r="P2088" s="36"/>
      <c r="Q2088" s="36"/>
      <c r="R2088" s="31"/>
      <c r="S2088" s="31"/>
      <c r="T2088" s="38"/>
      <c r="U2088" s="39">
        <f>IFERROR(_xlfn.XLOOKUP(E2088,[1]EMPREENDIMENTO!C:C,[1]EMPREENDIMENTO!D:D),"")</f>
        <v>0</v>
      </c>
    </row>
    <row r="2089" spans="1:21" hidden="1" x14ac:dyDescent="0.35">
      <c r="A2089" s="36"/>
      <c r="B2089" s="36"/>
      <c r="C2089" s="36"/>
      <c r="D2089" s="36"/>
      <c r="E2089" s="36"/>
      <c r="F2089" s="36"/>
      <c r="G2089" s="36"/>
      <c r="H2089" s="36"/>
      <c r="I2089" s="40"/>
      <c r="J2089" s="31"/>
      <c r="K2089" s="36"/>
      <c r="M2089" s="37"/>
      <c r="N2089" s="37"/>
      <c r="O2089" s="37"/>
      <c r="P2089" s="36"/>
      <c r="Q2089" s="36"/>
      <c r="R2089" s="31"/>
      <c r="S2089" s="31"/>
      <c r="T2089" s="38"/>
      <c r="U2089" s="39">
        <f>IFERROR(_xlfn.XLOOKUP(E2089,[1]EMPREENDIMENTO!C:C,[1]EMPREENDIMENTO!D:D),"")</f>
        <v>0</v>
      </c>
    </row>
    <row r="2090" spans="1:21" hidden="1" x14ac:dyDescent="0.35">
      <c r="A2090" s="36"/>
      <c r="B2090" s="36"/>
      <c r="C2090" s="36"/>
      <c r="D2090" s="36"/>
      <c r="E2090" s="36"/>
      <c r="F2090" s="36"/>
      <c r="G2090" s="36"/>
      <c r="H2090" s="36"/>
      <c r="I2090" s="40"/>
      <c r="J2090" s="31"/>
      <c r="K2090" s="36"/>
      <c r="M2090" s="37"/>
      <c r="N2090" s="37"/>
      <c r="O2090" s="37"/>
      <c r="P2090" s="36"/>
      <c r="Q2090" s="36"/>
      <c r="R2090" s="31"/>
      <c r="S2090" s="31"/>
      <c r="T2090" s="38"/>
      <c r="U2090" s="39">
        <f>IFERROR(_xlfn.XLOOKUP(E2090,[1]EMPREENDIMENTO!C:C,[1]EMPREENDIMENTO!D:D),"")</f>
        <v>0</v>
      </c>
    </row>
    <row r="2091" spans="1:21" hidden="1" x14ac:dyDescent="0.35">
      <c r="A2091" s="36"/>
      <c r="B2091" s="36"/>
      <c r="C2091" s="36"/>
      <c r="D2091" s="36"/>
      <c r="E2091" s="36"/>
      <c r="F2091" s="36"/>
      <c r="G2091" s="36"/>
      <c r="H2091" s="36"/>
      <c r="I2091" s="40"/>
      <c r="J2091" s="31"/>
      <c r="K2091" s="36"/>
      <c r="M2091" s="37"/>
      <c r="N2091" s="37"/>
      <c r="O2091" s="37"/>
      <c r="P2091" s="36"/>
      <c r="Q2091" s="36"/>
      <c r="R2091" s="31"/>
      <c r="S2091" s="31"/>
      <c r="T2091" s="38"/>
      <c r="U2091" s="39">
        <f>IFERROR(_xlfn.XLOOKUP(E2091,[1]EMPREENDIMENTO!C:C,[1]EMPREENDIMENTO!D:D),"")</f>
        <v>0</v>
      </c>
    </row>
    <row r="2092" spans="1:21" hidden="1" x14ac:dyDescent="0.35">
      <c r="A2092" s="36"/>
      <c r="B2092" s="36"/>
      <c r="C2092" s="36"/>
      <c r="D2092" s="36"/>
      <c r="E2092" s="36"/>
      <c r="F2092" s="36"/>
      <c r="G2092" s="36"/>
      <c r="H2092" s="36"/>
      <c r="I2092" s="40"/>
      <c r="J2092" s="31"/>
      <c r="K2092" s="36"/>
      <c r="M2092" s="37"/>
      <c r="N2092" s="37"/>
      <c r="O2092" s="37"/>
      <c r="P2092" s="36"/>
      <c r="Q2092" s="36"/>
      <c r="R2092" s="31"/>
      <c r="S2092" s="31"/>
      <c r="T2092" s="38"/>
      <c r="U2092" s="39">
        <f>IFERROR(_xlfn.XLOOKUP(E2092,[1]EMPREENDIMENTO!C:C,[1]EMPREENDIMENTO!D:D),"")</f>
        <v>0</v>
      </c>
    </row>
    <row r="2093" spans="1:21" hidden="1" x14ac:dyDescent="0.35">
      <c r="A2093" s="36"/>
      <c r="B2093" s="36"/>
      <c r="C2093" s="36"/>
      <c r="D2093" s="36"/>
      <c r="E2093" s="36"/>
      <c r="F2093" s="36"/>
      <c r="G2093" s="36"/>
      <c r="H2093" s="36"/>
      <c r="I2093" s="40"/>
      <c r="J2093" s="31"/>
      <c r="K2093" s="36"/>
      <c r="M2093" s="37"/>
      <c r="N2093" s="37"/>
      <c r="O2093" s="37"/>
      <c r="P2093" s="36"/>
      <c r="Q2093" s="36"/>
      <c r="R2093" s="31"/>
      <c r="S2093" s="31"/>
      <c r="T2093" s="38"/>
      <c r="U2093" s="39">
        <f>IFERROR(_xlfn.XLOOKUP(E2093,[1]EMPREENDIMENTO!C:C,[1]EMPREENDIMENTO!D:D),"")</f>
        <v>0</v>
      </c>
    </row>
    <row r="2094" spans="1:21" hidden="1" x14ac:dyDescent="0.35">
      <c r="A2094" s="36"/>
      <c r="B2094" s="36"/>
      <c r="C2094" s="36"/>
      <c r="D2094" s="36"/>
      <c r="E2094" s="36"/>
      <c r="F2094" s="36"/>
      <c r="G2094" s="36"/>
      <c r="H2094" s="36"/>
      <c r="I2094" s="40"/>
      <c r="J2094" s="31"/>
      <c r="K2094" s="36"/>
      <c r="M2094" s="37"/>
      <c r="N2094" s="37"/>
      <c r="O2094" s="37"/>
      <c r="P2094" s="36"/>
      <c r="Q2094" s="36"/>
      <c r="R2094" s="31"/>
      <c r="S2094" s="31"/>
      <c r="T2094" s="38"/>
      <c r="U2094" s="39">
        <f>IFERROR(_xlfn.XLOOKUP(E2094,[1]EMPREENDIMENTO!C:C,[1]EMPREENDIMENTO!D:D),"")</f>
        <v>0</v>
      </c>
    </row>
    <row r="2095" spans="1:21" hidden="1" x14ac:dyDescent="0.35">
      <c r="A2095" s="36"/>
      <c r="B2095" s="36"/>
      <c r="C2095" s="36"/>
      <c r="D2095" s="36"/>
      <c r="E2095" s="36"/>
      <c r="F2095" s="36"/>
      <c r="G2095" s="36"/>
      <c r="H2095" s="36"/>
      <c r="I2095" s="40"/>
      <c r="J2095" s="31"/>
      <c r="K2095" s="36"/>
      <c r="M2095" s="37"/>
      <c r="N2095" s="37"/>
      <c r="O2095" s="37"/>
      <c r="P2095" s="36"/>
      <c r="Q2095" s="36"/>
      <c r="R2095" s="31"/>
      <c r="S2095" s="31"/>
      <c r="T2095" s="38"/>
      <c r="U2095" s="39">
        <f>IFERROR(_xlfn.XLOOKUP(E2095,[1]EMPREENDIMENTO!C:C,[1]EMPREENDIMENTO!D:D),"")</f>
        <v>0</v>
      </c>
    </row>
    <row r="2096" spans="1:21" hidden="1" x14ac:dyDescent="0.35">
      <c r="A2096" s="36"/>
      <c r="B2096" s="36"/>
      <c r="C2096" s="36"/>
      <c r="D2096" s="36"/>
      <c r="E2096" s="36"/>
      <c r="F2096" s="36"/>
      <c r="G2096" s="36"/>
      <c r="H2096" s="36"/>
      <c r="I2096" s="40"/>
      <c r="J2096" s="31"/>
      <c r="K2096" s="36"/>
      <c r="M2096" s="37"/>
      <c r="N2096" s="37"/>
      <c r="O2096" s="37"/>
      <c r="P2096" s="36"/>
      <c r="Q2096" s="36"/>
      <c r="R2096" s="31"/>
      <c r="S2096" s="31"/>
      <c r="T2096" s="38"/>
      <c r="U2096" s="39">
        <f>IFERROR(_xlfn.XLOOKUP(E2096,[1]EMPREENDIMENTO!C:C,[1]EMPREENDIMENTO!D:D),"")</f>
        <v>0</v>
      </c>
    </row>
    <row r="2097" spans="1:21" hidden="1" x14ac:dyDescent="0.35">
      <c r="A2097" s="36"/>
      <c r="B2097" s="36"/>
      <c r="C2097" s="36"/>
      <c r="D2097" s="36"/>
      <c r="E2097" s="36"/>
      <c r="F2097" s="36"/>
      <c r="G2097" s="36"/>
      <c r="H2097" s="36"/>
      <c r="I2097" s="40"/>
      <c r="J2097" s="31"/>
      <c r="K2097" s="36"/>
      <c r="M2097" s="37"/>
      <c r="N2097" s="37"/>
      <c r="O2097" s="37"/>
      <c r="P2097" s="36"/>
      <c r="Q2097" s="36"/>
      <c r="R2097" s="31"/>
      <c r="S2097" s="31"/>
      <c r="T2097" s="38"/>
      <c r="U2097" s="39">
        <f>IFERROR(_xlfn.XLOOKUP(E2097,[1]EMPREENDIMENTO!C:C,[1]EMPREENDIMENTO!D:D),"")</f>
        <v>0</v>
      </c>
    </row>
    <row r="2098" spans="1:21" hidden="1" x14ac:dyDescent="0.35">
      <c r="A2098" s="36"/>
      <c r="B2098" s="36"/>
      <c r="C2098" s="36"/>
      <c r="D2098" s="36"/>
      <c r="E2098" s="36"/>
      <c r="F2098" s="36"/>
      <c r="G2098" s="36"/>
      <c r="H2098" s="36"/>
      <c r="I2098" s="40"/>
      <c r="J2098" s="31"/>
      <c r="K2098" s="36"/>
      <c r="M2098" s="37"/>
      <c r="N2098" s="37"/>
      <c r="O2098" s="37"/>
      <c r="P2098" s="36"/>
      <c r="Q2098" s="36"/>
      <c r="R2098" s="31"/>
      <c r="S2098" s="31"/>
      <c r="T2098" s="38"/>
      <c r="U2098" s="39">
        <f>IFERROR(_xlfn.XLOOKUP(E2098,[1]EMPREENDIMENTO!C:C,[1]EMPREENDIMENTO!D:D),"")</f>
        <v>0</v>
      </c>
    </row>
    <row r="2099" spans="1:21" hidden="1" x14ac:dyDescent="0.35">
      <c r="A2099" s="36"/>
      <c r="B2099" s="36"/>
      <c r="C2099" s="36"/>
      <c r="D2099" s="36"/>
      <c r="E2099" s="36"/>
      <c r="F2099" s="36"/>
      <c r="G2099" s="36"/>
      <c r="H2099" s="36"/>
      <c r="I2099" s="40"/>
      <c r="J2099" s="31"/>
      <c r="K2099" s="36"/>
      <c r="M2099" s="37"/>
      <c r="N2099" s="37"/>
      <c r="O2099" s="37"/>
      <c r="P2099" s="36"/>
      <c r="Q2099" s="36"/>
      <c r="R2099" s="31"/>
      <c r="S2099" s="31"/>
      <c r="T2099" s="38"/>
      <c r="U2099" s="39">
        <f>IFERROR(_xlfn.XLOOKUP(E2099,[1]EMPREENDIMENTO!C:C,[1]EMPREENDIMENTO!D:D),"")</f>
        <v>0</v>
      </c>
    </row>
    <row r="2100" spans="1:21" hidden="1" x14ac:dyDescent="0.35">
      <c r="A2100" s="36"/>
      <c r="B2100" s="36"/>
      <c r="C2100" s="36"/>
      <c r="D2100" s="36"/>
      <c r="E2100" s="36"/>
      <c r="F2100" s="36"/>
      <c r="G2100" s="36"/>
      <c r="H2100" s="36"/>
      <c r="I2100" s="40"/>
      <c r="J2100" s="31"/>
      <c r="K2100" s="36"/>
      <c r="M2100" s="37"/>
      <c r="N2100" s="37"/>
      <c r="O2100" s="37"/>
      <c r="P2100" s="36"/>
      <c r="Q2100" s="36"/>
      <c r="R2100" s="31"/>
      <c r="S2100" s="31"/>
      <c r="T2100" s="38"/>
      <c r="U2100" s="39">
        <f>IFERROR(_xlfn.XLOOKUP(E2100,[1]EMPREENDIMENTO!C:C,[1]EMPREENDIMENTO!D:D),"")</f>
        <v>0</v>
      </c>
    </row>
    <row r="2101" spans="1:21" hidden="1" x14ac:dyDescent="0.35">
      <c r="A2101" s="36"/>
      <c r="B2101" s="36"/>
      <c r="C2101" s="36"/>
      <c r="D2101" s="36"/>
      <c r="E2101" s="36"/>
      <c r="F2101" s="36"/>
      <c r="G2101" s="36"/>
      <c r="H2101" s="36"/>
      <c r="I2101" s="40"/>
      <c r="J2101" s="31"/>
      <c r="K2101" s="36"/>
      <c r="M2101" s="37"/>
      <c r="N2101" s="37"/>
      <c r="O2101" s="37"/>
      <c r="P2101" s="36"/>
      <c r="Q2101" s="36"/>
      <c r="R2101" s="31"/>
      <c r="S2101" s="31"/>
      <c r="T2101" s="38"/>
      <c r="U2101" s="39">
        <f>IFERROR(_xlfn.XLOOKUP(E2101,[1]EMPREENDIMENTO!C:C,[1]EMPREENDIMENTO!D:D),"")</f>
        <v>0</v>
      </c>
    </row>
    <row r="2102" spans="1:21" hidden="1" x14ac:dyDescent="0.35">
      <c r="A2102" s="36"/>
      <c r="B2102" s="36"/>
      <c r="C2102" s="36"/>
      <c r="D2102" s="36"/>
      <c r="E2102" s="36"/>
      <c r="F2102" s="36"/>
      <c r="G2102" s="36"/>
      <c r="H2102" s="36"/>
      <c r="I2102" s="40"/>
      <c r="J2102" s="31"/>
      <c r="K2102" s="36"/>
      <c r="M2102" s="37"/>
      <c r="N2102" s="37"/>
      <c r="O2102" s="37"/>
      <c r="P2102" s="36"/>
      <c r="Q2102" s="36"/>
      <c r="R2102" s="31"/>
      <c r="S2102" s="31"/>
      <c r="T2102" s="38"/>
      <c r="U2102" s="39">
        <f>IFERROR(_xlfn.XLOOKUP(E2102,[1]EMPREENDIMENTO!C:C,[1]EMPREENDIMENTO!D:D),"")</f>
        <v>0</v>
      </c>
    </row>
    <row r="2103" spans="1:21" hidden="1" x14ac:dyDescent="0.35">
      <c r="A2103" s="36"/>
      <c r="B2103" s="36"/>
      <c r="C2103" s="36"/>
      <c r="D2103" s="36"/>
      <c r="E2103" s="36"/>
      <c r="F2103" s="36"/>
      <c r="G2103" s="36"/>
      <c r="H2103" s="36"/>
      <c r="I2103" s="40"/>
      <c r="J2103" s="31"/>
      <c r="K2103" s="36"/>
      <c r="M2103" s="37"/>
      <c r="N2103" s="37"/>
      <c r="O2103" s="37"/>
      <c r="P2103" s="36"/>
      <c r="Q2103" s="36"/>
      <c r="R2103" s="31"/>
      <c r="S2103" s="31"/>
      <c r="T2103" s="38"/>
      <c r="U2103" s="39">
        <f>IFERROR(_xlfn.XLOOKUP(E2103,[1]EMPREENDIMENTO!C:C,[1]EMPREENDIMENTO!D:D),"")</f>
        <v>0</v>
      </c>
    </row>
    <row r="2104" spans="1:21" hidden="1" x14ac:dyDescent="0.35">
      <c r="A2104" s="36"/>
      <c r="B2104" s="36"/>
      <c r="C2104" s="36"/>
      <c r="D2104" s="36"/>
      <c r="E2104" s="36"/>
      <c r="F2104" s="36"/>
      <c r="G2104" s="36"/>
      <c r="H2104" s="36"/>
      <c r="I2104" s="40"/>
      <c r="J2104" s="31"/>
      <c r="K2104" s="36"/>
      <c r="M2104" s="37"/>
      <c r="N2104" s="37"/>
      <c r="O2104" s="37"/>
      <c r="P2104" s="36"/>
      <c r="Q2104" s="36"/>
      <c r="R2104" s="31"/>
      <c r="S2104" s="31"/>
      <c r="T2104" s="38"/>
      <c r="U2104" s="39">
        <f>IFERROR(_xlfn.XLOOKUP(E2104,[1]EMPREENDIMENTO!C:C,[1]EMPREENDIMENTO!D:D),"")</f>
        <v>0</v>
      </c>
    </row>
    <row r="2105" spans="1:21" hidden="1" x14ac:dyDescent="0.35">
      <c r="A2105" s="36"/>
      <c r="B2105" s="36"/>
      <c r="C2105" s="36"/>
      <c r="D2105" s="36"/>
      <c r="E2105" s="36"/>
      <c r="F2105" s="36"/>
      <c r="G2105" s="36"/>
      <c r="H2105" s="36"/>
      <c r="I2105" s="40"/>
      <c r="J2105" s="31"/>
      <c r="K2105" s="36"/>
      <c r="M2105" s="37"/>
      <c r="N2105" s="37"/>
      <c r="O2105" s="37"/>
      <c r="P2105" s="36"/>
      <c r="Q2105" s="36"/>
      <c r="R2105" s="31"/>
      <c r="S2105" s="31"/>
      <c r="T2105" s="38"/>
      <c r="U2105" s="39">
        <f>IFERROR(_xlfn.XLOOKUP(E2105,[1]EMPREENDIMENTO!C:C,[1]EMPREENDIMENTO!D:D),"")</f>
        <v>0</v>
      </c>
    </row>
    <row r="2106" spans="1:21" hidden="1" x14ac:dyDescent="0.35">
      <c r="A2106" s="36"/>
      <c r="B2106" s="36"/>
      <c r="C2106" s="36"/>
      <c r="D2106" s="36"/>
      <c r="E2106" s="36"/>
      <c r="F2106" s="36"/>
      <c r="G2106" s="36"/>
      <c r="H2106" s="36"/>
      <c r="I2106" s="40"/>
      <c r="J2106" s="31"/>
      <c r="K2106" s="36"/>
      <c r="M2106" s="37"/>
      <c r="N2106" s="37"/>
      <c r="O2106" s="37"/>
      <c r="P2106" s="36"/>
      <c r="Q2106" s="36"/>
      <c r="R2106" s="31"/>
      <c r="S2106" s="31"/>
      <c r="T2106" s="38"/>
      <c r="U2106" s="39">
        <f>IFERROR(_xlfn.XLOOKUP(E2106,[1]EMPREENDIMENTO!C:C,[1]EMPREENDIMENTO!D:D),"")</f>
        <v>0</v>
      </c>
    </row>
    <row r="2107" spans="1:21" hidden="1" x14ac:dyDescent="0.35">
      <c r="A2107" s="36"/>
      <c r="B2107" s="36"/>
      <c r="C2107" s="36"/>
      <c r="D2107" s="36"/>
      <c r="E2107" s="36"/>
      <c r="F2107" s="36"/>
      <c r="G2107" s="36"/>
      <c r="H2107" s="36"/>
      <c r="I2107" s="40"/>
      <c r="J2107" s="31"/>
      <c r="K2107" s="36"/>
      <c r="M2107" s="37"/>
      <c r="N2107" s="37"/>
      <c r="O2107" s="37"/>
      <c r="P2107" s="36"/>
      <c r="Q2107" s="36"/>
      <c r="R2107" s="31"/>
      <c r="S2107" s="31"/>
      <c r="T2107" s="38"/>
      <c r="U2107" s="39">
        <f>IFERROR(_xlfn.XLOOKUP(E2107,[1]EMPREENDIMENTO!C:C,[1]EMPREENDIMENTO!D:D),"")</f>
        <v>0</v>
      </c>
    </row>
    <row r="2108" spans="1:21" hidden="1" x14ac:dyDescent="0.35">
      <c r="A2108" s="36"/>
      <c r="B2108" s="36"/>
      <c r="C2108" s="36"/>
      <c r="D2108" s="36"/>
      <c r="E2108" s="36"/>
      <c r="F2108" s="36"/>
      <c r="G2108" s="36"/>
      <c r="H2108" s="36"/>
      <c r="I2108" s="40"/>
      <c r="J2108" s="31"/>
      <c r="K2108" s="36"/>
      <c r="M2108" s="37"/>
      <c r="N2108" s="37"/>
      <c r="O2108" s="37"/>
      <c r="P2108" s="36"/>
      <c r="Q2108" s="36"/>
      <c r="R2108" s="31"/>
      <c r="S2108" s="31"/>
      <c r="T2108" s="38"/>
      <c r="U2108" s="39">
        <f>IFERROR(_xlfn.XLOOKUP(E2108,[1]EMPREENDIMENTO!C:C,[1]EMPREENDIMENTO!D:D),"")</f>
        <v>0</v>
      </c>
    </row>
    <row r="2109" spans="1:21" hidden="1" x14ac:dyDescent="0.35">
      <c r="A2109" s="36"/>
      <c r="B2109" s="36"/>
      <c r="C2109" s="36"/>
      <c r="D2109" s="36"/>
      <c r="E2109" s="36"/>
      <c r="F2109" s="36"/>
      <c r="G2109" s="36"/>
      <c r="H2109" s="36"/>
      <c r="I2109" s="40"/>
      <c r="J2109" s="31"/>
      <c r="K2109" s="36"/>
      <c r="M2109" s="37"/>
      <c r="N2109" s="37"/>
      <c r="O2109" s="37"/>
      <c r="P2109" s="36"/>
      <c r="Q2109" s="36"/>
      <c r="R2109" s="31"/>
      <c r="S2109" s="31"/>
      <c r="T2109" s="38"/>
      <c r="U2109" s="39">
        <f>IFERROR(_xlfn.XLOOKUP(E2109,[1]EMPREENDIMENTO!C:C,[1]EMPREENDIMENTO!D:D),"")</f>
        <v>0</v>
      </c>
    </row>
    <row r="2110" spans="1:21" hidden="1" x14ac:dyDescent="0.35">
      <c r="A2110" s="36"/>
      <c r="B2110" s="36"/>
      <c r="C2110" s="36"/>
      <c r="D2110" s="36"/>
      <c r="E2110" s="36"/>
      <c r="F2110" s="36"/>
      <c r="G2110" s="36"/>
      <c r="H2110" s="36"/>
      <c r="I2110" s="40"/>
      <c r="J2110" s="31"/>
      <c r="K2110" s="36"/>
      <c r="M2110" s="37"/>
      <c r="N2110" s="37"/>
      <c r="O2110" s="37"/>
      <c r="P2110" s="36"/>
      <c r="Q2110" s="36"/>
      <c r="R2110" s="31"/>
      <c r="S2110" s="31"/>
      <c r="T2110" s="38"/>
      <c r="U2110" s="39">
        <f>IFERROR(_xlfn.XLOOKUP(E2110,[1]EMPREENDIMENTO!C:C,[1]EMPREENDIMENTO!D:D),"")</f>
        <v>0</v>
      </c>
    </row>
    <row r="2111" spans="1:21" hidden="1" x14ac:dyDescent="0.35">
      <c r="A2111" s="36"/>
      <c r="B2111" s="36"/>
      <c r="C2111" s="36"/>
      <c r="D2111" s="36"/>
      <c r="E2111" s="36"/>
      <c r="F2111" s="36"/>
      <c r="G2111" s="36"/>
      <c r="H2111" s="36"/>
      <c r="I2111" s="40"/>
      <c r="J2111" s="31"/>
      <c r="K2111" s="36"/>
      <c r="M2111" s="37"/>
      <c r="N2111" s="37"/>
      <c r="O2111" s="37"/>
      <c r="P2111" s="36"/>
      <c r="Q2111" s="36"/>
      <c r="R2111" s="31"/>
      <c r="S2111" s="31"/>
      <c r="T2111" s="38"/>
      <c r="U2111" s="39">
        <f>IFERROR(_xlfn.XLOOKUP(E2111,[1]EMPREENDIMENTO!C:C,[1]EMPREENDIMENTO!D:D),"")</f>
        <v>0</v>
      </c>
    </row>
    <row r="2112" spans="1:21" hidden="1" x14ac:dyDescent="0.35">
      <c r="A2112" s="36"/>
      <c r="B2112" s="36"/>
      <c r="C2112" s="36"/>
      <c r="D2112" s="36"/>
      <c r="E2112" s="36"/>
      <c r="F2112" s="36"/>
      <c r="G2112" s="36"/>
      <c r="H2112" s="36"/>
      <c r="I2112" s="40"/>
      <c r="J2112" s="31"/>
      <c r="K2112" s="36"/>
      <c r="M2112" s="37"/>
      <c r="N2112" s="37"/>
      <c r="O2112" s="37"/>
      <c r="P2112" s="36"/>
      <c r="Q2112" s="36"/>
      <c r="R2112" s="31"/>
      <c r="S2112" s="31"/>
      <c r="T2112" s="38"/>
      <c r="U2112" s="39">
        <f>IFERROR(_xlfn.XLOOKUP(E2112,[1]EMPREENDIMENTO!C:C,[1]EMPREENDIMENTO!D:D),"")</f>
        <v>0</v>
      </c>
    </row>
    <row r="2113" spans="1:21" hidden="1" x14ac:dyDescent="0.35">
      <c r="A2113" s="36"/>
      <c r="B2113" s="36"/>
      <c r="C2113" s="36"/>
      <c r="D2113" s="36"/>
      <c r="E2113" s="36"/>
      <c r="F2113" s="36"/>
      <c r="G2113" s="36"/>
      <c r="H2113" s="36"/>
      <c r="I2113" s="40"/>
      <c r="J2113" s="31"/>
      <c r="K2113" s="36"/>
      <c r="M2113" s="37"/>
      <c r="N2113" s="37"/>
      <c r="O2113" s="37"/>
      <c r="P2113" s="36"/>
      <c r="Q2113" s="36"/>
      <c r="R2113" s="31"/>
      <c r="S2113" s="31"/>
      <c r="T2113" s="38"/>
      <c r="U2113" s="39">
        <f>IFERROR(_xlfn.XLOOKUP(E2113,[1]EMPREENDIMENTO!C:C,[1]EMPREENDIMENTO!D:D),"")</f>
        <v>0</v>
      </c>
    </row>
    <row r="2114" spans="1:21" hidden="1" x14ac:dyDescent="0.35">
      <c r="A2114" s="36"/>
      <c r="B2114" s="36"/>
      <c r="C2114" s="36"/>
      <c r="D2114" s="36"/>
      <c r="E2114" s="36"/>
      <c r="F2114" s="36"/>
      <c r="G2114" s="36"/>
      <c r="H2114" s="36"/>
      <c r="I2114" s="40"/>
      <c r="J2114" s="31"/>
      <c r="K2114" s="36"/>
      <c r="M2114" s="37"/>
      <c r="N2114" s="37"/>
      <c r="O2114" s="37"/>
      <c r="P2114" s="36"/>
      <c r="Q2114" s="36"/>
      <c r="R2114" s="31"/>
      <c r="S2114" s="31"/>
      <c r="T2114" s="38"/>
      <c r="U2114" s="39">
        <f>IFERROR(_xlfn.XLOOKUP(E2114,[1]EMPREENDIMENTO!C:C,[1]EMPREENDIMENTO!D:D),"")</f>
        <v>0</v>
      </c>
    </row>
    <row r="2115" spans="1:21" hidden="1" x14ac:dyDescent="0.35">
      <c r="A2115" s="36"/>
      <c r="B2115" s="36"/>
      <c r="C2115" s="36"/>
      <c r="D2115" s="36"/>
      <c r="E2115" s="36"/>
      <c r="F2115" s="36"/>
      <c r="G2115" s="36"/>
      <c r="H2115" s="36"/>
      <c r="I2115" s="40"/>
      <c r="J2115" s="31"/>
      <c r="K2115" s="36"/>
      <c r="M2115" s="37"/>
      <c r="N2115" s="37"/>
      <c r="O2115" s="37"/>
      <c r="P2115" s="36"/>
      <c r="Q2115" s="36"/>
      <c r="R2115" s="31"/>
      <c r="S2115" s="31"/>
      <c r="T2115" s="38"/>
      <c r="U2115" s="39">
        <f>IFERROR(_xlfn.XLOOKUP(E2115,[1]EMPREENDIMENTO!C:C,[1]EMPREENDIMENTO!D:D),"")</f>
        <v>0</v>
      </c>
    </row>
    <row r="2116" spans="1:21" hidden="1" x14ac:dyDescent="0.35">
      <c r="A2116" s="36"/>
      <c r="B2116" s="36"/>
      <c r="C2116" s="36"/>
      <c r="D2116" s="36"/>
      <c r="E2116" s="36"/>
      <c r="F2116" s="36"/>
      <c r="G2116" s="36"/>
      <c r="H2116" s="36"/>
      <c r="I2116" s="40"/>
      <c r="J2116" s="31"/>
      <c r="K2116" s="36"/>
      <c r="M2116" s="37"/>
      <c r="N2116" s="37"/>
      <c r="O2116" s="37"/>
      <c r="P2116" s="36"/>
      <c r="Q2116" s="36"/>
      <c r="R2116" s="31"/>
      <c r="S2116" s="31"/>
      <c r="T2116" s="38"/>
      <c r="U2116" s="39">
        <f>IFERROR(_xlfn.XLOOKUP(E2116,[1]EMPREENDIMENTO!C:C,[1]EMPREENDIMENTO!D:D),"")</f>
        <v>0</v>
      </c>
    </row>
    <row r="2117" spans="1:21" hidden="1" x14ac:dyDescent="0.35">
      <c r="A2117" s="36"/>
      <c r="B2117" s="36"/>
      <c r="C2117" s="36"/>
      <c r="D2117" s="36"/>
      <c r="E2117" s="36"/>
      <c r="F2117" s="36"/>
      <c r="G2117" s="36"/>
      <c r="H2117" s="36"/>
      <c r="I2117" s="40"/>
      <c r="J2117" s="31"/>
      <c r="K2117" s="36"/>
      <c r="M2117" s="37"/>
      <c r="N2117" s="37"/>
      <c r="O2117" s="37"/>
      <c r="P2117" s="36"/>
      <c r="Q2117" s="36"/>
      <c r="R2117" s="31"/>
      <c r="S2117" s="31"/>
      <c r="T2117" s="38"/>
      <c r="U2117" s="39">
        <f>IFERROR(_xlfn.XLOOKUP(E2117,[1]EMPREENDIMENTO!C:C,[1]EMPREENDIMENTO!D:D),"")</f>
        <v>0</v>
      </c>
    </row>
    <row r="2118" spans="1:21" hidden="1" x14ac:dyDescent="0.35">
      <c r="A2118" s="36"/>
      <c r="B2118" s="36"/>
      <c r="C2118" s="36"/>
      <c r="D2118" s="36"/>
      <c r="E2118" s="36"/>
      <c r="F2118" s="36"/>
      <c r="G2118" s="36"/>
      <c r="H2118" s="36"/>
      <c r="I2118" s="40"/>
      <c r="J2118" s="31"/>
      <c r="K2118" s="36"/>
      <c r="M2118" s="37"/>
      <c r="N2118" s="37"/>
      <c r="O2118" s="37"/>
      <c r="P2118" s="36"/>
      <c r="Q2118" s="36"/>
      <c r="R2118" s="31"/>
      <c r="S2118" s="31"/>
      <c r="T2118" s="38"/>
      <c r="U2118" s="39">
        <f>IFERROR(_xlfn.XLOOKUP(E2118,[1]EMPREENDIMENTO!C:C,[1]EMPREENDIMENTO!D:D),"")</f>
        <v>0</v>
      </c>
    </row>
    <row r="2119" spans="1:21" hidden="1" x14ac:dyDescent="0.35">
      <c r="A2119" s="36"/>
      <c r="B2119" s="36"/>
      <c r="C2119" s="36"/>
      <c r="D2119" s="36"/>
      <c r="E2119" s="36"/>
      <c r="F2119" s="36"/>
      <c r="G2119" s="36"/>
      <c r="H2119" s="36"/>
      <c r="I2119" s="40"/>
      <c r="J2119" s="31"/>
      <c r="K2119" s="36"/>
      <c r="M2119" s="37"/>
      <c r="N2119" s="37"/>
      <c r="O2119" s="37"/>
      <c r="P2119" s="36"/>
      <c r="Q2119" s="36"/>
      <c r="R2119" s="31"/>
      <c r="S2119" s="31"/>
      <c r="T2119" s="38"/>
      <c r="U2119" s="39">
        <f>IFERROR(_xlfn.XLOOKUP(E2119,[1]EMPREENDIMENTO!C:C,[1]EMPREENDIMENTO!D:D),"")</f>
        <v>0</v>
      </c>
    </row>
    <row r="2120" spans="1:21" hidden="1" x14ac:dyDescent="0.35">
      <c r="A2120" s="36"/>
      <c r="B2120" s="36"/>
      <c r="C2120" s="36"/>
      <c r="D2120" s="36"/>
      <c r="E2120" s="36"/>
      <c r="F2120" s="36"/>
      <c r="G2120" s="36"/>
      <c r="H2120" s="36"/>
      <c r="I2120" s="40"/>
      <c r="J2120" s="31"/>
      <c r="K2120" s="36"/>
      <c r="M2120" s="37"/>
      <c r="N2120" s="37"/>
      <c r="O2120" s="37"/>
      <c r="P2120" s="36"/>
      <c r="Q2120" s="36"/>
      <c r="R2120" s="31"/>
      <c r="S2120" s="31"/>
      <c r="T2120" s="38"/>
      <c r="U2120" s="39">
        <f>IFERROR(_xlfn.XLOOKUP(E2120,[1]EMPREENDIMENTO!C:C,[1]EMPREENDIMENTO!D:D),"")</f>
        <v>0</v>
      </c>
    </row>
    <row r="2121" spans="1:21" hidden="1" x14ac:dyDescent="0.35">
      <c r="A2121" s="36"/>
      <c r="B2121" s="36"/>
      <c r="C2121" s="36"/>
      <c r="D2121" s="36"/>
      <c r="E2121" s="36"/>
      <c r="F2121" s="36"/>
      <c r="G2121" s="36"/>
      <c r="H2121" s="36"/>
      <c r="I2121" s="40"/>
      <c r="J2121" s="31"/>
      <c r="K2121" s="36"/>
      <c r="M2121" s="37"/>
      <c r="N2121" s="37"/>
      <c r="O2121" s="37"/>
      <c r="P2121" s="36"/>
      <c r="Q2121" s="36"/>
      <c r="R2121" s="31"/>
      <c r="S2121" s="31"/>
      <c r="T2121" s="38"/>
      <c r="U2121" s="39">
        <f>IFERROR(_xlfn.XLOOKUP(E2121,[1]EMPREENDIMENTO!C:C,[1]EMPREENDIMENTO!D:D),"")</f>
        <v>0</v>
      </c>
    </row>
    <row r="2122" spans="1:21" hidden="1" x14ac:dyDescent="0.35">
      <c r="A2122" s="36"/>
      <c r="B2122" s="36"/>
      <c r="C2122" s="36"/>
      <c r="D2122" s="36"/>
      <c r="E2122" s="36"/>
      <c r="F2122" s="36"/>
      <c r="G2122" s="36"/>
      <c r="H2122" s="36"/>
      <c r="I2122" s="40"/>
      <c r="J2122" s="31"/>
      <c r="K2122" s="36"/>
      <c r="M2122" s="37"/>
      <c r="N2122" s="37"/>
      <c r="O2122" s="37"/>
      <c r="P2122" s="36"/>
      <c r="Q2122" s="36"/>
      <c r="R2122" s="31"/>
      <c r="S2122" s="31"/>
      <c r="T2122" s="38"/>
      <c r="U2122" s="39">
        <f>IFERROR(_xlfn.XLOOKUP(E2122,[1]EMPREENDIMENTO!C:C,[1]EMPREENDIMENTO!D:D),"")</f>
        <v>0</v>
      </c>
    </row>
    <row r="2123" spans="1:21" hidden="1" x14ac:dyDescent="0.35">
      <c r="A2123" s="36"/>
      <c r="B2123" s="36"/>
      <c r="C2123" s="36"/>
      <c r="D2123" s="36"/>
      <c r="E2123" s="36"/>
      <c r="F2123" s="36"/>
      <c r="G2123" s="36"/>
      <c r="H2123" s="36"/>
      <c r="I2123" s="40"/>
      <c r="J2123" s="31"/>
      <c r="K2123" s="36"/>
      <c r="M2123" s="37"/>
      <c r="N2123" s="37"/>
      <c r="O2123" s="37"/>
      <c r="P2123" s="36"/>
      <c r="Q2123" s="36"/>
      <c r="R2123" s="31"/>
      <c r="S2123" s="31"/>
      <c r="T2123" s="38"/>
      <c r="U2123" s="39">
        <f>IFERROR(_xlfn.XLOOKUP(E2123,[1]EMPREENDIMENTO!C:C,[1]EMPREENDIMENTO!D:D),"")</f>
        <v>0</v>
      </c>
    </row>
    <row r="2124" spans="1:21" hidden="1" x14ac:dyDescent="0.35">
      <c r="A2124" s="36"/>
      <c r="B2124" s="36"/>
      <c r="C2124" s="36"/>
      <c r="D2124" s="36"/>
      <c r="E2124" s="36"/>
      <c r="F2124" s="36"/>
      <c r="G2124" s="36"/>
      <c r="H2124" s="36"/>
      <c r="I2124" s="40"/>
      <c r="J2124" s="31"/>
      <c r="K2124" s="36"/>
      <c r="M2124" s="37"/>
      <c r="N2124" s="37"/>
      <c r="O2124" s="37"/>
      <c r="P2124" s="36"/>
      <c r="Q2124" s="36"/>
      <c r="R2124" s="31"/>
      <c r="S2124" s="31"/>
      <c r="T2124" s="38"/>
      <c r="U2124" s="39">
        <f>IFERROR(_xlfn.XLOOKUP(E2124,[1]EMPREENDIMENTO!C:C,[1]EMPREENDIMENTO!D:D),"")</f>
        <v>0</v>
      </c>
    </row>
    <row r="2125" spans="1:21" hidden="1" x14ac:dyDescent="0.35">
      <c r="A2125" s="36"/>
      <c r="B2125" s="36"/>
      <c r="C2125" s="36"/>
      <c r="D2125" s="36"/>
      <c r="E2125" s="36"/>
      <c r="F2125" s="36"/>
      <c r="G2125" s="36"/>
      <c r="H2125" s="36"/>
      <c r="I2125" s="40"/>
      <c r="J2125" s="31"/>
      <c r="K2125" s="36"/>
      <c r="M2125" s="37"/>
      <c r="N2125" s="37"/>
      <c r="O2125" s="37"/>
      <c r="P2125" s="36"/>
      <c r="Q2125" s="36"/>
      <c r="R2125" s="31"/>
      <c r="S2125" s="31"/>
      <c r="T2125" s="38"/>
      <c r="U2125" s="39">
        <f>IFERROR(_xlfn.XLOOKUP(E2125,[1]EMPREENDIMENTO!C:C,[1]EMPREENDIMENTO!D:D),"")</f>
        <v>0</v>
      </c>
    </row>
    <row r="2126" spans="1:21" hidden="1" x14ac:dyDescent="0.35">
      <c r="A2126" s="36"/>
      <c r="B2126" s="36"/>
      <c r="C2126" s="36"/>
      <c r="D2126" s="36"/>
      <c r="E2126" s="36"/>
      <c r="F2126" s="36"/>
      <c r="G2126" s="36"/>
      <c r="H2126" s="36"/>
      <c r="I2126" s="40"/>
      <c r="J2126" s="31"/>
      <c r="K2126" s="36"/>
      <c r="M2126" s="37"/>
      <c r="N2126" s="37"/>
      <c r="O2126" s="37"/>
      <c r="P2126" s="36"/>
      <c r="Q2126" s="36"/>
      <c r="R2126" s="31"/>
      <c r="S2126" s="31"/>
      <c r="T2126" s="38"/>
      <c r="U2126" s="39">
        <f>IFERROR(_xlfn.XLOOKUP(E2126,[1]EMPREENDIMENTO!C:C,[1]EMPREENDIMENTO!D:D),"")</f>
        <v>0</v>
      </c>
    </row>
    <row r="2127" spans="1:21" hidden="1" x14ac:dyDescent="0.35">
      <c r="A2127" s="36"/>
      <c r="B2127" s="36"/>
      <c r="C2127" s="36"/>
      <c r="D2127" s="36"/>
      <c r="E2127" s="36"/>
      <c r="F2127" s="36"/>
      <c r="G2127" s="36"/>
      <c r="H2127" s="36"/>
      <c r="I2127" s="40"/>
      <c r="J2127" s="31"/>
      <c r="K2127" s="36"/>
      <c r="M2127" s="37"/>
      <c r="N2127" s="37"/>
      <c r="O2127" s="37"/>
      <c r="P2127" s="36"/>
      <c r="Q2127" s="36"/>
      <c r="R2127" s="31"/>
      <c r="S2127" s="31"/>
      <c r="T2127" s="38"/>
      <c r="U2127" s="39">
        <f>IFERROR(_xlfn.XLOOKUP(E2127,[1]EMPREENDIMENTO!C:C,[1]EMPREENDIMENTO!D:D),"")</f>
        <v>0</v>
      </c>
    </row>
    <row r="2128" spans="1:21" hidden="1" x14ac:dyDescent="0.35">
      <c r="A2128" s="36"/>
      <c r="B2128" s="36"/>
      <c r="C2128" s="36"/>
      <c r="D2128" s="36"/>
      <c r="E2128" s="36"/>
      <c r="F2128" s="36"/>
      <c r="G2128" s="36"/>
      <c r="H2128" s="36"/>
      <c r="I2128" s="40"/>
      <c r="J2128" s="31"/>
      <c r="K2128" s="36"/>
      <c r="M2128" s="37"/>
      <c r="N2128" s="37"/>
      <c r="O2128" s="37"/>
      <c r="P2128" s="36"/>
      <c r="Q2128" s="36"/>
      <c r="R2128" s="31"/>
      <c r="S2128" s="31"/>
      <c r="T2128" s="38"/>
      <c r="U2128" s="39">
        <f>IFERROR(_xlfn.XLOOKUP(E2128,[1]EMPREENDIMENTO!C:C,[1]EMPREENDIMENTO!D:D),"")</f>
        <v>0</v>
      </c>
    </row>
    <row r="2129" spans="1:21" hidden="1" x14ac:dyDescent="0.35">
      <c r="A2129" s="36"/>
      <c r="B2129" s="36"/>
      <c r="C2129" s="36"/>
      <c r="D2129" s="36"/>
      <c r="E2129" s="36"/>
      <c r="F2129" s="36"/>
      <c r="G2129" s="36"/>
      <c r="H2129" s="36"/>
      <c r="I2129" s="40"/>
      <c r="J2129" s="31"/>
      <c r="K2129" s="36"/>
      <c r="M2129" s="37"/>
      <c r="N2129" s="37"/>
      <c r="O2129" s="37"/>
      <c r="P2129" s="36"/>
      <c r="Q2129" s="36"/>
      <c r="R2129" s="31"/>
      <c r="S2129" s="31"/>
      <c r="T2129" s="38"/>
      <c r="U2129" s="39">
        <f>IFERROR(_xlfn.XLOOKUP(E2129,[1]EMPREENDIMENTO!C:C,[1]EMPREENDIMENTO!D:D),"")</f>
        <v>0</v>
      </c>
    </row>
    <row r="2130" spans="1:21" hidden="1" x14ac:dyDescent="0.35">
      <c r="A2130" s="36"/>
      <c r="B2130" s="36"/>
      <c r="C2130" s="36"/>
      <c r="D2130" s="36"/>
      <c r="E2130" s="36"/>
      <c r="F2130" s="36"/>
      <c r="G2130" s="36"/>
      <c r="H2130" s="36"/>
      <c r="I2130" s="40"/>
      <c r="J2130" s="31"/>
      <c r="K2130" s="36"/>
      <c r="M2130" s="37"/>
      <c r="N2130" s="37"/>
      <c r="O2130" s="37"/>
      <c r="P2130" s="36"/>
      <c r="Q2130" s="36"/>
      <c r="R2130" s="31"/>
      <c r="S2130" s="31"/>
      <c r="T2130" s="38"/>
      <c r="U2130" s="39">
        <f>IFERROR(_xlfn.XLOOKUP(E2130,[1]EMPREENDIMENTO!C:C,[1]EMPREENDIMENTO!D:D),"")</f>
        <v>0</v>
      </c>
    </row>
    <row r="2131" spans="1:21" hidden="1" x14ac:dyDescent="0.35">
      <c r="A2131" s="36"/>
      <c r="B2131" s="36"/>
      <c r="C2131" s="36"/>
      <c r="D2131" s="36"/>
      <c r="E2131" s="36"/>
      <c r="F2131" s="36"/>
      <c r="G2131" s="36"/>
      <c r="H2131" s="36"/>
      <c r="I2131" s="40"/>
      <c r="J2131" s="31"/>
      <c r="K2131" s="36"/>
      <c r="M2131" s="37"/>
      <c r="N2131" s="37"/>
      <c r="O2131" s="37"/>
      <c r="P2131" s="36"/>
      <c r="Q2131" s="36"/>
      <c r="R2131" s="31"/>
      <c r="S2131" s="31"/>
      <c r="T2131" s="38"/>
      <c r="U2131" s="39">
        <f>IFERROR(_xlfn.XLOOKUP(E2131,[1]EMPREENDIMENTO!C:C,[1]EMPREENDIMENTO!D:D),"")</f>
        <v>0</v>
      </c>
    </row>
    <row r="2132" spans="1:21" hidden="1" x14ac:dyDescent="0.35">
      <c r="A2132" s="36"/>
      <c r="B2132" s="36"/>
      <c r="C2132" s="36"/>
      <c r="D2132" s="36"/>
      <c r="E2132" s="36"/>
      <c r="F2132" s="36"/>
      <c r="G2132" s="36"/>
      <c r="H2132" s="36"/>
      <c r="I2132" s="40"/>
      <c r="J2132" s="31"/>
      <c r="K2132" s="36"/>
      <c r="M2132" s="37"/>
      <c r="N2132" s="37"/>
      <c r="O2132" s="37"/>
      <c r="P2132" s="36"/>
      <c r="Q2132" s="36"/>
      <c r="R2132" s="31"/>
      <c r="S2132" s="31"/>
      <c r="T2132" s="38"/>
      <c r="U2132" s="39">
        <f>IFERROR(_xlfn.XLOOKUP(E2132,[1]EMPREENDIMENTO!C:C,[1]EMPREENDIMENTO!D:D),"")</f>
        <v>0</v>
      </c>
    </row>
    <row r="2133" spans="1:21" hidden="1" x14ac:dyDescent="0.35">
      <c r="A2133" s="36"/>
      <c r="B2133" s="36"/>
      <c r="C2133" s="36"/>
      <c r="D2133" s="36"/>
      <c r="E2133" s="36"/>
      <c r="F2133" s="36"/>
      <c r="G2133" s="36"/>
      <c r="H2133" s="36"/>
      <c r="I2133" s="40"/>
      <c r="J2133" s="31"/>
      <c r="K2133" s="36"/>
      <c r="M2133" s="37"/>
      <c r="N2133" s="37"/>
      <c r="O2133" s="37"/>
      <c r="P2133" s="36"/>
      <c r="Q2133" s="36"/>
      <c r="R2133" s="31"/>
      <c r="S2133" s="31"/>
      <c r="T2133" s="38"/>
      <c r="U2133" s="39">
        <f>IFERROR(_xlfn.XLOOKUP(E2133,[1]EMPREENDIMENTO!C:C,[1]EMPREENDIMENTO!D:D),"")</f>
        <v>0</v>
      </c>
    </row>
    <row r="2134" spans="1:21" hidden="1" x14ac:dyDescent="0.35">
      <c r="A2134" s="36"/>
      <c r="B2134" s="36"/>
      <c r="C2134" s="36"/>
      <c r="D2134" s="36"/>
      <c r="E2134" s="36"/>
      <c r="F2134" s="36"/>
      <c r="G2134" s="36"/>
      <c r="H2134" s="36"/>
      <c r="I2134" s="40"/>
      <c r="J2134" s="31"/>
      <c r="K2134" s="36"/>
      <c r="M2134" s="37"/>
      <c r="N2134" s="37"/>
      <c r="O2134" s="37"/>
      <c r="P2134" s="36"/>
      <c r="Q2134" s="36"/>
      <c r="R2134" s="31"/>
      <c r="S2134" s="31"/>
      <c r="T2134" s="38"/>
      <c r="U2134" s="39">
        <f>IFERROR(_xlfn.XLOOKUP(E2134,[1]EMPREENDIMENTO!C:C,[1]EMPREENDIMENTO!D:D),"")</f>
        <v>0</v>
      </c>
    </row>
    <row r="2135" spans="1:21" hidden="1" x14ac:dyDescent="0.35">
      <c r="A2135" s="36"/>
      <c r="B2135" s="36"/>
      <c r="C2135" s="36"/>
      <c r="D2135" s="36"/>
      <c r="E2135" s="36"/>
      <c r="F2135" s="36"/>
      <c r="G2135" s="36"/>
      <c r="H2135" s="36"/>
      <c r="I2135" s="40"/>
      <c r="J2135" s="31"/>
      <c r="K2135" s="36"/>
      <c r="M2135" s="37"/>
      <c r="N2135" s="37"/>
      <c r="O2135" s="37"/>
      <c r="P2135" s="36"/>
      <c r="Q2135" s="36"/>
      <c r="R2135" s="31"/>
      <c r="S2135" s="31"/>
      <c r="T2135" s="38"/>
      <c r="U2135" s="39">
        <f>IFERROR(_xlfn.XLOOKUP(E2135,[1]EMPREENDIMENTO!C:C,[1]EMPREENDIMENTO!D:D),"")</f>
        <v>0</v>
      </c>
    </row>
    <row r="2136" spans="1:21" hidden="1" x14ac:dyDescent="0.35">
      <c r="A2136" s="36"/>
      <c r="B2136" s="36"/>
      <c r="C2136" s="36"/>
      <c r="D2136" s="36"/>
      <c r="E2136" s="36"/>
      <c r="F2136" s="36"/>
      <c r="G2136" s="36"/>
      <c r="H2136" s="36"/>
      <c r="I2136" s="40"/>
      <c r="J2136" s="31"/>
      <c r="K2136" s="36"/>
      <c r="M2136" s="37"/>
      <c r="N2136" s="37"/>
      <c r="O2136" s="37"/>
      <c r="P2136" s="36"/>
      <c r="Q2136" s="36"/>
      <c r="R2136" s="31"/>
      <c r="S2136" s="31"/>
      <c r="T2136" s="38"/>
      <c r="U2136" s="39">
        <f>IFERROR(_xlfn.XLOOKUP(E2136,[1]EMPREENDIMENTO!C:C,[1]EMPREENDIMENTO!D:D),"")</f>
        <v>0</v>
      </c>
    </row>
    <row r="2137" spans="1:21" hidden="1" x14ac:dyDescent="0.35">
      <c r="A2137" s="36"/>
      <c r="B2137" s="36"/>
      <c r="C2137" s="36"/>
      <c r="D2137" s="36"/>
      <c r="E2137" s="36"/>
      <c r="F2137" s="36"/>
      <c r="G2137" s="36"/>
      <c r="H2137" s="36"/>
      <c r="I2137" s="40"/>
      <c r="J2137" s="31"/>
      <c r="K2137" s="36"/>
      <c r="M2137" s="37"/>
      <c r="N2137" s="37"/>
      <c r="O2137" s="37"/>
      <c r="P2137" s="36"/>
      <c r="Q2137" s="36"/>
      <c r="R2137" s="31"/>
      <c r="S2137" s="31"/>
      <c r="T2137" s="38"/>
      <c r="U2137" s="39">
        <f>IFERROR(_xlfn.XLOOKUP(E2137,[1]EMPREENDIMENTO!C:C,[1]EMPREENDIMENTO!D:D),"")</f>
        <v>0</v>
      </c>
    </row>
    <row r="2138" spans="1:21" hidden="1" x14ac:dyDescent="0.35">
      <c r="A2138" s="36"/>
      <c r="B2138" s="36"/>
      <c r="C2138" s="36"/>
      <c r="D2138" s="36"/>
      <c r="E2138" s="36"/>
      <c r="F2138" s="36"/>
      <c r="G2138" s="36"/>
      <c r="H2138" s="36"/>
      <c r="I2138" s="40"/>
      <c r="J2138" s="31"/>
      <c r="K2138" s="36"/>
      <c r="M2138" s="37"/>
      <c r="N2138" s="37"/>
      <c r="O2138" s="37"/>
      <c r="P2138" s="36"/>
      <c r="Q2138" s="36"/>
      <c r="R2138" s="31"/>
      <c r="S2138" s="31"/>
      <c r="T2138" s="38"/>
      <c r="U2138" s="39">
        <f>IFERROR(_xlfn.XLOOKUP(E2138,[1]EMPREENDIMENTO!C:C,[1]EMPREENDIMENTO!D:D),"")</f>
        <v>0</v>
      </c>
    </row>
    <row r="2139" spans="1:21" hidden="1" x14ac:dyDescent="0.35">
      <c r="A2139" s="36"/>
      <c r="B2139" s="36"/>
      <c r="C2139" s="36"/>
      <c r="D2139" s="36"/>
      <c r="E2139" s="36"/>
      <c r="F2139" s="36"/>
      <c r="G2139" s="36"/>
      <c r="H2139" s="36"/>
      <c r="I2139" s="40"/>
      <c r="J2139" s="31"/>
      <c r="K2139" s="36"/>
      <c r="M2139" s="37"/>
      <c r="N2139" s="37"/>
      <c r="O2139" s="37"/>
      <c r="P2139" s="36"/>
      <c r="Q2139" s="36"/>
      <c r="R2139" s="31"/>
      <c r="S2139" s="31"/>
      <c r="T2139" s="38"/>
      <c r="U2139" s="39">
        <f>IFERROR(_xlfn.XLOOKUP(E2139,[1]EMPREENDIMENTO!C:C,[1]EMPREENDIMENTO!D:D),"")</f>
        <v>0</v>
      </c>
    </row>
    <row r="2140" spans="1:21" hidden="1" x14ac:dyDescent="0.35">
      <c r="A2140" s="36"/>
      <c r="B2140" s="36"/>
      <c r="C2140" s="36"/>
      <c r="D2140" s="36"/>
      <c r="E2140" s="36"/>
      <c r="F2140" s="36"/>
      <c r="G2140" s="36"/>
      <c r="H2140" s="36"/>
      <c r="I2140" s="40"/>
      <c r="J2140" s="31"/>
      <c r="K2140" s="36"/>
      <c r="M2140" s="37"/>
      <c r="N2140" s="37"/>
      <c r="O2140" s="37"/>
      <c r="P2140" s="36"/>
      <c r="Q2140" s="36"/>
      <c r="R2140" s="31"/>
      <c r="S2140" s="31"/>
      <c r="T2140" s="38"/>
      <c r="U2140" s="39">
        <f>IFERROR(_xlfn.XLOOKUP(E2140,[1]EMPREENDIMENTO!C:C,[1]EMPREENDIMENTO!D:D),"")</f>
        <v>0</v>
      </c>
    </row>
    <row r="2141" spans="1:21" hidden="1" x14ac:dyDescent="0.35">
      <c r="A2141" s="36"/>
      <c r="B2141" s="36"/>
      <c r="C2141" s="36"/>
      <c r="D2141" s="36"/>
      <c r="E2141" s="36"/>
      <c r="F2141" s="36"/>
      <c r="G2141" s="36"/>
      <c r="H2141" s="36"/>
      <c r="I2141" s="40"/>
      <c r="J2141" s="31"/>
      <c r="K2141" s="36"/>
      <c r="M2141" s="37"/>
      <c r="N2141" s="37"/>
      <c r="O2141" s="37"/>
      <c r="P2141" s="36"/>
      <c r="Q2141" s="36"/>
      <c r="R2141" s="31"/>
      <c r="S2141" s="31"/>
      <c r="T2141" s="38"/>
      <c r="U2141" s="39">
        <f>IFERROR(_xlfn.XLOOKUP(E2141,[1]EMPREENDIMENTO!C:C,[1]EMPREENDIMENTO!D:D),"")</f>
        <v>0</v>
      </c>
    </row>
    <row r="2142" spans="1:21" hidden="1" x14ac:dyDescent="0.35">
      <c r="A2142" s="36"/>
      <c r="B2142" s="36"/>
      <c r="C2142" s="36"/>
      <c r="D2142" s="36"/>
      <c r="E2142" s="36"/>
      <c r="F2142" s="36"/>
      <c r="G2142" s="36"/>
      <c r="H2142" s="36"/>
      <c r="I2142" s="40"/>
      <c r="J2142" s="31"/>
      <c r="K2142" s="36"/>
      <c r="M2142" s="37"/>
      <c r="N2142" s="37"/>
      <c r="O2142" s="37"/>
      <c r="P2142" s="36"/>
      <c r="Q2142" s="36"/>
      <c r="R2142" s="31"/>
      <c r="S2142" s="31"/>
      <c r="T2142" s="38"/>
      <c r="U2142" s="39">
        <f>IFERROR(_xlfn.XLOOKUP(E2142,[1]EMPREENDIMENTO!C:C,[1]EMPREENDIMENTO!D:D),"")</f>
        <v>0</v>
      </c>
    </row>
    <row r="2143" spans="1:21" hidden="1" x14ac:dyDescent="0.35">
      <c r="A2143" s="36"/>
      <c r="B2143" s="36"/>
      <c r="C2143" s="36"/>
      <c r="D2143" s="36"/>
      <c r="E2143" s="36"/>
      <c r="F2143" s="36"/>
      <c r="G2143" s="36"/>
      <c r="H2143" s="36"/>
      <c r="I2143" s="40"/>
      <c r="J2143" s="31"/>
      <c r="K2143" s="36"/>
      <c r="M2143" s="37"/>
      <c r="N2143" s="37"/>
      <c r="O2143" s="37"/>
      <c r="P2143" s="36"/>
      <c r="Q2143" s="36"/>
      <c r="R2143" s="31"/>
      <c r="S2143" s="31"/>
      <c r="T2143" s="38"/>
      <c r="U2143" s="39">
        <f>IFERROR(_xlfn.XLOOKUP(E2143,[1]EMPREENDIMENTO!C:C,[1]EMPREENDIMENTO!D:D),"")</f>
        <v>0</v>
      </c>
    </row>
    <row r="2144" spans="1:21" hidden="1" x14ac:dyDescent="0.35">
      <c r="A2144" s="36"/>
      <c r="B2144" s="36"/>
      <c r="C2144" s="36"/>
      <c r="D2144" s="36"/>
      <c r="E2144" s="36"/>
      <c r="F2144" s="36"/>
      <c r="G2144" s="36"/>
      <c r="H2144" s="36"/>
      <c r="I2144" s="40"/>
      <c r="J2144" s="31"/>
      <c r="K2144" s="36"/>
      <c r="M2144" s="37"/>
      <c r="N2144" s="37"/>
      <c r="O2144" s="37"/>
      <c r="P2144" s="36"/>
      <c r="Q2144" s="36"/>
      <c r="R2144" s="31"/>
      <c r="S2144" s="31"/>
      <c r="T2144" s="38"/>
      <c r="U2144" s="39">
        <f>IFERROR(_xlfn.XLOOKUP(E2144,[1]EMPREENDIMENTO!C:C,[1]EMPREENDIMENTO!D:D),"")</f>
        <v>0</v>
      </c>
    </row>
    <row r="2145" spans="1:21" hidden="1" x14ac:dyDescent="0.35">
      <c r="A2145" s="36"/>
      <c r="B2145" s="36"/>
      <c r="C2145" s="36"/>
      <c r="D2145" s="36"/>
      <c r="E2145" s="36"/>
      <c r="F2145" s="36"/>
      <c r="G2145" s="36"/>
      <c r="H2145" s="36"/>
      <c r="I2145" s="40"/>
      <c r="J2145" s="31"/>
      <c r="K2145" s="36"/>
      <c r="M2145" s="37"/>
      <c r="N2145" s="37"/>
      <c r="O2145" s="37"/>
      <c r="P2145" s="36"/>
      <c r="Q2145" s="36"/>
      <c r="R2145" s="31"/>
      <c r="S2145" s="31"/>
      <c r="T2145" s="38"/>
      <c r="U2145" s="39">
        <f>IFERROR(_xlfn.XLOOKUP(E2145,[1]EMPREENDIMENTO!C:C,[1]EMPREENDIMENTO!D:D),"")</f>
        <v>0</v>
      </c>
    </row>
    <row r="2146" spans="1:21" hidden="1" x14ac:dyDescent="0.35">
      <c r="A2146" s="36"/>
      <c r="B2146" s="36"/>
      <c r="C2146" s="36"/>
      <c r="D2146" s="36"/>
      <c r="E2146" s="36"/>
      <c r="F2146" s="36"/>
      <c r="G2146" s="36"/>
      <c r="H2146" s="36"/>
      <c r="I2146" s="40"/>
      <c r="J2146" s="31"/>
      <c r="K2146" s="36"/>
      <c r="M2146" s="37"/>
      <c r="N2146" s="37"/>
      <c r="O2146" s="37"/>
      <c r="P2146" s="36"/>
      <c r="Q2146" s="36"/>
      <c r="R2146" s="31"/>
      <c r="S2146" s="31"/>
      <c r="T2146" s="38"/>
      <c r="U2146" s="39">
        <f>IFERROR(_xlfn.XLOOKUP(E2146,[1]EMPREENDIMENTO!C:C,[1]EMPREENDIMENTO!D:D),"")</f>
        <v>0</v>
      </c>
    </row>
    <row r="2147" spans="1:21" hidden="1" x14ac:dyDescent="0.35">
      <c r="A2147" s="36"/>
      <c r="B2147" s="36"/>
      <c r="C2147" s="36"/>
      <c r="D2147" s="36"/>
      <c r="E2147" s="36"/>
      <c r="F2147" s="36"/>
      <c r="G2147" s="36"/>
      <c r="H2147" s="36"/>
      <c r="I2147" s="40"/>
      <c r="J2147" s="31"/>
      <c r="K2147" s="36"/>
      <c r="M2147" s="37"/>
      <c r="N2147" s="37"/>
      <c r="O2147" s="37"/>
      <c r="P2147" s="36"/>
      <c r="Q2147" s="36"/>
      <c r="R2147" s="31"/>
      <c r="S2147" s="31"/>
      <c r="T2147" s="38"/>
      <c r="U2147" s="39">
        <f>IFERROR(_xlfn.XLOOKUP(E2147,[1]EMPREENDIMENTO!C:C,[1]EMPREENDIMENTO!D:D),"")</f>
        <v>0</v>
      </c>
    </row>
    <row r="2148" spans="1:21" hidden="1" x14ac:dyDescent="0.35">
      <c r="A2148" s="36"/>
      <c r="B2148" s="36"/>
      <c r="C2148" s="36"/>
      <c r="D2148" s="36"/>
      <c r="E2148" s="36"/>
      <c r="F2148" s="36"/>
      <c r="G2148" s="36"/>
      <c r="H2148" s="36"/>
      <c r="I2148" s="40"/>
      <c r="J2148" s="31"/>
      <c r="K2148" s="36"/>
      <c r="M2148" s="37"/>
      <c r="N2148" s="37"/>
      <c r="O2148" s="37"/>
      <c r="P2148" s="36"/>
      <c r="Q2148" s="36"/>
      <c r="R2148" s="31"/>
      <c r="S2148" s="31"/>
      <c r="T2148" s="38"/>
      <c r="U2148" s="39">
        <f>IFERROR(_xlfn.XLOOKUP(E2148,[1]EMPREENDIMENTO!C:C,[1]EMPREENDIMENTO!D:D),"")</f>
        <v>0</v>
      </c>
    </row>
    <row r="2149" spans="1:21" hidden="1" x14ac:dyDescent="0.35">
      <c r="A2149" s="36"/>
      <c r="B2149" s="36"/>
      <c r="C2149" s="36"/>
      <c r="D2149" s="36"/>
      <c r="E2149" s="36"/>
      <c r="F2149" s="36"/>
      <c r="G2149" s="36"/>
      <c r="H2149" s="36"/>
      <c r="I2149" s="40"/>
      <c r="J2149" s="31"/>
      <c r="K2149" s="36"/>
      <c r="M2149" s="37"/>
      <c r="N2149" s="37"/>
      <c r="O2149" s="37"/>
      <c r="P2149" s="36"/>
      <c r="Q2149" s="36"/>
      <c r="R2149" s="31"/>
      <c r="S2149" s="31"/>
      <c r="T2149" s="38"/>
      <c r="U2149" s="39">
        <f>IFERROR(_xlfn.XLOOKUP(E2149,[1]EMPREENDIMENTO!C:C,[1]EMPREENDIMENTO!D:D),"")</f>
        <v>0</v>
      </c>
    </row>
    <row r="2150" spans="1:21" hidden="1" x14ac:dyDescent="0.35">
      <c r="A2150" s="36"/>
      <c r="B2150" s="36"/>
      <c r="C2150" s="36"/>
      <c r="D2150" s="36"/>
      <c r="E2150" s="36"/>
      <c r="F2150" s="36"/>
      <c r="G2150" s="36"/>
      <c r="H2150" s="36"/>
      <c r="I2150" s="40"/>
      <c r="J2150" s="31"/>
      <c r="K2150" s="36"/>
      <c r="M2150" s="37"/>
      <c r="N2150" s="37"/>
      <c r="O2150" s="37"/>
      <c r="P2150" s="36"/>
      <c r="Q2150" s="36"/>
      <c r="R2150" s="31"/>
      <c r="S2150" s="31"/>
      <c r="T2150" s="38"/>
      <c r="U2150" s="39">
        <f>IFERROR(_xlfn.XLOOKUP(E2150,[1]EMPREENDIMENTO!C:C,[1]EMPREENDIMENTO!D:D),"")</f>
        <v>0</v>
      </c>
    </row>
    <row r="2151" spans="1:21" hidden="1" x14ac:dyDescent="0.35">
      <c r="A2151" s="36"/>
      <c r="B2151" s="36"/>
      <c r="C2151" s="36"/>
      <c r="D2151" s="36"/>
      <c r="E2151" s="36"/>
      <c r="F2151" s="36"/>
      <c r="G2151" s="36"/>
      <c r="H2151" s="36"/>
      <c r="I2151" s="40"/>
      <c r="J2151" s="31"/>
      <c r="K2151" s="36"/>
      <c r="M2151" s="37"/>
      <c r="N2151" s="37"/>
      <c r="O2151" s="37"/>
      <c r="P2151" s="36"/>
      <c r="Q2151" s="36"/>
      <c r="R2151" s="31"/>
      <c r="S2151" s="31"/>
      <c r="T2151" s="38"/>
      <c r="U2151" s="39">
        <f>IFERROR(_xlfn.XLOOKUP(E2151,[1]EMPREENDIMENTO!C:C,[1]EMPREENDIMENTO!D:D),"")</f>
        <v>0</v>
      </c>
    </row>
    <row r="2152" spans="1:21" hidden="1" x14ac:dyDescent="0.35">
      <c r="A2152" s="36"/>
      <c r="B2152" s="36"/>
      <c r="C2152" s="36"/>
      <c r="D2152" s="36"/>
      <c r="E2152" s="36"/>
      <c r="F2152" s="36"/>
      <c r="G2152" s="36"/>
      <c r="H2152" s="36"/>
      <c r="I2152" s="40"/>
      <c r="J2152" s="31"/>
      <c r="K2152" s="36"/>
      <c r="M2152" s="37"/>
      <c r="N2152" s="37"/>
      <c r="O2152" s="37"/>
      <c r="P2152" s="36"/>
      <c r="Q2152" s="36"/>
      <c r="R2152" s="31"/>
      <c r="S2152" s="31"/>
      <c r="T2152" s="38"/>
      <c r="U2152" s="39">
        <f>IFERROR(_xlfn.XLOOKUP(E2152,[1]EMPREENDIMENTO!C:C,[1]EMPREENDIMENTO!D:D),"")</f>
        <v>0</v>
      </c>
    </row>
    <row r="2153" spans="1:21" hidden="1" x14ac:dyDescent="0.35">
      <c r="A2153" s="36"/>
      <c r="B2153" s="36"/>
      <c r="C2153" s="36"/>
      <c r="D2153" s="36"/>
      <c r="E2153" s="36"/>
      <c r="F2153" s="36"/>
      <c r="G2153" s="36"/>
      <c r="H2153" s="36"/>
      <c r="I2153" s="40"/>
      <c r="J2153" s="31"/>
      <c r="K2153" s="36"/>
      <c r="M2153" s="37"/>
      <c r="N2153" s="37"/>
      <c r="O2153" s="37"/>
      <c r="P2153" s="36"/>
      <c r="Q2153" s="36"/>
      <c r="R2153" s="31"/>
      <c r="S2153" s="31"/>
      <c r="T2153" s="38"/>
      <c r="U2153" s="39">
        <f>IFERROR(_xlfn.XLOOKUP(E2153,[1]EMPREENDIMENTO!C:C,[1]EMPREENDIMENTO!D:D),"")</f>
        <v>0</v>
      </c>
    </row>
    <row r="2154" spans="1:21" hidden="1" x14ac:dyDescent="0.35">
      <c r="A2154" s="36"/>
      <c r="B2154" s="36"/>
      <c r="C2154" s="36"/>
      <c r="D2154" s="36"/>
      <c r="E2154" s="36"/>
      <c r="F2154" s="36"/>
      <c r="G2154" s="36"/>
      <c r="H2154" s="36"/>
      <c r="I2154" s="40"/>
      <c r="J2154" s="31"/>
      <c r="K2154" s="36"/>
      <c r="M2154" s="37"/>
      <c r="N2154" s="37"/>
      <c r="O2154" s="37"/>
      <c r="P2154" s="36"/>
      <c r="Q2154" s="36"/>
      <c r="R2154" s="31"/>
      <c r="S2154" s="31"/>
      <c r="T2154" s="38"/>
      <c r="U2154" s="39">
        <f>IFERROR(_xlfn.XLOOKUP(E2154,[1]EMPREENDIMENTO!C:C,[1]EMPREENDIMENTO!D:D),"")</f>
        <v>0</v>
      </c>
    </row>
    <row r="2155" spans="1:21" hidden="1" x14ac:dyDescent="0.35">
      <c r="A2155" s="36"/>
      <c r="B2155" s="36"/>
      <c r="C2155" s="36"/>
      <c r="D2155" s="36"/>
      <c r="E2155" s="36"/>
      <c r="F2155" s="36"/>
      <c r="G2155" s="36"/>
      <c r="H2155" s="36"/>
      <c r="I2155" s="40"/>
      <c r="J2155" s="31"/>
      <c r="K2155" s="36"/>
      <c r="M2155" s="37"/>
      <c r="N2155" s="37"/>
      <c r="O2155" s="37"/>
      <c r="P2155" s="36"/>
      <c r="Q2155" s="36"/>
      <c r="R2155" s="31"/>
      <c r="S2155" s="31"/>
      <c r="T2155" s="38"/>
      <c r="U2155" s="39">
        <f>IFERROR(_xlfn.XLOOKUP(E2155,[1]EMPREENDIMENTO!C:C,[1]EMPREENDIMENTO!D:D),"")</f>
        <v>0</v>
      </c>
    </row>
    <row r="2156" spans="1:21" hidden="1" x14ac:dyDescent="0.35">
      <c r="A2156" s="36"/>
      <c r="B2156" s="36"/>
      <c r="C2156" s="36"/>
      <c r="D2156" s="36"/>
      <c r="E2156" s="36"/>
      <c r="F2156" s="36"/>
      <c r="G2156" s="36"/>
      <c r="H2156" s="36"/>
      <c r="I2156" s="40"/>
      <c r="J2156" s="31"/>
      <c r="K2156" s="36"/>
      <c r="M2156" s="37"/>
      <c r="N2156" s="37"/>
      <c r="O2156" s="37"/>
      <c r="P2156" s="36"/>
      <c r="Q2156" s="36"/>
      <c r="R2156" s="31"/>
      <c r="S2156" s="31"/>
      <c r="T2156" s="38"/>
      <c r="U2156" s="39">
        <f>IFERROR(_xlfn.XLOOKUP(E2156,[1]EMPREENDIMENTO!C:C,[1]EMPREENDIMENTO!D:D),"")</f>
        <v>0</v>
      </c>
    </row>
    <row r="2157" spans="1:21" hidden="1" x14ac:dyDescent="0.35">
      <c r="A2157" s="36"/>
      <c r="B2157" s="36"/>
      <c r="C2157" s="36"/>
      <c r="D2157" s="36"/>
      <c r="E2157" s="36"/>
      <c r="F2157" s="36"/>
      <c r="G2157" s="36"/>
      <c r="H2157" s="36"/>
      <c r="I2157" s="40"/>
      <c r="J2157" s="31"/>
      <c r="K2157" s="36"/>
      <c r="M2157" s="37"/>
      <c r="N2157" s="37"/>
      <c r="O2157" s="37"/>
      <c r="P2157" s="36"/>
      <c r="Q2157" s="36"/>
      <c r="R2157" s="31"/>
      <c r="S2157" s="31"/>
      <c r="T2157" s="38"/>
      <c r="U2157" s="39">
        <f>IFERROR(_xlfn.XLOOKUP(E2157,[1]EMPREENDIMENTO!C:C,[1]EMPREENDIMENTO!D:D),"")</f>
        <v>0</v>
      </c>
    </row>
    <row r="2158" spans="1:21" hidden="1" x14ac:dyDescent="0.35">
      <c r="A2158" s="36"/>
      <c r="B2158" s="36"/>
      <c r="C2158" s="36"/>
      <c r="D2158" s="36"/>
      <c r="E2158" s="36"/>
      <c r="F2158" s="36"/>
      <c r="G2158" s="36"/>
      <c r="H2158" s="36"/>
      <c r="I2158" s="40"/>
      <c r="J2158" s="31"/>
      <c r="K2158" s="36"/>
      <c r="M2158" s="37"/>
      <c r="N2158" s="37"/>
      <c r="O2158" s="37"/>
      <c r="P2158" s="36"/>
      <c r="Q2158" s="36"/>
      <c r="R2158" s="31"/>
      <c r="S2158" s="31"/>
      <c r="T2158" s="38"/>
      <c r="U2158" s="39">
        <f>IFERROR(_xlfn.XLOOKUP(E2158,[1]EMPREENDIMENTO!C:C,[1]EMPREENDIMENTO!D:D),"")</f>
        <v>0</v>
      </c>
    </row>
    <row r="2159" spans="1:21" hidden="1" x14ac:dyDescent="0.35">
      <c r="A2159" s="36"/>
      <c r="B2159" s="36"/>
      <c r="C2159" s="36"/>
      <c r="D2159" s="36"/>
      <c r="E2159" s="36"/>
      <c r="F2159" s="36"/>
      <c r="G2159" s="36"/>
      <c r="H2159" s="36"/>
      <c r="I2159" s="40"/>
      <c r="J2159" s="31"/>
      <c r="K2159" s="36"/>
      <c r="M2159" s="37"/>
      <c r="N2159" s="37"/>
      <c r="O2159" s="37"/>
      <c r="P2159" s="36"/>
      <c r="Q2159" s="36"/>
      <c r="R2159" s="31"/>
      <c r="S2159" s="31"/>
      <c r="T2159" s="38"/>
      <c r="U2159" s="39">
        <f>IFERROR(_xlfn.XLOOKUP(E2159,[1]EMPREENDIMENTO!C:C,[1]EMPREENDIMENTO!D:D),"")</f>
        <v>0</v>
      </c>
    </row>
    <row r="2160" spans="1:21" hidden="1" x14ac:dyDescent="0.35">
      <c r="A2160" s="36"/>
      <c r="B2160" s="36"/>
      <c r="C2160" s="36"/>
      <c r="D2160" s="36"/>
      <c r="E2160" s="36"/>
      <c r="F2160" s="36"/>
      <c r="G2160" s="36"/>
      <c r="H2160" s="36"/>
      <c r="I2160" s="40"/>
      <c r="J2160" s="31"/>
      <c r="K2160" s="36"/>
      <c r="M2160" s="37"/>
      <c r="N2160" s="37"/>
      <c r="O2160" s="37"/>
      <c r="P2160" s="36"/>
      <c r="Q2160" s="36"/>
      <c r="R2160" s="31"/>
      <c r="S2160" s="31"/>
      <c r="T2160" s="38"/>
      <c r="U2160" s="39">
        <f>IFERROR(_xlfn.XLOOKUP(E2160,[1]EMPREENDIMENTO!C:C,[1]EMPREENDIMENTO!D:D),"")</f>
        <v>0</v>
      </c>
    </row>
    <row r="2161" spans="1:21" hidden="1" x14ac:dyDescent="0.35">
      <c r="A2161" s="36"/>
      <c r="B2161" s="36"/>
      <c r="C2161" s="36"/>
      <c r="D2161" s="36"/>
      <c r="E2161" s="36"/>
      <c r="F2161" s="36"/>
      <c r="G2161" s="36"/>
      <c r="H2161" s="36"/>
      <c r="I2161" s="40"/>
      <c r="J2161" s="31"/>
      <c r="K2161" s="36"/>
      <c r="M2161" s="37"/>
      <c r="N2161" s="37"/>
      <c r="O2161" s="37"/>
      <c r="P2161" s="36"/>
      <c r="Q2161" s="36"/>
      <c r="R2161" s="31"/>
      <c r="S2161" s="31"/>
      <c r="T2161" s="38"/>
      <c r="U2161" s="39">
        <f>IFERROR(_xlfn.XLOOKUP(E2161,[1]EMPREENDIMENTO!C:C,[1]EMPREENDIMENTO!D:D),"")</f>
        <v>0</v>
      </c>
    </row>
    <row r="2162" spans="1:21" hidden="1" x14ac:dyDescent="0.35">
      <c r="A2162" s="36"/>
      <c r="B2162" s="36"/>
      <c r="C2162" s="36"/>
      <c r="D2162" s="36"/>
      <c r="E2162" s="36"/>
      <c r="F2162" s="36"/>
      <c r="G2162" s="36"/>
      <c r="H2162" s="36"/>
      <c r="I2162" s="40"/>
      <c r="J2162" s="31"/>
      <c r="K2162" s="36"/>
      <c r="M2162" s="37"/>
      <c r="N2162" s="37"/>
      <c r="O2162" s="37"/>
      <c r="P2162" s="36"/>
      <c r="Q2162" s="36"/>
      <c r="R2162" s="31"/>
      <c r="S2162" s="31"/>
      <c r="T2162" s="38"/>
      <c r="U2162" s="39">
        <f>IFERROR(_xlfn.XLOOKUP(E2162,[1]EMPREENDIMENTO!C:C,[1]EMPREENDIMENTO!D:D),"")</f>
        <v>0</v>
      </c>
    </row>
    <row r="2163" spans="1:21" hidden="1" x14ac:dyDescent="0.35">
      <c r="A2163" s="36"/>
      <c r="B2163" s="36"/>
      <c r="C2163" s="36"/>
      <c r="D2163" s="36"/>
      <c r="E2163" s="36"/>
      <c r="F2163" s="36"/>
      <c r="G2163" s="36"/>
      <c r="H2163" s="36"/>
      <c r="I2163" s="40"/>
      <c r="J2163" s="31"/>
      <c r="K2163" s="36"/>
      <c r="M2163" s="37"/>
      <c r="N2163" s="37"/>
      <c r="O2163" s="37"/>
      <c r="P2163" s="36"/>
      <c r="Q2163" s="36"/>
      <c r="R2163" s="31"/>
      <c r="S2163" s="31"/>
      <c r="T2163" s="38"/>
      <c r="U2163" s="39">
        <f>IFERROR(_xlfn.XLOOKUP(E2163,[1]EMPREENDIMENTO!C:C,[1]EMPREENDIMENTO!D:D),"")</f>
        <v>0</v>
      </c>
    </row>
    <row r="2164" spans="1:21" hidden="1" x14ac:dyDescent="0.35">
      <c r="A2164" s="36"/>
      <c r="B2164" s="36"/>
      <c r="C2164" s="36"/>
      <c r="D2164" s="36"/>
      <c r="E2164" s="36"/>
      <c r="F2164" s="36"/>
      <c r="G2164" s="36"/>
      <c r="H2164" s="36"/>
      <c r="I2164" s="40"/>
      <c r="J2164" s="31"/>
      <c r="K2164" s="36"/>
      <c r="M2164" s="37"/>
      <c r="N2164" s="37"/>
      <c r="O2164" s="37"/>
      <c r="P2164" s="36"/>
      <c r="Q2164" s="36"/>
      <c r="R2164" s="31"/>
      <c r="S2164" s="31"/>
      <c r="T2164" s="38"/>
      <c r="U2164" s="39">
        <f>IFERROR(_xlfn.XLOOKUP(E2164,[1]EMPREENDIMENTO!C:C,[1]EMPREENDIMENTO!D:D),"")</f>
        <v>0</v>
      </c>
    </row>
    <row r="2165" spans="1:21" hidden="1" x14ac:dyDescent="0.35">
      <c r="A2165" s="36"/>
      <c r="B2165" s="36"/>
      <c r="C2165" s="36"/>
      <c r="D2165" s="36"/>
      <c r="E2165" s="36"/>
      <c r="F2165" s="36"/>
      <c r="G2165" s="36"/>
      <c r="H2165" s="36"/>
      <c r="I2165" s="40"/>
      <c r="J2165" s="31"/>
      <c r="K2165" s="36"/>
      <c r="M2165" s="37"/>
      <c r="N2165" s="37"/>
      <c r="O2165" s="37"/>
      <c r="P2165" s="36"/>
      <c r="Q2165" s="36"/>
      <c r="R2165" s="31"/>
      <c r="S2165" s="31"/>
      <c r="T2165" s="38"/>
      <c r="U2165" s="39">
        <f>IFERROR(_xlfn.XLOOKUP(E2165,[1]EMPREENDIMENTO!C:C,[1]EMPREENDIMENTO!D:D),"")</f>
        <v>0</v>
      </c>
    </row>
    <row r="2166" spans="1:21" hidden="1" x14ac:dyDescent="0.35">
      <c r="A2166" s="36"/>
      <c r="B2166" s="36"/>
      <c r="C2166" s="36"/>
      <c r="D2166" s="36"/>
      <c r="E2166" s="36"/>
      <c r="F2166" s="36"/>
      <c r="G2166" s="36"/>
      <c r="H2166" s="36"/>
      <c r="I2166" s="40"/>
      <c r="J2166" s="31"/>
      <c r="K2166" s="36"/>
      <c r="M2166" s="37"/>
      <c r="N2166" s="37"/>
      <c r="O2166" s="37"/>
      <c r="P2166" s="36"/>
      <c r="Q2166" s="36"/>
      <c r="R2166" s="31"/>
      <c r="S2166" s="31"/>
      <c r="T2166" s="38"/>
      <c r="U2166" s="39">
        <f>IFERROR(_xlfn.XLOOKUP(E2166,[1]EMPREENDIMENTO!C:C,[1]EMPREENDIMENTO!D:D),"")</f>
        <v>0</v>
      </c>
    </row>
    <row r="2167" spans="1:21" hidden="1" x14ac:dyDescent="0.35">
      <c r="A2167" s="36"/>
      <c r="B2167" s="36"/>
      <c r="C2167" s="36"/>
      <c r="D2167" s="36"/>
      <c r="E2167" s="36"/>
      <c r="F2167" s="36"/>
      <c r="G2167" s="36"/>
      <c r="H2167" s="36"/>
      <c r="I2167" s="40"/>
      <c r="J2167" s="31"/>
      <c r="K2167" s="36"/>
      <c r="M2167" s="37"/>
      <c r="N2167" s="37"/>
      <c r="O2167" s="37"/>
      <c r="P2167" s="36"/>
      <c r="Q2167" s="36"/>
      <c r="R2167" s="31"/>
      <c r="S2167" s="31"/>
      <c r="T2167" s="38"/>
      <c r="U2167" s="39">
        <f>IFERROR(_xlfn.XLOOKUP(E2167,[1]EMPREENDIMENTO!C:C,[1]EMPREENDIMENTO!D:D),"")</f>
        <v>0</v>
      </c>
    </row>
    <row r="2168" spans="1:21" hidden="1" x14ac:dyDescent="0.35">
      <c r="A2168" s="36"/>
      <c r="B2168" s="36"/>
      <c r="C2168" s="36"/>
      <c r="D2168" s="36"/>
      <c r="E2168" s="36"/>
      <c r="F2168" s="36"/>
      <c r="G2168" s="36"/>
      <c r="H2168" s="36"/>
      <c r="I2168" s="40"/>
      <c r="J2168" s="31"/>
      <c r="K2168" s="36"/>
      <c r="M2168" s="37"/>
      <c r="N2168" s="37"/>
      <c r="O2168" s="37"/>
      <c r="P2168" s="36"/>
      <c r="Q2168" s="36"/>
      <c r="R2168" s="31"/>
      <c r="S2168" s="31"/>
      <c r="T2168" s="38"/>
      <c r="U2168" s="39">
        <f>IFERROR(_xlfn.XLOOKUP(E2168,[1]EMPREENDIMENTO!C:C,[1]EMPREENDIMENTO!D:D),"")</f>
        <v>0</v>
      </c>
    </row>
    <row r="2169" spans="1:21" hidden="1" x14ac:dyDescent="0.35">
      <c r="A2169" s="36"/>
      <c r="B2169" s="36"/>
      <c r="C2169" s="36"/>
      <c r="D2169" s="36"/>
      <c r="E2169" s="36"/>
      <c r="F2169" s="36"/>
      <c r="G2169" s="36"/>
      <c r="H2169" s="36"/>
      <c r="I2169" s="40"/>
      <c r="J2169" s="31"/>
      <c r="K2169" s="36"/>
      <c r="M2169" s="37"/>
      <c r="N2169" s="37"/>
      <c r="O2169" s="37"/>
      <c r="P2169" s="36"/>
      <c r="Q2169" s="36"/>
      <c r="R2169" s="31"/>
      <c r="S2169" s="31"/>
      <c r="T2169" s="38"/>
      <c r="U2169" s="39">
        <f>IFERROR(_xlfn.XLOOKUP(E2169,[1]EMPREENDIMENTO!C:C,[1]EMPREENDIMENTO!D:D),"")</f>
        <v>0</v>
      </c>
    </row>
    <row r="2170" spans="1:21" hidden="1" x14ac:dyDescent="0.35">
      <c r="A2170" s="36"/>
      <c r="B2170" s="36"/>
      <c r="C2170" s="36"/>
      <c r="D2170" s="36"/>
      <c r="E2170" s="36"/>
      <c r="F2170" s="36"/>
      <c r="G2170" s="36"/>
      <c r="H2170" s="36"/>
      <c r="I2170" s="40"/>
      <c r="J2170" s="31"/>
      <c r="K2170" s="36"/>
      <c r="M2170" s="37"/>
      <c r="N2170" s="37"/>
      <c r="O2170" s="37"/>
      <c r="P2170" s="36"/>
      <c r="Q2170" s="36"/>
      <c r="R2170" s="31"/>
      <c r="S2170" s="31"/>
      <c r="T2170" s="38"/>
      <c r="U2170" s="39">
        <f>IFERROR(_xlfn.XLOOKUP(E2170,[1]EMPREENDIMENTO!C:C,[1]EMPREENDIMENTO!D:D),"")</f>
        <v>0</v>
      </c>
    </row>
    <row r="2171" spans="1:21" hidden="1" x14ac:dyDescent="0.35">
      <c r="A2171" s="36"/>
      <c r="B2171" s="36"/>
      <c r="C2171" s="36"/>
      <c r="D2171" s="36"/>
      <c r="E2171" s="36"/>
      <c r="F2171" s="36"/>
      <c r="G2171" s="36"/>
      <c r="H2171" s="36"/>
      <c r="I2171" s="40"/>
      <c r="J2171" s="31"/>
      <c r="K2171" s="36"/>
      <c r="M2171" s="37"/>
      <c r="N2171" s="37"/>
      <c r="O2171" s="37"/>
      <c r="P2171" s="36"/>
      <c r="Q2171" s="36"/>
      <c r="R2171" s="31"/>
      <c r="S2171" s="31"/>
      <c r="T2171" s="38"/>
      <c r="U2171" s="39">
        <f>IFERROR(_xlfn.XLOOKUP(E2171,[1]EMPREENDIMENTO!C:C,[1]EMPREENDIMENTO!D:D),"")</f>
        <v>0</v>
      </c>
    </row>
    <row r="2172" spans="1:21" hidden="1" x14ac:dyDescent="0.35">
      <c r="A2172" s="36"/>
      <c r="B2172" s="36"/>
      <c r="C2172" s="36"/>
      <c r="D2172" s="36"/>
      <c r="E2172" s="36"/>
      <c r="F2172" s="36"/>
      <c r="G2172" s="36"/>
      <c r="H2172" s="36"/>
      <c r="I2172" s="40"/>
      <c r="J2172" s="31"/>
      <c r="K2172" s="36"/>
      <c r="M2172" s="37"/>
      <c r="N2172" s="37"/>
      <c r="O2172" s="37"/>
      <c r="P2172" s="36"/>
      <c r="Q2172" s="36"/>
      <c r="R2172" s="31"/>
      <c r="S2172" s="31"/>
      <c r="T2172" s="38"/>
      <c r="U2172" s="39">
        <f>IFERROR(_xlfn.XLOOKUP(E2172,[1]EMPREENDIMENTO!C:C,[1]EMPREENDIMENTO!D:D),"")</f>
        <v>0</v>
      </c>
    </row>
    <row r="2173" spans="1:21" hidden="1" x14ac:dyDescent="0.35">
      <c r="A2173" s="36"/>
      <c r="B2173" s="36"/>
      <c r="C2173" s="36"/>
      <c r="D2173" s="36"/>
      <c r="E2173" s="36"/>
      <c r="F2173" s="36"/>
      <c r="G2173" s="36"/>
      <c r="H2173" s="36"/>
      <c r="I2173" s="40"/>
      <c r="J2173" s="31"/>
      <c r="K2173" s="36"/>
      <c r="M2173" s="37"/>
      <c r="N2173" s="37"/>
      <c r="O2173" s="37"/>
      <c r="P2173" s="36"/>
      <c r="Q2173" s="36"/>
      <c r="R2173" s="31"/>
      <c r="S2173" s="31"/>
      <c r="T2173" s="38"/>
      <c r="U2173" s="39">
        <f>IFERROR(_xlfn.XLOOKUP(E2173,[1]EMPREENDIMENTO!C:C,[1]EMPREENDIMENTO!D:D),"")</f>
        <v>0</v>
      </c>
    </row>
    <row r="2174" spans="1:21" hidden="1" x14ac:dyDescent="0.35">
      <c r="A2174" s="36"/>
      <c r="B2174" s="36"/>
      <c r="C2174" s="36"/>
      <c r="D2174" s="36"/>
      <c r="E2174" s="36"/>
      <c r="F2174" s="36"/>
      <c r="G2174" s="36"/>
      <c r="H2174" s="36"/>
      <c r="I2174" s="40"/>
      <c r="J2174" s="31"/>
      <c r="K2174" s="36"/>
      <c r="M2174" s="37"/>
      <c r="N2174" s="37"/>
      <c r="O2174" s="37"/>
      <c r="P2174" s="36"/>
      <c r="Q2174" s="36"/>
      <c r="R2174" s="31"/>
      <c r="S2174" s="31"/>
      <c r="T2174" s="38"/>
      <c r="U2174" s="39">
        <f>IFERROR(_xlfn.XLOOKUP(E2174,[1]EMPREENDIMENTO!C:C,[1]EMPREENDIMENTO!D:D),"")</f>
        <v>0</v>
      </c>
    </row>
    <row r="2175" spans="1:21" hidden="1" x14ac:dyDescent="0.35">
      <c r="A2175" s="36"/>
      <c r="B2175" s="36"/>
      <c r="C2175" s="36"/>
      <c r="D2175" s="36"/>
      <c r="E2175" s="36"/>
      <c r="F2175" s="36"/>
      <c r="G2175" s="36"/>
      <c r="H2175" s="36"/>
      <c r="I2175" s="40"/>
      <c r="J2175" s="31"/>
      <c r="K2175" s="36"/>
      <c r="M2175" s="37"/>
      <c r="N2175" s="37"/>
      <c r="O2175" s="37"/>
      <c r="P2175" s="36"/>
      <c r="Q2175" s="36"/>
      <c r="R2175" s="31"/>
      <c r="S2175" s="31"/>
      <c r="T2175" s="38"/>
      <c r="U2175" s="39">
        <f>IFERROR(_xlfn.XLOOKUP(E2175,[1]EMPREENDIMENTO!C:C,[1]EMPREENDIMENTO!D:D),"")</f>
        <v>0</v>
      </c>
    </row>
    <row r="2176" spans="1:21" hidden="1" x14ac:dyDescent="0.35">
      <c r="A2176" s="36"/>
      <c r="B2176" s="36"/>
      <c r="C2176" s="36"/>
      <c r="D2176" s="36"/>
      <c r="E2176" s="36"/>
      <c r="F2176" s="36"/>
      <c r="G2176" s="36"/>
      <c r="H2176" s="36"/>
      <c r="I2176" s="40"/>
      <c r="J2176" s="31"/>
      <c r="K2176" s="36"/>
      <c r="M2176" s="37"/>
      <c r="N2176" s="37"/>
      <c r="O2176" s="37"/>
      <c r="P2176" s="36"/>
      <c r="Q2176" s="36"/>
      <c r="R2176" s="31"/>
      <c r="S2176" s="31"/>
      <c r="T2176" s="38"/>
      <c r="U2176" s="39">
        <f>IFERROR(_xlfn.XLOOKUP(E2176,[1]EMPREENDIMENTO!C:C,[1]EMPREENDIMENTO!D:D),"")</f>
        <v>0</v>
      </c>
    </row>
    <row r="2177" spans="1:21" hidden="1" x14ac:dyDescent="0.35">
      <c r="A2177" s="36"/>
      <c r="B2177" s="36"/>
      <c r="C2177" s="36"/>
      <c r="D2177" s="36"/>
      <c r="E2177" s="36"/>
      <c r="F2177" s="36"/>
      <c r="G2177" s="36"/>
      <c r="H2177" s="36"/>
      <c r="I2177" s="40"/>
      <c r="J2177" s="31"/>
      <c r="K2177" s="36"/>
      <c r="M2177" s="37"/>
      <c r="N2177" s="37"/>
      <c r="O2177" s="37"/>
      <c r="P2177" s="36"/>
      <c r="Q2177" s="36"/>
      <c r="R2177" s="31"/>
      <c r="S2177" s="31"/>
      <c r="T2177" s="38"/>
      <c r="U2177" s="39">
        <f>IFERROR(_xlfn.XLOOKUP(E2177,[1]EMPREENDIMENTO!C:C,[1]EMPREENDIMENTO!D:D),"")</f>
        <v>0</v>
      </c>
    </row>
    <row r="2178" spans="1:21" hidden="1" x14ac:dyDescent="0.35">
      <c r="A2178" s="36"/>
      <c r="B2178" s="36"/>
      <c r="C2178" s="36"/>
      <c r="D2178" s="36"/>
      <c r="E2178" s="36"/>
      <c r="F2178" s="36"/>
      <c r="G2178" s="36"/>
      <c r="H2178" s="36"/>
      <c r="I2178" s="40"/>
      <c r="J2178" s="31"/>
      <c r="K2178" s="36"/>
      <c r="M2178" s="37"/>
      <c r="N2178" s="37"/>
      <c r="O2178" s="37"/>
      <c r="P2178" s="36"/>
      <c r="Q2178" s="36"/>
      <c r="R2178" s="31"/>
      <c r="S2178" s="31"/>
      <c r="T2178" s="38"/>
      <c r="U2178" s="39">
        <f>IFERROR(_xlfn.XLOOKUP(E2178,[1]EMPREENDIMENTO!C:C,[1]EMPREENDIMENTO!D:D),"")</f>
        <v>0</v>
      </c>
    </row>
    <row r="2179" spans="1:21" hidden="1" x14ac:dyDescent="0.35">
      <c r="A2179" s="36"/>
      <c r="B2179" s="36"/>
      <c r="C2179" s="36"/>
      <c r="D2179" s="36"/>
      <c r="E2179" s="36"/>
      <c r="F2179" s="36"/>
      <c r="G2179" s="36"/>
      <c r="H2179" s="36"/>
      <c r="I2179" s="40"/>
      <c r="J2179" s="31"/>
      <c r="K2179" s="36"/>
      <c r="M2179" s="37"/>
      <c r="N2179" s="37"/>
      <c r="O2179" s="37"/>
      <c r="P2179" s="36"/>
      <c r="Q2179" s="36"/>
      <c r="R2179" s="31"/>
      <c r="S2179" s="31"/>
      <c r="T2179" s="38"/>
      <c r="U2179" s="39">
        <f>IFERROR(_xlfn.XLOOKUP(E2179,[1]EMPREENDIMENTO!C:C,[1]EMPREENDIMENTO!D:D),"")</f>
        <v>0</v>
      </c>
    </row>
    <row r="2180" spans="1:21" hidden="1" x14ac:dyDescent="0.35">
      <c r="A2180" s="36"/>
      <c r="B2180" s="36"/>
      <c r="C2180" s="36"/>
      <c r="D2180" s="36"/>
      <c r="E2180" s="36"/>
      <c r="F2180" s="36"/>
      <c r="G2180" s="36"/>
      <c r="H2180" s="36"/>
      <c r="I2180" s="40"/>
      <c r="J2180" s="31"/>
      <c r="K2180" s="36"/>
      <c r="M2180" s="37"/>
      <c r="N2180" s="37"/>
      <c r="O2180" s="37"/>
      <c r="P2180" s="36"/>
      <c r="Q2180" s="36"/>
      <c r="R2180" s="31"/>
      <c r="S2180" s="31"/>
      <c r="T2180" s="38"/>
      <c r="U2180" s="39">
        <f>IFERROR(_xlfn.XLOOKUP(E2180,[1]EMPREENDIMENTO!C:C,[1]EMPREENDIMENTO!D:D),"")</f>
        <v>0</v>
      </c>
    </row>
    <row r="2181" spans="1:21" hidden="1" x14ac:dyDescent="0.35">
      <c r="A2181" s="36"/>
      <c r="B2181" s="36"/>
      <c r="C2181" s="36"/>
      <c r="D2181" s="36"/>
      <c r="E2181" s="36"/>
      <c r="F2181" s="36"/>
      <c r="G2181" s="36"/>
      <c r="H2181" s="36"/>
      <c r="I2181" s="40"/>
      <c r="J2181" s="31"/>
      <c r="K2181" s="36"/>
      <c r="M2181" s="37"/>
      <c r="N2181" s="37"/>
      <c r="O2181" s="37"/>
      <c r="P2181" s="36"/>
      <c r="Q2181" s="36"/>
      <c r="R2181" s="31"/>
      <c r="S2181" s="31"/>
      <c r="T2181" s="38"/>
      <c r="U2181" s="39">
        <f>IFERROR(_xlfn.XLOOKUP(E2181,[1]EMPREENDIMENTO!C:C,[1]EMPREENDIMENTO!D:D),"")</f>
        <v>0</v>
      </c>
    </row>
    <row r="2182" spans="1:21" hidden="1" x14ac:dyDescent="0.35">
      <c r="A2182" s="36"/>
      <c r="B2182" s="36"/>
      <c r="C2182" s="36"/>
      <c r="D2182" s="36"/>
      <c r="E2182" s="36"/>
      <c r="F2182" s="36"/>
      <c r="G2182" s="36"/>
      <c r="H2182" s="36"/>
      <c r="I2182" s="40"/>
      <c r="J2182" s="31"/>
      <c r="K2182" s="36"/>
      <c r="M2182" s="37"/>
      <c r="N2182" s="37"/>
      <c r="O2182" s="37"/>
      <c r="P2182" s="36"/>
      <c r="Q2182" s="36"/>
      <c r="R2182" s="31"/>
      <c r="S2182" s="31"/>
      <c r="T2182" s="38"/>
      <c r="U2182" s="39">
        <f>IFERROR(_xlfn.XLOOKUP(E2182,[1]EMPREENDIMENTO!C:C,[1]EMPREENDIMENTO!D:D),"")</f>
        <v>0</v>
      </c>
    </row>
    <row r="2183" spans="1:21" hidden="1" x14ac:dyDescent="0.35">
      <c r="A2183" s="36"/>
      <c r="B2183" s="36"/>
      <c r="C2183" s="36"/>
      <c r="D2183" s="36"/>
      <c r="E2183" s="36"/>
      <c r="F2183" s="36"/>
      <c r="G2183" s="36"/>
      <c r="H2183" s="36"/>
      <c r="I2183" s="40"/>
      <c r="J2183" s="31"/>
      <c r="K2183" s="36"/>
      <c r="M2183" s="37"/>
      <c r="N2183" s="37"/>
      <c r="O2183" s="37"/>
      <c r="P2183" s="36"/>
      <c r="Q2183" s="36"/>
      <c r="R2183" s="31"/>
      <c r="S2183" s="31"/>
      <c r="T2183" s="38"/>
      <c r="U2183" s="39">
        <f>IFERROR(_xlfn.XLOOKUP(E2183,[1]EMPREENDIMENTO!C:C,[1]EMPREENDIMENTO!D:D),"")</f>
        <v>0</v>
      </c>
    </row>
    <row r="2184" spans="1:21" hidden="1" x14ac:dyDescent="0.35">
      <c r="A2184" s="36"/>
      <c r="B2184" s="36"/>
      <c r="C2184" s="36"/>
      <c r="D2184" s="36"/>
      <c r="E2184" s="36"/>
      <c r="F2184" s="36"/>
      <c r="G2184" s="36"/>
      <c r="H2184" s="36"/>
      <c r="I2184" s="40"/>
      <c r="J2184" s="31"/>
      <c r="K2184" s="36"/>
      <c r="M2184" s="37"/>
      <c r="N2184" s="37"/>
      <c r="O2184" s="37"/>
      <c r="P2184" s="36"/>
      <c r="Q2184" s="36"/>
      <c r="R2184" s="31"/>
      <c r="S2184" s="31"/>
      <c r="T2184" s="38"/>
      <c r="U2184" s="39">
        <f>IFERROR(_xlfn.XLOOKUP(E2184,[1]EMPREENDIMENTO!C:C,[1]EMPREENDIMENTO!D:D),"")</f>
        <v>0</v>
      </c>
    </row>
    <row r="2185" spans="1:21" hidden="1" x14ac:dyDescent="0.35">
      <c r="A2185" s="36"/>
      <c r="B2185" s="36"/>
      <c r="C2185" s="36"/>
      <c r="D2185" s="36"/>
      <c r="E2185" s="36"/>
      <c r="F2185" s="36"/>
      <c r="G2185" s="36"/>
      <c r="H2185" s="36"/>
      <c r="I2185" s="40"/>
      <c r="J2185" s="31"/>
      <c r="K2185" s="36"/>
      <c r="M2185" s="37"/>
      <c r="N2185" s="37"/>
      <c r="O2185" s="37"/>
      <c r="P2185" s="36"/>
      <c r="Q2185" s="36"/>
      <c r="R2185" s="31"/>
      <c r="S2185" s="31"/>
      <c r="T2185" s="38"/>
      <c r="U2185" s="39">
        <f>IFERROR(_xlfn.XLOOKUP(E2185,[1]EMPREENDIMENTO!C:C,[1]EMPREENDIMENTO!D:D),"")</f>
        <v>0</v>
      </c>
    </row>
    <row r="2186" spans="1:21" hidden="1" x14ac:dyDescent="0.35">
      <c r="A2186" s="36"/>
      <c r="B2186" s="36"/>
      <c r="C2186" s="36"/>
      <c r="D2186" s="36"/>
      <c r="E2186" s="36"/>
      <c r="F2186" s="36"/>
      <c r="G2186" s="36"/>
      <c r="H2186" s="36"/>
      <c r="I2186" s="40"/>
      <c r="J2186" s="31"/>
      <c r="K2186" s="36"/>
      <c r="M2186" s="37"/>
      <c r="N2186" s="37"/>
      <c r="O2186" s="37"/>
      <c r="P2186" s="36"/>
      <c r="Q2186" s="36"/>
      <c r="R2186" s="31"/>
      <c r="S2186" s="31"/>
      <c r="T2186" s="38"/>
      <c r="U2186" s="39">
        <f>IFERROR(_xlfn.XLOOKUP(E2186,[1]EMPREENDIMENTO!C:C,[1]EMPREENDIMENTO!D:D),"")</f>
        <v>0</v>
      </c>
    </row>
    <row r="2187" spans="1:21" hidden="1" x14ac:dyDescent="0.35">
      <c r="A2187" s="36"/>
      <c r="B2187" s="36"/>
      <c r="C2187" s="36"/>
      <c r="D2187" s="36"/>
      <c r="E2187" s="36"/>
      <c r="F2187" s="36"/>
      <c r="G2187" s="36"/>
      <c r="H2187" s="36"/>
      <c r="I2187" s="40"/>
      <c r="J2187" s="31"/>
      <c r="K2187" s="36"/>
      <c r="M2187" s="37"/>
      <c r="N2187" s="37"/>
      <c r="O2187" s="37"/>
      <c r="P2187" s="36"/>
      <c r="Q2187" s="36"/>
      <c r="R2187" s="31"/>
      <c r="S2187" s="31"/>
      <c r="T2187" s="38"/>
      <c r="U2187" s="39">
        <f>IFERROR(_xlfn.XLOOKUP(E2187,[1]EMPREENDIMENTO!C:C,[1]EMPREENDIMENTO!D:D),"")</f>
        <v>0</v>
      </c>
    </row>
    <row r="2188" spans="1:21" hidden="1" x14ac:dyDescent="0.35">
      <c r="A2188" s="36"/>
      <c r="B2188" s="36"/>
      <c r="C2188" s="36"/>
      <c r="D2188" s="36"/>
      <c r="E2188" s="36"/>
      <c r="F2188" s="36"/>
      <c r="G2188" s="36"/>
      <c r="H2188" s="36"/>
      <c r="I2188" s="40"/>
      <c r="J2188" s="31"/>
      <c r="K2188" s="36"/>
      <c r="M2188" s="37"/>
      <c r="N2188" s="37"/>
      <c r="O2188" s="37"/>
      <c r="P2188" s="36"/>
      <c r="Q2188" s="36"/>
      <c r="R2188" s="31"/>
      <c r="S2188" s="31"/>
      <c r="T2188" s="38"/>
      <c r="U2188" s="39">
        <f>IFERROR(_xlfn.XLOOKUP(E2188,[1]EMPREENDIMENTO!C:C,[1]EMPREENDIMENTO!D:D),"")</f>
        <v>0</v>
      </c>
    </row>
    <row r="2189" spans="1:21" hidden="1" x14ac:dyDescent="0.35">
      <c r="A2189" s="36"/>
      <c r="B2189" s="36"/>
      <c r="C2189" s="36"/>
      <c r="D2189" s="36"/>
      <c r="E2189" s="36"/>
      <c r="F2189" s="36"/>
      <c r="G2189" s="36"/>
      <c r="H2189" s="36"/>
      <c r="I2189" s="40"/>
      <c r="J2189" s="31"/>
      <c r="K2189" s="36"/>
      <c r="M2189" s="37"/>
      <c r="N2189" s="37"/>
      <c r="O2189" s="37"/>
      <c r="P2189" s="36"/>
      <c r="Q2189" s="36"/>
      <c r="R2189" s="31"/>
      <c r="S2189" s="31"/>
      <c r="T2189" s="38"/>
      <c r="U2189" s="39">
        <f>IFERROR(_xlfn.XLOOKUP(E2189,[1]EMPREENDIMENTO!C:C,[1]EMPREENDIMENTO!D:D),"")</f>
        <v>0</v>
      </c>
    </row>
    <row r="2190" spans="1:21" hidden="1" x14ac:dyDescent="0.35">
      <c r="A2190" s="36"/>
      <c r="B2190" s="36"/>
      <c r="C2190" s="36"/>
      <c r="D2190" s="36"/>
      <c r="E2190" s="36"/>
      <c r="F2190" s="36"/>
      <c r="G2190" s="36"/>
      <c r="H2190" s="36"/>
      <c r="I2190" s="40"/>
      <c r="J2190" s="31"/>
      <c r="K2190" s="36"/>
      <c r="M2190" s="37"/>
      <c r="N2190" s="37"/>
      <c r="O2190" s="37"/>
      <c r="P2190" s="36"/>
      <c r="Q2190" s="36"/>
      <c r="R2190" s="31"/>
      <c r="S2190" s="31"/>
      <c r="T2190" s="38"/>
      <c r="U2190" s="39">
        <f>IFERROR(_xlfn.XLOOKUP(E2190,[1]EMPREENDIMENTO!C:C,[1]EMPREENDIMENTO!D:D),"")</f>
        <v>0</v>
      </c>
    </row>
    <row r="2191" spans="1:21" hidden="1" x14ac:dyDescent="0.35">
      <c r="A2191" s="36"/>
      <c r="B2191" s="36"/>
      <c r="C2191" s="36"/>
      <c r="D2191" s="36"/>
      <c r="E2191" s="36"/>
      <c r="F2191" s="36"/>
      <c r="G2191" s="36"/>
      <c r="H2191" s="36"/>
      <c r="I2191" s="40"/>
      <c r="J2191" s="31"/>
      <c r="K2191" s="36"/>
      <c r="M2191" s="37"/>
      <c r="N2191" s="37"/>
      <c r="O2191" s="37"/>
      <c r="P2191" s="36"/>
      <c r="Q2191" s="36"/>
      <c r="R2191" s="31"/>
      <c r="S2191" s="31"/>
      <c r="T2191" s="38"/>
      <c r="U2191" s="39">
        <f>IFERROR(_xlfn.XLOOKUP(E2191,[1]EMPREENDIMENTO!C:C,[1]EMPREENDIMENTO!D:D),"")</f>
        <v>0</v>
      </c>
    </row>
    <row r="2192" spans="1:21" hidden="1" x14ac:dyDescent="0.35">
      <c r="A2192" s="36"/>
      <c r="B2192" s="36"/>
      <c r="C2192" s="36"/>
      <c r="D2192" s="36"/>
      <c r="E2192" s="36"/>
      <c r="F2192" s="36"/>
      <c r="G2192" s="36"/>
      <c r="H2192" s="36"/>
      <c r="I2192" s="40"/>
      <c r="J2192" s="31"/>
      <c r="K2192" s="36"/>
      <c r="M2192" s="37"/>
      <c r="N2192" s="37"/>
      <c r="O2192" s="37"/>
      <c r="P2192" s="36"/>
      <c r="Q2192" s="36"/>
      <c r="R2192" s="31"/>
      <c r="S2192" s="31"/>
      <c r="T2192" s="38"/>
      <c r="U2192" s="39">
        <f>IFERROR(_xlfn.XLOOKUP(E2192,[1]EMPREENDIMENTO!C:C,[1]EMPREENDIMENTO!D:D),"")</f>
        <v>0</v>
      </c>
    </row>
    <row r="2193" spans="1:21" hidden="1" x14ac:dyDescent="0.35">
      <c r="A2193" s="36"/>
      <c r="B2193" s="36"/>
      <c r="C2193" s="36"/>
      <c r="D2193" s="36"/>
      <c r="E2193" s="36"/>
      <c r="F2193" s="36"/>
      <c r="G2193" s="36"/>
      <c r="H2193" s="36"/>
      <c r="I2193" s="40"/>
      <c r="J2193" s="31"/>
      <c r="K2193" s="36"/>
      <c r="M2193" s="37"/>
      <c r="N2193" s="37"/>
      <c r="O2193" s="37"/>
      <c r="P2193" s="36"/>
      <c r="Q2193" s="36"/>
      <c r="R2193" s="31"/>
      <c r="S2193" s="31"/>
      <c r="T2193" s="38"/>
      <c r="U2193" s="39">
        <f>IFERROR(_xlfn.XLOOKUP(E2193,[1]EMPREENDIMENTO!C:C,[1]EMPREENDIMENTO!D:D),"")</f>
        <v>0</v>
      </c>
    </row>
    <row r="2194" spans="1:21" hidden="1" x14ac:dyDescent="0.35">
      <c r="A2194" s="36"/>
      <c r="B2194" s="36"/>
      <c r="C2194" s="36"/>
      <c r="D2194" s="36"/>
      <c r="E2194" s="36"/>
      <c r="F2194" s="36"/>
      <c r="G2194" s="36"/>
      <c r="H2194" s="36"/>
      <c r="I2194" s="40"/>
      <c r="J2194" s="31"/>
      <c r="K2194" s="36"/>
      <c r="M2194" s="37"/>
      <c r="N2194" s="37"/>
      <c r="O2194" s="37"/>
      <c r="P2194" s="36"/>
      <c r="Q2194" s="36"/>
      <c r="R2194" s="31"/>
      <c r="S2194" s="31"/>
      <c r="T2194" s="38"/>
      <c r="U2194" s="39">
        <f>IFERROR(_xlfn.XLOOKUP(E2194,[1]EMPREENDIMENTO!C:C,[1]EMPREENDIMENTO!D:D),"")</f>
        <v>0</v>
      </c>
    </row>
    <row r="2195" spans="1:21" hidden="1" x14ac:dyDescent="0.35">
      <c r="A2195" s="36"/>
      <c r="B2195" s="36"/>
      <c r="C2195" s="36"/>
      <c r="D2195" s="36"/>
      <c r="E2195" s="36"/>
      <c r="F2195" s="36"/>
      <c r="G2195" s="36"/>
      <c r="H2195" s="36"/>
      <c r="I2195" s="40"/>
      <c r="J2195" s="31"/>
      <c r="K2195" s="36"/>
      <c r="M2195" s="37"/>
      <c r="N2195" s="37"/>
      <c r="O2195" s="37"/>
      <c r="P2195" s="36"/>
      <c r="Q2195" s="36"/>
      <c r="R2195" s="31"/>
      <c r="S2195" s="31"/>
      <c r="T2195" s="38"/>
      <c r="U2195" s="39">
        <f>IFERROR(_xlfn.XLOOKUP(E2195,[1]EMPREENDIMENTO!C:C,[1]EMPREENDIMENTO!D:D),"")</f>
        <v>0</v>
      </c>
    </row>
    <row r="2196" spans="1:21" hidden="1" x14ac:dyDescent="0.35">
      <c r="A2196" s="36"/>
      <c r="B2196" s="36"/>
      <c r="C2196" s="36"/>
      <c r="D2196" s="36"/>
      <c r="E2196" s="36"/>
      <c r="F2196" s="36"/>
      <c r="G2196" s="36"/>
      <c r="H2196" s="36"/>
      <c r="I2196" s="40"/>
      <c r="J2196" s="31"/>
      <c r="K2196" s="36"/>
      <c r="M2196" s="37"/>
      <c r="N2196" s="37"/>
      <c r="O2196" s="37"/>
      <c r="P2196" s="36"/>
      <c r="Q2196" s="36"/>
      <c r="R2196" s="31"/>
      <c r="S2196" s="31"/>
      <c r="T2196" s="38"/>
      <c r="U2196" s="39">
        <f>IFERROR(_xlfn.XLOOKUP(E2196,[1]EMPREENDIMENTO!C:C,[1]EMPREENDIMENTO!D:D),"")</f>
        <v>0</v>
      </c>
    </row>
    <row r="2197" spans="1:21" hidden="1" x14ac:dyDescent="0.35">
      <c r="A2197" s="36"/>
      <c r="B2197" s="36"/>
      <c r="C2197" s="36"/>
      <c r="D2197" s="36"/>
      <c r="E2197" s="36"/>
      <c r="F2197" s="36"/>
      <c r="G2197" s="36"/>
      <c r="H2197" s="36"/>
      <c r="I2197" s="40"/>
      <c r="J2197" s="31"/>
      <c r="K2197" s="36"/>
      <c r="M2197" s="37"/>
      <c r="N2197" s="37"/>
      <c r="O2197" s="37"/>
      <c r="P2197" s="36"/>
      <c r="Q2197" s="36"/>
      <c r="R2197" s="31"/>
      <c r="S2197" s="31"/>
      <c r="T2197" s="38"/>
      <c r="U2197" s="39">
        <f>IFERROR(_xlfn.XLOOKUP(E2197,[1]EMPREENDIMENTO!C:C,[1]EMPREENDIMENTO!D:D),"")</f>
        <v>0</v>
      </c>
    </row>
    <row r="2198" spans="1:21" hidden="1" x14ac:dyDescent="0.35">
      <c r="A2198" s="36"/>
      <c r="B2198" s="36"/>
      <c r="C2198" s="36"/>
      <c r="D2198" s="36"/>
      <c r="E2198" s="36"/>
      <c r="F2198" s="36"/>
      <c r="G2198" s="36"/>
      <c r="H2198" s="36"/>
      <c r="I2198" s="40"/>
      <c r="J2198" s="31"/>
      <c r="K2198" s="36"/>
      <c r="M2198" s="37"/>
      <c r="N2198" s="37"/>
      <c r="O2198" s="37"/>
      <c r="P2198" s="36"/>
      <c r="Q2198" s="36"/>
      <c r="R2198" s="31"/>
      <c r="S2198" s="31"/>
      <c r="T2198" s="38"/>
      <c r="U2198" s="39">
        <f>IFERROR(_xlfn.XLOOKUP(E2198,[1]EMPREENDIMENTO!C:C,[1]EMPREENDIMENTO!D:D),"")</f>
        <v>0</v>
      </c>
    </row>
    <row r="2199" spans="1:21" hidden="1" x14ac:dyDescent="0.35">
      <c r="A2199" s="36"/>
      <c r="B2199" s="36"/>
      <c r="C2199" s="36"/>
      <c r="D2199" s="36"/>
      <c r="E2199" s="36"/>
      <c r="F2199" s="36"/>
      <c r="G2199" s="36"/>
      <c r="H2199" s="36"/>
      <c r="I2199" s="40"/>
      <c r="J2199" s="31"/>
      <c r="K2199" s="36"/>
      <c r="M2199" s="37"/>
      <c r="N2199" s="37"/>
      <c r="O2199" s="37"/>
      <c r="P2199" s="36"/>
      <c r="Q2199" s="36"/>
      <c r="R2199" s="31"/>
      <c r="S2199" s="31"/>
      <c r="T2199" s="38"/>
      <c r="U2199" s="39">
        <f>IFERROR(_xlfn.XLOOKUP(E2199,[1]EMPREENDIMENTO!C:C,[1]EMPREENDIMENTO!D:D),"")</f>
        <v>0</v>
      </c>
    </row>
    <row r="2200" spans="1:21" hidden="1" x14ac:dyDescent="0.35">
      <c r="A2200" s="36"/>
      <c r="B2200" s="36"/>
      <c r="C2200" s="36"/>
      <c r="D2200" s="36"/>
      <c r="E2200" s="36"/>
      <c r="F2200" s="36"/>
      <c r="G2200" s="36"/>
      <c r="H2200" s="36"/>
      <c r="I2200" s="40"/>
      <c r="J2200" s="31"/>
      <c r="K2200" s="36"/>
      <c r="M2200" s="37"/>
      <c r="N2200" s="37"/>
      <c r="O2200" s="37"/>
      <c r="P2200" s="36"/>
      <c r="Q2200" s="36"/>
      <c r="R2200" s="31"/>
      <c r="S2200" s="31"/>
      <c r="T2200" s="38"/>
      <c r="U2200" s="39">
        <f>IFERROR(_xlfn.XLOOKUP(E2200,[1]EMPREENDIMENTO!C:C,[1]EMPREENDIMENTO!D:D),"")</f>
        <v>0</v>
      </c>
    </row>
    <row r="2201" spans="1:21" hidden="1" x14ac:dyDescent="0.35">
      <c r="A2201" s="36"/>
      <c r="B2201" s="36"/>
      <c r="C2201" s="36"/>
      <c r="D2201" s="36"/>
      <c r="E2201" s="36"/>
      <c r="F2201" s="36"/>
      <c r="G2201" s="36"/>
      <c r="H2201" s="36"/>
      <c r="I2201" s="40"/>
      <c r="J2201" s="31"/>
      <c r="K2201" s="36"/>
      <c r="M2201" s="37"/>
      <c r="N2201" s="37"/>
      <c r="O2201" s="37"/>
      <c r="P2201" s="36"/>
      <c r="Q2201" s="36"/>
      <c r="R2201" s="31"/>
      <c r="S2201" s="31"/>
      <c r="T2201" s="38"/>
      <c r="U2201" s="39">
        <f>IFERROR(_xlfn.XLOOKUP(E2201,[1]EMPREENDIMENTO!C:C,[1]EMPREENDIMENTO!D:D),"")</f>
        <v>0</v>
      </c>
    </row>
    <row r="2202" spans="1:21" hidden="1" x14ac:dyDescent="0.35">
      <c r="A2202" s="36"/>
      <c r="B2202" s="36"/>
      <c r="C2202" s="36"/>
      <c r="D2202" s="36"/>
      <c r="E2202" s="36"/>
      <c r="F2202" s="36"/>
      <c r="G2202" s="36"/>
      <c r="H2202" s="36"/>
      <c r="I2202" s="40"/>
      <c r="J2202" s="31"/>
      <c r="K2202" s="36"/>
      <c r="M2202" s="37"/>
      <c r="N2202" s="37"/>
      <c r="O2202" s="37"/>
      <c r="P2202" s="36"/>
      <c r="Q2202" s="36"/>
      <c r="R2202" s="31"/>
      <c r="S2202" s="31"/>
      <c r="T2202" s="38"/>
      <c r="U2202" s="39">
        <f>IFERROR(_xlfn.XLOOKUP(E2202,[1]EMPREENDIMENTO!C:C,[1]EMPREENDIMENTO!D:D),"")</f>
        <v>0</v>
      </c>
    </row>
    <row r="2203" spans="1:21" hidden="1" x14ac:dyDescent="0.35">
      <c r="A2203" s="36"/>
      <c r="B2203" s="36"/>
      <c r="C2203" s="36"/>
      <c r="D2203" s="36"/>
      <c r="E2203" s="36"/>
      <c r="F2203" s="36"/>
      <c r="G2203" s="36"/>
      <c r="H2203" s="36"/>
      <c r="I2203" s="40"/>
      <c r="J2203" s="31"/>
      <c r="K2203" s="36"/>
      <c r="M2203" s="37"/>
      <c r="N2203" s="37"/>
      <c r="O2203" s="37"/>
      <c r="P2203" s="36"/>
      <c r="Q2203" s="36"/>
      <c r="R2203" s="31"/>
      <c r="S2203" s="31"/>
      <c r="T2203" s="38"/>
      <c r="U2203" s="39">
        <f>IFERROR(_xlfn.XLOOKUP(E2203,[1]EMPREENDIMENTO!C:C,[1]EMPREENDIMENTO!D:D),"")</f>
        <v>0</v>
      </c>
    </row>
    <row r="2204" spans="1:21" hidden="1" x14ac:dyDescent="0.35">
      <c r="A2204" s="36"/>
      <c r="B2204" s="36"/>
      <c r="C2204" s="36"/>
      <c r="D2204" s="36"/>
      <c r="E2204" s="36"/>
      <c r="F2204" s="36"/>
      <c r="G2204" s="36"/>
      <c r="H2204" s="36"/>
      <c r="I2204" s="40"/>
      <c r="J2204" s="31"/>
      <c r="K2204" s="36"/>
      <c r="M2204" s="37"/>
      <c r="N2204" s="37"/>
      <c r="O2204" s="37"/>
      <c r="P2204" s="36"/>
      <c r="Q2204" s="36"/>
      <c r="R2204" s="31"/>
      <c r="S2204" s="31"/>
      <c r="T2204" s="38"/>
      <c r="U2204" s="39">
        <f>IFERROR(_xlfn.XLOOKUP(E2204,[1]EMPREENDIMENTO!C:C,[1]EMPREENDIMENTO!D:D),"")</f>
        <v>0</v>
      </c>
    </row>
    <row r="2205" spans="1:21" hidden="1" x14ac:dyDescent="0.35">
      <c r="A2205" s="36"/>
      <c r="B2205" s="36"/>
      <c r="C2205" s="36"/>
      <c r="D2205" s="36"/>
      <c r="E2205" s="36"/>
      <c r="F2205" s="36"/>
      <c r="G2205" s="36"/>
      <c r="H2205" s="36"/>
      <c r="I2205" s="40"/>
      <c r="J2205" s="31"/>
      <c r="K2205" s="36"/>
      <c r="M2205" s="37"/>
      <c r="N2205" s="37"/>
      <c r="O2205" s="37"/>
      <c r="P2205" s="36"/>
      <c r="Q2205" s="36"/>
      <c r="R2205" s="31"/>
      <c r="S2205" s="31"/>
      <c r="T2205" s="38"/>
      <c r="U2205" s="39">
        <f>IFERROR(_xlfn.XLOOKUP(E2205,[1]EMPREENDIMENTO!C:C,[1]EMPREENDIMENTO!D:D),"")</f>
        <v>0</v>
      </c>
    </row>
    <row r="2206" spans="1:21" hidden="1" x14ac:dyDescent="0.35">
      <c r="A2206" s="36"/>
      <c r="B2206" s="36"/>
      <c r="C2206" s="36"/>
      <c r="D2206" s="36"/>
      <c r="E2206" s="36"/>
      <c r="F2206" s="36"/>
      <c r="G2206" s="36"/>
      <c r="H2206" s="36"/>
      <c r="I2206" s="40"/>
      <c r="J2206" s="31"/>
      <c r="K2206" s="36"/>
      <c r="M2206" s="37"/>
      <c r="N2206" s="37"/>
      <c r="O2206" s="37"/>
      <c r="P2206" s="36"/>
      <c r="Q2206" s="36"/>
      <c r="R2206" s="31"/>
      <c r="S2206" s="31"/>
      <c r="T2206" s="38"/>
      <c r="U2206" s="39">
        <f>IFERROR(_xlfn.XLOOKUP(E2206,[1]EMPREENDIMENTO!C:C,[1]EMPREENDIMENTO!D:D),"")</f>
        <v>0</v>
      </c>
    </row>
    <row r="2207" spans="1:21" hidden="1" x14ac:dyDescent="0.35">
      <c r="A2207" s="36"/>
      <c r="B2207" s="36"/>
      <c r="C2207" s="36"/>
      <c r="D2207" s="36"/>
      <c r="E2207" s="36"/>
      <c r="F2207" s="36"/>
      <c r="G2207" s="36"/>
      <c r="H2207" s="36"/>
      <c r="I2207" s="40"/>
      <c r="J2207" s="31"/>
      <c r="K2207" s="36"/>
      <c r="M2207" s="37"/>
      <c r="N2207" s="37"/>
      <c r="O2207" s="37"/>
      <c r="P2207" s="36"/>
      <c r="Q2207" s="36"/>
      <c r="R2207" s="31"/>
      <c r="S2207" s="31"/>
      <c r="T2207" s="38"/>
      <c r="U2207" s="39">
        <f>IFERROR(_xlfn.XLOOKUP(E2207,[1]EMPREENDIMENTO!C:C,[1]EMPREENDIMENTO!D:D),"")</f>
        <v>0</v>
      </c>
    </row>
    <row r="2208" spans="1:21" hidden="1" x14ac:dyDescent="0.35">
      <c r="A2208" s="36"/>
      <c r="B2208" s="36"/>
      <c r="C2208" s="36"/>
      <c r="D2208" s="36"/>
      <c r="E2208" s="36"/>
      <c r="F2208" s="36"/>
      <c r="G2208" s="36"/>
      <c r="H2208" s="36"/>
      <c r="I2208" s="40"/>
      <c r="J2208" s="31"/>
      <c r="K2208" s="36"/>
      <c r="M2208" s="37"/>
      <c r="N2208" s="37"/>
      <c r="O2208" s="37"/>
      <c r="P2208" s="36"/>
      <c r="Q2208" s="36"/>
      <c r="R2208" s="31"/>
      <c r="S2208" s="31"/>
      <c r="T2208" s="38"/>
      <c r="U2208" s="39">
        <f>IFERROR(_xlfn.XLOOKUP(E2208,[1]EMPREENDIMENTO!C:C,[1]EMPREENDIMENTO!D:D),"")</f>
        <v>0</v>
      </c>
    </row>
    <row r="2209" spans="1:21" hidden="1" x14ac:dyDescent="0.35">
      <c r="A2209" s="36"/>
      <c r="B2209" s="36"/>
      <c r="C2209" s="36"/>
      <c r="D2209" s="36"/>
      <c r="E2209" s="36"/>
      <c r="F2209" s="36"/>
      <c r="G2209" s="36"/>
      <c r="H2209" s="36"/>
      <c r="I2209" s="40"/>
      <c r="J2209" s="31"/>
      <c r="K2209" s="36"/>
      <c r="M2209" s="37"/>
      <c r="N2209" s="37"/>
      <c r="O2209" s="37"/>
      <c r="P2209" s="36"/>
      <c r="Q2209" s="36"/>
      <c r="R2209" s="31"/>
      <c r="S2209" s="31"/>
      <c r="T2209" s="38"/>
      <c r="U2209" s="39">
        <f>IFERROR(_xlfn.XLOOKUP(E2209,[1]EMPREENDIMENTO!C:C,[1]EMPREENDIMENTO!D:D),"")</f>
        <v>0</v>
      </c>
    </row>
    <row r="2210" spans="1:21" hidden="1" x14ac:dyDescent="0.35">
      <c r="A2210" s="36"/>
      <c r="B2210" s="36"/>
      <c r="C2210" s="36"/>
      <c r="D2210" s="36"/>
      <c r="E2210" s="36"/>
      <c r="F2210" s="36"/>
      <c r="G2210" s="36"/>
      <c r="H2210" s="36"/>
      <c r="I2210" s="40"/>
      <c r="J2210" s="31"/>
      <c r="K2210" s="36"/>
      <c r="M2210" s="37"/>
      <c r="N2210" s="37"/>
      <c r="O2210" s="37"/>
      <c r="P2210" s="36"/>
      <c r="Q2210" s="36"/>
      <c r="R2210" s="31"/>
      <c r="S2210" s="31"/>
      <c r="T2210" s="38"/>
      <c r="U2210" s="39">
        <f>IFERROR(_xlfn.XLOOKUP(E2210,[1]EMPREENDIMENTO!C:C,[1]EMPREENDIMENTO!D:D),"")</f>
        <v>0</v>
      </c>
    </row>
    <row r="2211" spans="1:21" hidden="1" x14ac:dyDescent="0.35">
      <c r="A2211" s="36"/>
      <c r="B2211" s="36"/>
      <c r="C2211" s="36"/>
      <c r="D2211" s="36"/>
      <c r="E2211" s="36"/>
      <c r="F2211" s="36"/>
      <c r="G2211" s="36"/>
      <c r="H2211" s="36"/>
      <c r="I2211" s="40"/>
      <c r="J2211" s="31"/>
      <c r="K2211" s="36"/>
      <c r="M2211" s="37"/>
      <c r="N2211" s="37"/>
      <c r="O2211" s="37"/>
      <c r="P2211" s="36"/>
      <c r="Q2211" s="36"/>
      <c r="R2211" s="31"/>
      <c r="S2211" s="31"/>
      <c r="T2211" s="38"/>
      <c r="U2211" s="39">
        <f>IFERROR(_xlfn.XLOOKUP(E2211,[1]EMPREENDIMENTO!C:C,[1]EMPREENDIMENTO!D:D),"")</f>
        <v>0</v>
      </c>
    </row>
    <row r="2212" spans="1:21" hidden="1" x14ac:dyDescent="0.35">
      <c r="A2212" s="36"/>
      <c r="B2212" s="36"/>
      <c r="C2212" s="36"/>
      <c r="D2212" s="36"/>
      <c r="E2212" s="36"/>
      <c r="F2212" s="36"/>
      <c r="G2212" s="36"/>
      <c r="H2212" s="36"/>
      <c r="I2212" s="40"/>
      <c r="J2212" s="31"/>
      <c r="K2212" s="36"/>
      <c r="M2212" s="37"/>
      <c r="N2212" s="37"/>
      <c r="O2212" s="37"/>
      <c r="P2212" s="36"/>
      <c r="Q2212" s="36"/>
      <c r="R2212" s="31"/>
      <c r="S2212" s="31"/>
      <c r="T2212" s="38"/>
      <c r="U2212" s="39">
        <f>IFERROR(_xlfn.XLOOKUP(E2212,[1]EMPREENDIMENTO!C:C,[1]EMPREENDIMENTO!D:D),"")</f>
        <v>0</v>
      </c>
    </row>
    <row r="2213" spans="1:21" hidden="1" x14ac:dyDescent="0.35">
      <c r="A2213" s="36"/>
      <c r="B2213" s="36"/>
      <c r="C2213" s="36"/>
      <c r="D2213" s="36"/>
      <c r="E2213" s="36"/>
      <c r="F2213" s="36"/>
      <c r="G2213" s="36"/>
      <c r="H2213" s="36"/>
      <c r="I2213" s="40"/>
      <c r="J2213" s="31"/>
      <c r="K2213" s="36"/>
      <c r="M2213" s="37"/>
      <c r="N2213" s="37"/>
      <c r="O2213" s="37"/>
      <c r="P2213" s="36"/>
      <c r="Q2213" s="36"/>
      <c r="R2213" s="31"/>
      <c r="S2213" s="31"/>
      <c r="T2213" s="38"/>
      <c r="U2213" s="39">
        <f>IFERROR(_xlfn.XLOOKUP(E2213,[1]EMPREENDIMENTO!C:C,[1]EMPREENDIMENTO!D:D),"")</f>
        <v>0</v>
      </c>
    </row>
    <row r="2214" spans="1:21" hidden="1" x14ac:dyDescent="0.35">
      <c r="A2214" s="36"/>
      <c r="B2214" s="36"/>
      <c r="C2214" s="36"/>
      <c r="D2214" s="36"/>
      <c r="E2214" s="36"/>
      <c r="F2214" s="36"/>
      <c r="G2214" s="36"/>
      <c r="H2214" s="36"/>
      <c r="I2214" s="40"/>
      <c r="J2214" s="31"/>
      <c r="K2214" s="36"/>
      <c r="M2214" s="37"/>
      <c r="N2214" s="37"/>
      <c r="O2214" s="37"/>
      <c r="P2214" s="36"/>
      <c r="Q2214" s="36"/>
      <c r="R2214" s="31"/>
      <c r="S2214" s="31"/>
      <c r="T2214" s="38"/>
      <c r="U2214" s="39">
        <f>IFERROR(_xlfn.XLOOKUP(E2214,[1]EMPREENDIMENTO!C:C,[1]EMPREENDIMENTO!D:D),"")</f>
        <v>0</v>
      </c>
    </row>
    <row r="2215" spans="1:21" hidden="1" x14ac:dyDescent="0.35">
      <c r="A2215" s="36"/>
      <c r="B2215" s="36"/>
      <c r="C2215" s="36"/>
      <c r="D2215" s="36"/>
      <c r="E2215" s="36"/>
      <c r="F2215" s="36"/>
      <c r="G2215" s="36"/>
      <c r="H2215" s="36"/>
      <c r="I2215" s="40"/>
      <c r="J2215" s="31"/>
      <c r="K2215" s="36"/>
      <c r="M2215" s="37"/>
      <c r="N2215" s="37"/>
      <c r="O2215" s="37"/>
      <c r="P2215" s="36"/>
      <c r="Q2215" s="36"/>
      <c r="R2215" s="31"/>
      <c r="S2215" s="31"/>
      <c r="T2215" s="38"/>
      <c r="U2215" s="39">
        <f>IFERROR(_xlfn.XLOOKUP(E2215,[1]EMPREENDIMENTO!C:C,[1]EMPREENDIMENTO!D:D),"")</f>
        <v>0</v>
      </c>
    </row>
    <row r="2216" spans="1:21" hidden="1" x14ac:dyDescent="0.35">
      <c r="A2216" s="36"/>
      <c r="B2216" s="36"/>
      <c r="C2216" s="36"/>
      <c r="D2216" s="36"/>
      <c r="E2216" s="36"/>
      <c r="F2216" s="36"/>
      <c r="G2216" s="36"/>
      <c r="H2216" s="36"/>
      <c r="I2216" s="40"/>
      <c r="J2216" s="31"/>
      <c r="K2216" s="36"/>
      <c r="M2216" s="37"/>
      <c r="N2216" s="37"/>
      <c r="O2216" s="37"/>
      <c r="P2216" s="36"/>
      <c r="Q2216" s="36"/>
      <c r="R2216" s="31"/>
      <c r="S2216" s="31"/>
      <c r="T2216" s="38"/>
      <c r="U2216" s="39">
        <f>IFERROR(_xlfn.XLOOKUP(E2216,[1]EMPREENDIMENTO!C:C,[1]EMPREENDIMENTO!D:D),"")</f>
        <v>0</v>
      </c>
    </row>
    <row r="2217" spans="1:21" hidden="1" x14ac:dyDescent="0.35">
      <c r="A2217" s="36"/>
      <c r="B2217" s="36"/>
      <c r="C2217" s="36"/>
      <c r="D2217" s="36"/>
      <c r="E2217" s="36"/>
      <c r="F2217" s="36"/>
      <c r="G2217" s="36"/>
      <c r="H2217" s="36"/>
      <c r="I2217" s="40"/>
      <c r="J2217" s="31"/>
      <c r="K2217" s="36"/>
      <c r="M2217" s="37"/>
      <c r="N2217" s="37"/>
      <c r="O2217" s="37"/>
      <c r="P2217" s="36"/>
      <c r="Q2217" s="36"/>
      <c r="R2217" s="31"/>
      <c r="S2217" s="31"/>
      <c r="T2217" s="38"/>
      <c r="U2217" s="39">
        <f>IFERROR(_xlfn.XLOOKUP(E2217,[1]EMPREENDIMENTO!C:C,[1]EMPREENDIMENTO!D:D),"")</f>
        <v>0</v>
      </c>
    </row>
    <row r="2218" spans="1:21" hidden="1" x14ac:dyDescent="0.35">
      <c r="A2218" s="36"/>
      <c r="B2218" s="36"/>
      <c r="C2218" s="36"/>
      <c r="D2218" s="36"/>
      <c r="E2218" s="36"/>
      <c r="F2218" s="36"/>
      <c r="G2218" s="36"/>
      <c r="H2218" s="36"/>
      <c r="I2218" s="40"/>
      <c r="J2218" s="31"/>
      <c r="K2218" s="36"/>
      <c r="M2218" s="37"/>
      <c r="N2218" s="37"/>
      <c r="O2218" s="37"/>
      <c r="P2218" s="36"/>
      <c r="Q2218" s="36"/>
      <c r="R2218" s="31"/>
      <c r="S2218" s="31"/>
      <c r="T2218" s="38"/>
      <c r="U2218" s="39">
        <f>IFERROR(_xlfn.XLOOKUP(E2218,[1]EMPREENDIMENTO!C:C,[1]EMPREENDIMENTO!D:D),"")</f>
        <v>0</v>
      </c>
    </row>
    <row r="2219" spans="1:21" hidden="1" x14ac:dyDescent="0.35">
      <c r="A2219" s="36"/>
      <c r="B2219" s="36"/>
      <c r="C2219" s="36"/>
      <c r="D2219" s="36"/>
      <c r="E2219" s="36"/>
      <c r="F2219" s="36"/>
      <c r="G2219" s="36"/>
      <c r="H2219" s="36"/>
      <c r="I2219" s="40"/>
      <c r="J2219" s="31"/>
      <c r="K2219" s="36"/>
      <c r="M2219" s="37"/>
      <c r="N2219" s="37"/>
      <c r="O2219" s="37"/>
      <c r="P2219" s="36"/>
      <c r="Q2219" s="36"/>
      <c r="R2219" s="31"/>
      <c r="S2219" s="31"/>
      <c r="T2219" s="38"/>
      <c r="U2219" s="39">
        <f>IFERROR(_xlfn.XLOOKUP(E2219,[1]EMPREENDIMENTO!C:C,[1]EMPREENDIMENTO!D:D),"")</f>
        <v>0</v>
      </c>
    </row>
    <row r="2220" spans="1:21" hidden="1" x14ac:dyDescent="0.35">
      <c r="A2220" s="36"/>
      <c r="B2220" s="36"/>
      <c r="C2220" s="36"/>
      <c r="D2220" s="36"/>
      <c r="E2220" s="36"/>
      <c r="F2220" s="36"/>
      <c r="G2220" s="36"/>
      <c r="H2220" s="36"/>
      <c r="I2220" s="40"/>
      <c r="J2220" s="31"/>
      <c r="K2220" s="36"/>
      <c r="M2220" s="37"/>
      <c r="N2220" s="37"/>
      <c r="O2220" s="37"/>
      <c r="P2220" s="36"/>
      <c r="Q2220" s="36"/>
      <c r="R2220" s="31"/>
      <c r="S2220" s="31"/>
      <c r="T2220" s="38"/>
      <c r="U2220" s="39">
        <f>IFERROR(_xlfn.XLOOKUP(E2220,[1]EMPREENDIMENTO!C:C,[1]EMPREENDIMENTO!D:D),"")</f>
        <v>0</v>
      </c>
    </row>
    <row r="2221" spans="1:21" hidden="1" x14ac:dyDescent="0.35">
      <c r="A2221" s="36"/>
      <c r="B2221" s="36"/>
      <c r="C2221" s="36"/>
      <c r="D2221" s="36"/>
      <c r="E2221" s="36"/>
      <c r="F2221" s="36"/>
      <c r="G2221" s="36"/>
      <c r="H2221" s="36"/>
      <c r="I2221" s="40"/>
      <c r="J2221" s="31"/>
      <c r="K2221" s="36"/>
      <c r="M2221" s="37"/>
      <c r="N2221" s="37"/>
      <c r="O2221" s="37"/>
      <c r="P2221" s="36"/>
      <c r="Q2221" s="36"/>
      <c r="R2221" s="31"/>
      <c r="S2221" s="31"/>
      <c r="T2221" s="38"/>
      <c r="U2221" s="39">
        <f>IFERROR(_xlfn.XLOOKUP(E2221,[1]EMPREENDIMENTO!C:C,[1]EMPREENDIMENTO!D:D),"")</f>
        <v>0</v>
      </c>
    </row>
    <row r="2222" spans="1:21" hidden="1" x14ac:dyDescent="0.35">
      <c r="A2222" s="36"/>
      <c r="B2222" s="36"/>
      <c r="C2222" s="36"/>
      <c r="D2222" s="36"/>
      <c r="E2222" s="36"/>
      <c r="F2222" s="36"/>
      <c r="G2222" s="36"/>
      <c r="H2222" s="36"/>
      <c r="I2222" s="40"/>
      <c r="J2222" s="31"/>
      <c r="K2222" s="36"/>
      <c r="M2222" s="37"/>
      <c r="N2222" s="37"/>
      <c r="O2222" s="37"/>
      <c r="P2222" s="36"/>
      <c r="Q2222" s="36"/>
      <c r="R2222" s="31"/>
      <c r="S2222" s="31"/>
      <c r="T2222" s="38"/>
      <c r="U2222" s="39">
        <f>IFERROR(_xlfn.XLOOKUP(E2222,[1]EMPREENDIMENTO!C:C,[1]EMPREENDIMENTO!D:D),"")</f>
        <v>0</v>
      </c>
    </row>
    <row r="2223" spans="1:21" hidden="1" x14ac:dyDescent="0.35">
      <c r="A2223" s="36"/>
      <c r="B2223" s="36"/>
      <c r="C2223" s="36"/>
      <c r="D2223" s="36"/>
      <c r="E2223" s="36"/>
      <c r="F2223" s="36"/>
      <c r="G2223" s="36"/>
      <c r="H2223" s="36"/>
      <c r="I2223" s="40"/>
      <c r="J2223" s="31"/>
      <c r="K2223" s="36"/>
      <c r="M2223" s="37"/>
      <c r="N2223" s="37"/>
      <c r="O2223" s="37"/>
      <c r="P2223" s="36"/>
      <c r="Q2223" s="36"/>
      <c r="R2223" s="31"/>
      <c r="S2223" s="31"/>
      <c r="T2223" s="38"/>
      <c r="U2223" s="39">
        <f>IFERROR(_xlfn.XLOOKUP(E2223,[1]EMPREENDIMENTO!C:C,[1]EMPREENDIMENTO!D:D),"")</f>
        <v>0</v>
      </c>
    </row>
    <row r="2224" spans="1:21" hidden="1" x14ac:dyDescent="0.35">
      <c r="A2224" s="36"/>
      <c r="B2224" s="36"/>
      <c r="C2224" s="36"/>
      <c r="D2224" s="36"/>
      <c r="E2224" s="36"/>
      <c r="F2224" s="36"/>
      <c r="G2224" s="36"/>
      <c r="H2224" s="36"/>
      <c r="I2224" s="40"/>
      <c r="J2224" s="31"/>
      <c r="K2224" s="36"/>
      <c r="M2224" s="37"/>
      <c r="N2224" s="37"/>
      <c r="O2224" s="37"/>
      <c r="P2224" s="36"/>
      <c r="Q2224" s="36"/>
      <c r="R2224" s="31"/>
      <c r="S2224" s="31"/>
      <c r="T2224" s="38"/>
      <c r="U2224" s="39">
        <f>IFERROR(_xlfn.XLOOKUP(E2224,[1]EMPREENDIMENTO!C:C,[1]EMPREENDIMENTO!D:D),"")</f>
        <v>0</v>
      </c>
    </row>
    <row r="2225" spans="1:21" hidden="1" x14ac:dyDescent="0.35">
      <c r="A2225" s="36"/>
      <c r="B2225" s="36"/>
      <c r="C2225" s="36"/>
      <c r="D2225" s="36"/>
      <c r="E2225" s="36"/>
      <c r="F2225" s="36"/>
      <c r="G2225" s="36"/>
      <c r="H2225" s="36"/>
      <c r="I2225" s="40"/>
      <c r="J2225" s="31"/>
      <c r="K2225" s="36"/>
      <c r="M2225" s="37"/>
      <c r="N2225" s="37"/>
      <c r="O2225" s="37"/>
      <c r="P2225" s="36"/>
      <c r="Q2225" s="36"/>
      <c r="R2225" s="31"/>
      <c r="S2225" s="31"/>
      <c r="T2225" s="38"/>
      <c r="U2225" s="39">
        <f>IFERROR(_xlfn.XLOOKUP(E2225,[1]EMPREENDIMENTO!C:C,[1]EMPREENDIMENTO!D:D),"")</f>
        <v>0</v>
      </c>
    </row>
    <row r="2226" spans="1:21" hidden="1" x14ac:dyDescent="0.35">
      <c r="A2226" s="36"/>
      <c r="B2226" s="36"/>
      <c r="C2226" s="36"/>
      <c r="D2226" s="36"/>
      <c r="E2226" s="36"/>
      <c r="F2226" s="36"/>
      <c r="G2226" s="36"/>
      <c r="H2226" s="36"/>
      <c r="I2226" s="40"/>
      <c r="J2226" s="31"/>
      <c r="K2226" s="36"/>
      <c r="M2226" s="37"/>
      <c r="N2226" s="37"/>
      <c r="O2226" s="37"/>
      <c r="P2226" s="36"/>
      <c r="Q2226" s="36"/>
      <c r="R2226" s="31"/>
      <c r="S2226" s="31"/>
      <c r="T2226" s="38"/>
      <c r="U2226" s="39">
        <f>IFERROR(_xlfn.XLOOKUP(E2226,[1]EMPREENDIMENTO!C:C,[1]EMPREENDIMENTO!D:D),"")</f>
        <v>0</v>
      </c>
    </row>
    <row r="2227" spans="1:21" hidden="1" x14ac:dyDescent="0.35">
      <c r="A2227" s="36"/>
      <c r="B2227" s="36"/>
      <c r="C2227" s="36"/>
      <c r="D2227" s="36"/>
      <c r="E2227" s="36"/>
      <c r="F2227" s="36"/>
      <c r="G2227" s="36"/>
      <c r="H2227" s="36"/>
      <c r="I2227" s="40"/>
      <c r="J2227" s="31"/>
      <c r="K2227" s="36"/>
      <c r="M2227" s="37"/>
      <c r="N2227" s="37"/>
      <c r="O2227" s="37"/>
      <c r="P2227" s="36"/>
      <c r="Q2227" s="36"/>
      <c r="R2227" s="31"/>
      <c r="S2227" s="31"/>
      <c r="T2227" s="38"/>
      <c r="U2227" s="39">
        <f>IFERROR(_xlfn.XLOOKUP(E2227,[1]EMPREENDIMENTO!C:C,[1]EMPREENDIMENTO!D:D),"")</f>
        <v>0</v>
      </c>
    </row>
    <row r="2228" spans="1:21" hidden="1" x14ac:dyDescent="0.35">
      <c r="A2228" s="36"/>
      <c r="B2228" s="36"/>
      <c r="C2228" s="36"/>
      <c r="D2228" s="36"/>
      <c r="E2228" s="36"/>
      <c r="F2228" s="36"/>
      <c r="G2228" s="36"/>
      <c r="H2228" s="36"/>
      <c r="I2228" s="40"/>
      <c r="J2228" s="31"/>
      <c r="K2228" s="36"/>
      <c r="M2228" s="37"/>
      <c r="N2228" s="37"/>
      <c r="O2228" s="37"/>
      <c r="P2228" s="36"/>
      <c r="Q2228" s="36"/>
      <c r="R2228" s="31"/>
      <c r="S2228" s="31"/>
      <c r="T2228" s="38"/>
      <c r="U2228" s="39">
        <f>IFERROR(_xlfn.XLOOKUP(E2228,[1]EMPREENDIMENTO!C:C,[1]EMPREENDIMENTO!D:D),"")</f>
        <v>0</v>
      </c>
    </row>
    <row r="2229" spans="1:21" hidden="1" x14ac:dyDescent="0.35">
      <c r="A2229" s="36"/>
      <c r="B2229" s="36"/>
      <c r="C2229" s="36"/>
      <c r="D2229" s="36"/>
      <c r="E2229" s="36"/>
      <c r="F2229" s="36"/>
      <c r="G2229" s="36"/>
      <c r="H2229" s="36"/>
      <c r="I2229" s="40"/>
      <c r="J2229" s="31"/>
      <c r="K2229" s="36"/>
      <c r="M2229" s="37"/>
      <c r="N2229" s="37"/>
      <c r="O2229" s="37"/>
      <c r="P2229" s="36"/>
      <c r="Q2229" s="36"/>
      <c r="R2229" s="31"/>
      <c r="S2229" s="31"/>
      <c r="T2229" s="38"/>
      <c r="U2229" s="39">
        <f>IFERROR(_xlfn.XLOOKUP(E2229,[1]EMPREENDIMENTO!C:C,[1]EMPREENDIMENTO!D:D),"")</f>
        <v>0</v>
      </c>
    </row>
    <row r="2230" spans="1:21" hidden="1" x14ac:dyDescent="0.35">
      <c r="A2230" s="36"/>
      <c r="B2230" s="36"/>
      <c r="C2230" s="36"/>
      <c r="D2230" s="36"/>
      <c r="E2230" s="36"/>
      <c r="F2230" s="36"/>
      <c r="G2230" s="36"/>
      <c r="H2230" s="36"/>
      <c r="I2230" s="40"/>
      <c r="J2230" s="31"/>
      <c r="K2230" s="36"/>
      <c r="M2230" s="37"/>
      <c r="N2230" s="37"/>
      <c r="O2230" s="37"/>
      <c r="P2230" s="36"/>
      <c r="Q2230" s="36"/>
      <c r="R2230" s="31"/>
      <c r="S2230" s="31"/>
      <c r="T2230" s="38"/>
      <c r="U2230" s="39">
        <f>IFERROR(_xlfn.XLOOKUP(E2230,[1]EMPREENDIMENTO!C:C,[1]EMPREENDIMENTO!D:D),"")</f>
        <v>0</v>
      </c>
    </row>
    <row r="2231" spans="1:21" hidden="1" x14ac:dyDescent="0.35">
      <c r="A2231" s="36"/>
      <c r="B2231" s="36"/>
      <c r="C2231" s="36"/>
      <c r="D2231" s="36"/>
      <c r="E2231" s="36"/>
      <c r="F2231" s="36"/>
      <c r="G2231" s="36"/>
      <c r="H2231" s="36"/>
      <c r="I2231" s="40"/>
      <c r="J2231" s="31"/>
      <c r="K2231" s="36"/>
      <c r="M2231" s="37"/>
      <c r="N2231" s="37"/>
      <c r="O2231" s="37"/>
      <c r="P2231" s="36"/>
      <c r="Q2231" s="36"/>
      <c r="R2231" s="31"/>
      <c r="S2231" s="31"/>
      <c r="T2231" s="38"/>
      <c r="U2231" s="39">
        <f>IFERROR(_xlfn.XLOOKUP(E2231,[1]EMPREENDIMENTO!C:C,[1]EMPREENDIMENTO!D:D),"")</f>
        <v>0</v>
      </c>
    </row>
    <row r="2232" spans="1:21" hidden="1" x14ac:dyDescent="0.35">
      <c r="A2232" s="36"/>
      <c r="B2232" s="36"/>
      <c r="C2232" s="36"/>
      <c r="D2232" s="36"/>
      <c r="E2232" s="36"/>
      <c r="F2232" s="36"/>
      <c r="G2232" s="36"/>
      <c r="H2232" s="36"/>
      <c r="I2232" s="40"/>
      <c r="J2232" s="31"/>
      <c r="K2232" s="36"/>
      <c r="M2232" s="37"/>
      <c r="N2232" s="37"/>
      <c r="O2232" s="37"/>
      <c r="P2232" s="36"/>
      <c r="Q2232" s="36"/>
      <c r="R2232" s="31"/>
      <c r="S2232" s="31"/>
      <c r="T2232" s="38"/>
      <c r="U2232" s="39">
        <f>IFERROR(_xlfn.XLOOKUP(E2232,[1]EMPREENDIMENTO!C:C,[1]EMPREENDIMENTO!D:D),"")</f>
        <v>0</v>
      </c>
    </row>
    <row r="2233" spans="1:21" hidden="1" x14ac:dyDescent="0.35">
      <c r="A2233" s="36"/>
      <c r="B2233" s="36"/>
      <c r="C2233" s="36"/>
      <c r="D2233" s="36"/>
      <c r="E2233" s="36"/>
      <c r="F2233" s="36"/>
      <c r="G2233" s="36"/>
      <c r="H2233" s="36"/>
      <c r="I2233" s="40"/>
      <c r="J2233" s="31"/>
      <c r="K2233" s="36"/>
      <c r="M2233" s="37"/>
      <c r="N2233" s="37"/>
      <c r="O2233" s="37"/>
      <c r="P2233" s="36"/>
      <c r="Q2233" s="36"/>
      <c r="R2233" s="31"/>
      <c r="S2233" s="31"/>
      <c r="T2233" s="38"/>
      <c r="U2233" s="39">
        <f>IFERROR(_xlfn.XLOOKUP(E2233,[1]EMPREENDIMENTO!C:C,[1]EMPREENDIMENTO!D:D),"")</f>
        <v>0</v>
      </c>
    </row>
    <row r="2234" spans="1:21" hidden="1" x14ac:dyDescent="0.35">
      <c r="A2234" s="36"/>
      <c r="B2234" s="36"/>
      <c r="C2234" s="36"/>
      <c r="D2234" s="36"/>
      <c r="E2234" s="36"/>
      <c r="F2234" s="36"/>
      <c r="G2234" s="36"/>
      <c r="H2234" s="36"/>
      <c r="I2234" s="40"/>
      <c r="J2234" s="31"/>
      <c r="K2234" s="36"/>
      <c r="M2234" s="37"/>
      <c r="N2234" s="37"/>
      <c r="O2234" s="37"/>
      <c r="P2234" s="36"/>
      <c r="Q2234" s="36"/>
      <c r="R2234" s="31"/>
      <c r="S2234" s="31"/>
      <c r="T2234" s="38"/>
      <c r="U2234" s="39">
        <f>IFERROR(_xlfn.XLOOKUP(E2234,[1]EMPREENDIMENTO!C:C,[1]EMPREENDIMENTO!D:D),"")</f>
        <v>0</v>
      </c>
    </row>
    <row r="2235" spans="1:21" hidden="1" x14ac:dyDescent="0.35">
      <c r="A2235" s="36"/>
      <c r="B2235" s="36"/>
      <c r="C2235" s="36"/>
      <c r="D2235" s="36"/>
      <c r="E2235" s="36"/>
      <c r="F2235" s="36"/>
      <c r="G2235" s="36"/>
      <c r="H2235" s="36"/>
      <c r="I2235" s="40"/>
      <c r="J2235" s="31"/>
      <c r="K2235" s="36"/>
      <c r="M2235" s="37"/>
      <c r="N2235" s="37"/>
      <c r="O2235" s="37"/>
      <c r="P2235" s="36"/>
      <c r="Q2235" s="36"/>
      <c r="R2235" s="31"/>
      <c r="S2235" s="31"/>
      <c r="T2235" s="38"/>
      <c r="U2235" s="39">
        <f>IFERROR(_xlfn.XLOOKUP(E2235,[1]EMPREENDIMENTO!C:C,[1]EMPREENDIMENTO!D:D),"")</f>
        <v>0</v>
      </c>
    </row>
    <row r="2236" spans="1:21" hidden="1" x14ac:dyDescent="0.35">
      <c r="A2236" s="36"/>
      <c r="B2236" s="36"/>
      <c r="C2236" s="36"/>
      <c r="D2236" s="36"/>
      <c r="E2236" s="36"/>
      <c r="F2236" s="36"/>
      <c r="G2236" s="36"/>
      <c r="H2236" s="36"/>
      <c r="I2236" s="40"/>
      <c r="J2236" s="31"/>
      <c r="K2236" s="36"/>
      <c r="M2236" s="37"/>
      <c r="N2236" s="37"/>
      <c r="O2236" s="37"/>
      <c r="P2236" s="36"/>
      <c r="Q2236" s="36"/>
      <c r="R2236" s="31"/>
      <c r="S2236" s="31"/>
      <c r="T2236" s="38"/>
      <c r="U2236" s="39">
        <f>IFERROR(_xlfn.XLOOKUP(E2236,[1]EMPREENDIMENTO!C:C,[1]EMPREENDIMENTO!D:D),"")</f>
        <v>0</v>
      </c>
    </row>
    <row r="2237" spans="1:21" hidden="1" x14ac:dyDescent="0.35">
      <c r="A2237" s="36"/>
      <c r="B2237" s="36"/>
      <c r="C2237" s="36"/>
      <c r="D2237" s="36"/>
      <c r="E2237" s="36"/>
      <c r="F2237" s="36"/>
      <c r="G2237" s="36"/>
      <c r="H2237" s="36"/>
      <c r="I2237" s="40"/>
      <c r="J2237" s="31"/>
      <c r="K2237" s="36"/>
      <c r="M2237" s="37"/>
      <c r="N2237" s="37"/>
      <c r="O2237" s="37"/>
      <c r="P2237" s="36"/>
      <c r="Q2237" s="36"/>
      <c r="R2237" s="31"/>
      <c r="S2237" s="31"/>
      <c r="T2237" s="38"/>
      <c r="U2237" s="39">
        <f>IFERROR(_xlfn.XLOOKUP(E2237,[1]EMPREENDIMENTO!C:C,[1]EMPREENDIMENTO!D:D),"")</f>
        <v>0</v>
      </c>
    </row>
    <row r="2238" spans="1:21" hidden="1" x14ac:dyDescent="0.35">
      <c r="A2238" s="36"/>
      <c r="B2238" s="36"/>
      <c r="C2238" s="36"/>
      <c r="D2238" s="36"/>
      <c r="E2238" s="36"/>
      <c r="F2238" s="36"/>
      <c r="G2238" s="36"/>
      <c r="H2238" s="36"/>
      <c r="I2238" s="40"/>
      <c r="J2238" s="31"/>
      <c r="K2238" s="36"/>
      <c r="M2238" s="37"/>
      <c r="N2238" s="37"/>
      <c r="O2238" s="37"/>
      <c r="P2238" s="36"/>
      <c r="Q2238" s="36"/>
      <c r="R2238" s="31"/>
      <c r="S2238" s="31"/>
      <c r="T2238" s="38"/>
      <c r="U2238" s="39">
        <f>IFERROR(_xlfn.XLOOKUP(E2238,[1]EMPREENDIMENTO!C:C,[1]EMPREENDIMENTO!D:D),"")</f>
        <v>0</v>
      </c>
    </row>
    <row r="2239" spans="1:21" hidden="1" x14ac:dyDescent="0.35">
      <c r="A2239" s="36"/>
      <c r="B2239" s="36"/>
      <c r="C2239" s="36"/>
      <c r="D2239" s="36"/>
      <c r="E2239" s="36"/>
      <c r="F2239" s="36"/>
      <c r="G2239" s="36"/>
      <c r="H2239" s="36"/>
      <c r="I2239" s="40"/>
      <c r="J2239" s="31"/>
      <c r="K2239" s="36"/>
      <c r="M2239" s="37"/>
      <c r="N2239" s="37"/>
      <c r="O2239" s="37"/>
      <c r="P2239" s="36"/>
      <c r="Q2239" s="36"/>
      <c r="R2239" s="31"/>
      <c r="S2239" s="31"/>
      <c r="T2239" s="38"/>
      <c r="U2239" s="39">
        <f>IFERROR(_xlfn.XLOOKUP(E2239,[1]EMPREENDIMENTO!C:C,[1]EMPREENDIMENTO!D:D),"")</f>
        <v>0</v>
      </c>
    </row>
    <row r="2240" spans="1:21" hidden="1" x14ac:dyDescent="0.35">
      <c r="A2240" s="36"/>
      <c r="B2240" s="36"/>
      <c r="C2240" s="36"/>
      <c r="D2240" s="36"/>
      <c r="E2240" s="36"/>
      <c r="F2240" s="36"/>
      <c r="G2240" s="36"/>
      <c r="H2240" s="36"/>
      <c r="I2240" s="40"/>
      <c r="J2240" s="31"/>
      <c r="K2240" s="36"/>
      <c r="M2240" s="37"/>
      <c r="N2240" s="37"/>
      <c r="O2240" s="37"/>
      <c r="P2240" s="36"/>
      <c r="Q2240" s="36"/>
      <c r="R2240" s="31"/>
      <c r="S2240" s="31"/>
      <c r="T2240" s="38"/>
      <c r="U2240" s="39">
        <f>IFERROR(_xlfn.XLOOKUP(E2240,[1]EMPREENDIMENTO!C:C,[1]EMPREENDIMENTO!D:D),"")</f>
        <v>0</v>
      </c>
    </row>
    <row r="2241" spans="1:21" hidden="1" x14ac:dyDescent="0.35">
      <c r="A2241" s="36"/>
      <c r="B2241" s="36"/>
      <c r="C2241" s="36"/>
      <c r="D2241" s="36"/>
      <c r="E2241" s="36"/>
      <c r="F2241" s="36"/>
      <c r="G2241" s="36"/>
      <c r="H2241" s="36"/>
      <c r="I2241" s="40"/>
      <c r="J2241" s="31"/>
      <c r="K2241" s="36"/>
      <c r="M2241" s="37"/>
      <c r="N2241" s="37"/>
      <c r="O2241" s="37"/>
      <c r="P2241" s="36"/>
      <c r="Q2241" s="36"/>
      <c r="R2241" s="31"/>
      <c r="S2241" s="31"/>
      <c r="T2241" s="38"/>
      <c r="U2241" s="39">
        <f>IFERROR(_xlfn.XLOOKUP(E2241,[1]EMPREENDIMENTO!C:C,[1]EMPREENDIMENTO!D:D),"")</f>
        <v>0</v>
      </c>
    </row>
    <row r="2242" spans="1:21" hidden="1" x14ac:dyDescent="0.35">
      <c r="A2242" s="36"/>
      <c r="B2242" s="36"/>
      <c r="C2242" s="36"/>
      <c r="D2242" s="36"/>
      <c r="E2242" s="36"/>
      <c r="F2242" s="36"/>
      <c r="G2242" s="36"/>
      <c r="H2242" s="36"/>
      <c r="I2242" s="40"/>
      <c r="J2242" s="31"/>
      <c r="K2242" s="36"/>
      <c r="M2242" s="37"/>
      <c r="N2242" s="37"/>
      <c r="O2242" s="37"/>
      <c r="P2242" s="36"/>
      <c r="Q2242" s="36"/>
      <c r="R2242" s="31"/>
      <c r="S2242" s="31"/>
      <c r="T2242" s="38"/>
      <c r="U2242" s="39">
        <f>IFERROR(_xlfn.XLOOKUP(E2242,[1]EMPREENDIMENTO!C:C,[1]EMPREENDIMENTO!D:D),"")</f>
        <v>0</v>
      </c>
    </row>
    <row r="2243" spans="1:21" hidden="1" x14ac:dyDescent="0.35">
      <c r="A2243" s="36"/>
      <c r="B2243" s="36"/>
      <c r="C2243" s="36"/>
      <c r="D2243" s="36"/>
      <c r="E2243" s="36"/>
      <c r="F2243" s="36"/>
      <c r="G2243" s="36"/>
      <c r="H2243" s="36"/>
      <c r="I2243" s="40"/>
      <c r="J2243" s="31"/>
      <c r="K2243" s="36"/>
      <c r="M2243" s="37"/>
      <c r="N2243" s="37"/>
      <c r="O2243" s="37"/>
      <c r="P2243" s="36"/>
      <c r="Q2243" s="36"/>
      <c r="R2243" s="31"/>
      <c r="S2243" s="31"/>
      <c r="T2243" s="38"/>
      <c r="U2243" s="39">
        <f>IFERROR(_xlfn.XLOOKUP(E2243,[1]EMPREENDIMENTO!C:C,[1]EMPREENDIMENTO!D:D),"")</f>
        <v>0</v>
      </c>
    </row>
    <row r="2244" spans="1:21" hidden="1" x14ac:dyDescent="0.35">
      <c r="A2244" s="36"/>
      <c r="B2244" s="36"/>
      <c r="C2244" s="36"/>
      <c r="D2244" s="36"/>
      <c r="E2244" s="36"/>
      <c r="F2244" s="36"/>
      <c r="G2244" s="36"/>
      <c r="H2244" s="36"/>
      <c r="I2244" s="40"/>
      <c r="J2244" s="31"/>
      <c r="K2244" s="36"/>
      <c r="M2244" s="37"/>
      <c r="N2244" s="37"/>
      <c r="O2244" s="37"/>
      <c r="P2244" s="36"/>
      <c r="Q2244" s="36"/>
      <c r="R2244" s="31"/>
      <c r="S2244" s="31"/>
      <c r="T2244" s="38"/>
      <c r="U2244" s="39">
        <f>IFERROR(_xlfn.XLOOKUP(E2244,[1]EMPREENDIMENTO!C:C,[1]EMPREENDIMENTO!D:D),"")</f>
        <v>0</v>
      </c>
    </row>
    <row r="2245" spans="1:21" hidden="1" x14ac:dyDescent="0.35">
      <c r="A2245" s="36"/>
      <c r="B2245" s="36"/>
      <c r="C2245" s="36"/>
      <c r="D2245" s="36"/>
      <c r="E2245" s="36"/>
      <c r="F2245" s="36"/>
      <c r="G2245" s="36"/>
      <c r="H2245" s="36"/>
      <c r="I2245" s="40"/>
      <c r="J2245" s="31"/>
      <c r="K2245" s="36"/>
      <c r="M2245" s="37"/>
      <c r="N2245" s="37"/>
      <c r="O2245" s="37"/>
      <c r="P2245" s="36"/>
      <c r="Q2245" s="36"/>
      <c r="R2245" s="31"/>
      <c r="S2245" s="31"/>
      <c r="T2245" s="38"/>
      <c r="U2245" s="39">
        <f>IFERROR(_xlfn.XLOOKUP(E2245,[1]EMPREENDIMENTO!C:C,[1]EMPREENDIMENTO!D:D),"")</f>
        <v>0</v>
      </c>
    </row>
    <row r="2246" spans="1:21" hidden="1" x14ac:dyDescent="0.35">
      <c r="A2246" s="36"/>
      <c r="B2246" s="36"/>
      <c r="C2246" s="36"/>
      <c r="D2246" s="36"/>
      <c r="E2246" s="36"/>
      <c r="F2246" s="36"/>
      <c r="G2246" s="36"/>
      <c r="H2246" s="36"/>
      <c r="I2246" s="40"/>
      <c r="J2246" s="31"/>
      <c r="K2246" s="36"/>
      <c r="M2246" s="37"/>
      <c r="N2246" s="37"/>
      <c r="O2246" s="37"/>
      <c r="P2246" s="36"/>
      <c r="Q2246" s="36"/>
      <c r="R2246" s="31"/>
      <c r="S2246" s="31"/>
      <c r="T2246" s="38"/>
      <c r="U2246" s="39">
        <f>IFERROR(_xlfn.XLOOKUP(E2246,[1]EMPREENDIMENTO!C:C,[1]EMPREENDIMENTO!D:D),"")</f>
        <v>0</v>
      </c>
    </row>
    <row r="2247" spans="1:21" hidden="1" x14ac:dyDescent="0.35">
      <c r="A2247" s="36"/>
      <c r="B2247" s="36"/>
      <c r="C2247" s="36"/>
      <c r="D2247" s="36"/>
      <c r="E2247" s="36"/>
      <c r="F2247" s="36"/>
      <c r="G2247" s="36"/>
      <c r="H2247" s="36"/>
      <c r="I2247" s="40"/>
      <c r="J2247" s="31"/>
      <c r="K2247" s="36"/>
      <c r="M2247" s="37"/>
      <c r="N2247" s="37"/>
      <c r="O2247" s="37"/>
      <c r="P2247" s="36"/>
      <c r="Q2247" s="36"/>
      <c r="R2247" s="31"/>
      <c r="S2247" s="31"/>
      <c r="T2247" s="38"/>
      <c r="U2247" s="39">
        <f>IFERROR(_xlfn.XLOOKUP(E2247,[1]EMPREENDIMENTO!C:C,[1]EMPREENDIMENTO!D:D),"")</f>
        <v>0</v>
      </c>
    </row>
    <row r="2248" spans="1:21" hidden="1" x14ac:dyDescent="0.35">
      <c r="A2248" s="36"/>
      <c r="B2248" s="36"/>
      <c r="C2248" s="36"/>
      <c r="D2248" s="36"/>
      <c r="E2248" s="36"/>
      <c r="F2248" s="36"/>
      <c r="G2248" s="36"/>
      <c r="H2248" s="36"/>
      <c r="I2248" s="40"/>
      <c r="J2248" s="31"/>
      <c r="K2248" s="36"/>
      <c r="M2248" s="37"/>
      <c r="N2248" s="37"/>
      <c r="O2248" s="37"/>
      <c r="P2248" s="36"/>
      <c r="Q2248" s="36"/>
      <c r="R2248" s="31"/>
      <c r="S2248" s="31"/>
      <c r="T2248" s="38"/>
      <c r="U2248" s="39">
        <f>IFERROR(_xlfn.XLOOKUP(E2248,[1]EMPREENDIMENTO!C:C,[1]EMPREENDIMENTO!D:D),"")</f>
        <v>0</v>
      </c>
    </row>
    <row r="2249" spans="1:21" hidden="1" x14ac:dyDescent="0.35">
      <c r="A2249" s="36"/>
      <c r="B2249" s="36"/>
      <c r="C2249" s="36"/>
      <c r="D2249" s="36"/>
      <c r="E2249" s="36"/>
      <c r="F2249" s="36"/>
      <c r="G2249" s="36"/>
      <c r="H2249" s="36"/>
      <c r="I2249" s="40"/>
      <c r="J2249" s="31"/>
      <c r="K2249" s="36"/>
      <c r="M2249" s="37"/>
      <c r="N2249" s="37"/>
      <c r="O2249" s="37"/>
      <c r="P2249" s="36"/>
      <c r="Q2249" s="36"/>
      <c r="R2249" s="31"/>
      <c r="S2249" s="31"/>
      <c r="T2249" s="38"/>
      <c r="U2249" s="39">
        <f>IFERROR(_xlfn.XLOOKUP(E2249,[1]EMPREENDIMENTO!C:C,[1]EMPREENDIMENTO!D:D),"")</f>
        <v>0</v>
      </c>
    </row>
    <row r="2250" spans="1:21" hidden="1" x14ac:dyDescent="0.35">
      <c r="A2250" s="36"/>
      <c r="B2250" s="36"/>
      <c r="C2250" s="36"/>
      <c r="D2250" s="36"/>
      <c r="E2250" s="36"/>
      <c r="F2250" s="36"/>
      <c r="G2250" s="36"/>
      <c r="H2250" s="36"/>
      <c r="I2250" s="40"/>
      <c r="J2250" s="31"/>
      <c r="K2250" s="36"/>
      <c r="M2250" s="37"/>
      <c r="N2250" s="37"/>
      <c r="O2250" s="37"/>
      <c r="P2250" s="36"/>
      <c r="Q2250" s="36"/>
      <c r="R2250" s="31"/>
      <c r="S2250" s="31"/>
      <c r="T2250" s="38"/>
      <c r="U2250" s="39">
        <f>IFERROR(_xlfn.XLOOKUP(E2250,[1]EMPREENDIMENTO!C:C,[1]EMPREENDIMENTO!D:D),"")</f>
        <v>0</v>
      </c>
    </row>
    <row r="2251" spans="1:21" hidden="1" x14ac:dyDescent="0.35">
      <c r="A2251" s="36"/>
      <c r="B2251" s="36"/>
      <c r="C2251" s="36"/>
      <c r="D2251" s="36"/>
      <c r="E2251" s="36"/>
      <c r="F2251" s="36"/>
      <c r="G2251" s="36"/>
      <c r="H2251" s="36"/>
      <c r="I2251" s="40"/>
      <c r="J2251" s="31"/>
      <c r="K2251" s="36"/>
      <c r="M2251" s="37"/>
      <c r="N2251" s="37"/>
      <c r="O2251" s="37"/>
      <c r="P2251" s="36"/>
      <c r="Q2251" s="36"/>
      <c r="R2251" s="31"/>
      <c r="S2251" s="31"/>
      <c r="T2251" s="38"/>
      <c r="U2251" s="39">
        <f>IFERROR(_xlfn.XLOOKUP(E2251,[1]EMPREENDIMENTO!C:C,[1]EMPREENDIMENTO!D:D),"")</f>
        <v>0</v>
      </c>
    </row>
    <row r="2252" spans="1:21" hidden="1" x14ac:dyDescent="0.35">
      <c r="A2252" s="36"/>
      <c r="B2252" s="36"/>
      <c r="C2252" s="36"/>
      <c r="D2252" s="36"/>
      <c r="E2252" s="36"/>
      <c r="F2252" s="36"/>
      <c r="G2252" s="36"/>
      <c r="H2252" s="36"/>
      <c r="I2252" s="40"/>
      <c r="J2252" s="31"/>
      <c r="K2252" s="36"/>
      <c r="M2252" s="37"/>
      <c r="N2252" s="37"/>
      <c r="O2252" s="37"/>
      <c r="P2252" s="36"/>
      <c r="Q2252" s="36"/>
      <c r="R2252" s="31"/>
      <c r="S2252" s="31"/>
      <c r="T2252" s="38"/>
      <c r="U2252" s="39">
        <f>IFERROR(_xlfn.XLOOKUP(E2252,[1]EMPREENDIMENTO!C:C,[1]EMPREENDIMENTO!D:D),"")</f>
        <v>0</v>
      </c>
    </row>
    <row r="2253" spans="1:21" hidden="1" x14ac:dyDescent="0.35">
      <c r="A2253" s="36"/>
      <c r="B2253" s="36"/>
      <c r="C2253" s="36"/>
      <c r="D2253" s="36"/>
      <c r="E2253" s="36"/>
      <c r="F2253" s="36"/>
      <c r="G2253" s="36"/>
      <c r="H2253" s="36"/>
      <c r="I2253" s="40"/>
      <c r="J2253" s="31"/>
      <c r="K2253" s="36"/>
      <c r="M2253" s="37"/>
      <c r="N2253" s="37"/>
      <c r="O2253" s="37"/>
      <c r="P2253" s="36"/>
      <c r="Q2253" s="36"/>
      <c r="R2253" s="31"/>
      <c r="S2253" s="31"/>
      <c r="T2253" s="38"/>
      <c r="U2253" s="39">
        <f>IFERROR(_xlfn.XLOOKUP(E2253,[1]EMPREENDIMENTO!C:C,[1]EMPREENDIMENTO!D:D),"")</f>
        <v>0</v>
      </c>
    </row>
    <row r="2254" spans="1:21" hidden="1" x14ac:dyDescent="0.35">
      <c r="A2254" s="36"/>
      <c r="B2254" s="36"/>
      <c r="C2254" s="36"/>
      <c r="D2254" s="36"/>
      <c r="E2254" s="36"/>
      <c r="F2254" s="36"/>
      <c r="G2254" s="36"/>
      <c r="H2254" s="36"/>
      <c r="I2254" s="40"/>
      <c r="J2254" s="31"/>
      <c r="K2254" s="36"/>
      <c r="M2254" s="37"/>
      <c r="N2254" s="37"/>
      <c r="O2254" s="37"/>
      <c r="P2254" s="36"/>
      <c r="Q2254" s="36"/>
      <c r="R2254" s="31"/>
      <c r="S2254" s="31"/>
      <c r="T2254" s="38"/>
      <c r="U2254" s="39">
        <f>IFERROR(_xlfn.XLOOKUP(E2254,[1]EMPREENDIMENTO!C:C,[1]EMPREENDIMENTO!D:D),"")</f>
        <v>0</v>
      </c>
    </row>
    <row r="2255" spans="1:21" hidden="1" x14ac:dyDescent="0.35">
      <c r="A2255" s="36"/>
      <c r="B2255" s="36"/>
      <c r="C2255" s="36"/>
      <c r="D2255" s="36"/>
      <c r="E2255" s="36"/>
      <c r="F2255" s="36"/>
      <c r="G2255" s="36"/>
      <c r="H2255" s="36"/>
      <c r="I2255" s="40"/>
      <c r="J2255" s="31"/>
      <c r="K2255" s="36"/>
      <c r="M2255" s="37"/>
      <c r="N2255" s="37"/>
      <c r="O2255" s="37"/>
      <c r="P2255" s="36"/>
      <c r="Q2255" s="36"/>
      <c r="R2255" s="31"/>
      <c r="S2255" s="31"/>
      <c r="T2255" s="38"/>
      <c r="U2255" s="39">
        <f>IFERROR(_xlfn.XLOOKUP(E2255,[1]EMPREENDIMENTO!C:C,[1]EMPREENDIMENTO!D:D),"")</f>
        <v>0</v>
      </c>
    </row>
    <row r="2256" spans="1:21" hidden="1" x14ac:dyDescent="0.35">
      <c r="A2256" s="36"/>
      <c r="B2256" s="36"/>
      <c r="C2256" s="36"/>
      <c r="D2256" s="36"/>
      <c r="E2256" s="36"/>
      <c r="F2256" s="36"/>
      <c r="G2256" s="36"/>
      <c r="H2256" s="36"/>
      <c r="I2256" s="40"/>
      <c r="J2256" s="31"/>
      <c r="K2256" s="36"/>
      <c r="M2256" s="37"/>
      <c r="N2256" s="37"/>
      <c r="O2256" s="37"/>
      <c r="P2256" s="36"/>
      <c r="Q2256" s="36"/>
      <c r="R2256" s="31"/>
      <c r="S2256" s="31"/>
      <c r="T2256" s="38"/>
      <c r="U2256" s="39">
        <f>IFERROR(_xlfn.XLOOKUP(E2256,[1]EMPREENDIMENTO!C:C,[1]EMPREENDIMENTO!D:D),"")</f>
        <v>0</v>
      </c>
    </row>
    <row r="2257" spans="1:21" hidden="1" x14ac:dyDescent="0.35">
      <c r="A2257" s="36"/>
      <c r="B2257" s="36"/>
      <c r="C2257" s="36"/>
      <c r="D2257" s="36"/>
      <c r="E2257" s="36"/>
      <c r="F2257" s="36"/>
      <c r="G2257" s="36"/>
      <c r="H2257" s="36"/>
      <c r="I2257" s="40"/>
      <c r="J2257" s="31"/>
      <c r="K2257" s="36"/>
      <c r="M2257" s="37"/>
      <c r="N2257" s="37"/>
      <c r="O2257" s="37"/>
      <c r="P2257" s="36"/>
      <c r="Q2257" s="36"/>
      <c r="R2257" s="31"/>
      <c r="S2257" s="31"/>
      <c r="T2257" s="38"/>
      <c r="U2257" s="39">
        <f>IFERROR(_xlfn.XLOOKUP(E2257,[1]EMPREENDIMENTO!C:C,[1]EMPREENDIMENTO!D:D),"")</f>
        <v>0</v>
      </c>
    </row>
    <row r="2258" spans="1:21" hidden="1" x14ac:dyDescent="0.35">
      <c r="A2258" s="36"/>
      <c r="B2258" s="36"/>
      <c r="C2258" s="36"/>
      <c r="D2258" s="36"/>
      <c r="E2258" s="36"/>
      <c r="F2258" s="36"/>
      <c r="G2258" s="36"/>
      <c r="H2258" s="36"/>
      <c r="I2258" s="40"/>
      <c r="J2258" s="31"/>
      <c r="K2258" s="36"/>
      <c r="M2258" s="37"/>
      <c r="N2258" s="37"/>
      <c r="O2258" s="37"/>
      <c r="P2258" s="36"/>
      <c r="Q2258" s="36"/>
      <c r="R2258" s="31"/>
      <c r="S2258" s="31"/>
      <c r="T2258" s="38"/>
      <c r="U2258" s="39">
        <f>IFERROR(_xlfn.XLOOKUP(E2258,[1]EMPREENDIMENTO!C:C,[1]EMPREENDIMENTO!D:D),"")</f>
        <v>0</v>
      </c>
    </row>
    <row r="2259" spans="1:21" hidden="1" x14ac:dyDescent="0.35">
      <c r="A2259" s="36"/>
      <c r="B2259" s="36"/>
      <c r="C2259" s="36"/>
      <c r="D2259" s="36"/>
      <c r="E2259" s="36"/>
      <c r="F2259" s="36"/>
      <c r="G2259" s="36"/>
      <c r="H2259" s="36"/>
      <c r="I2259" s="40"/>
      <c r="J2259" s="31"/>
      <c r="K2259" s="36"/>
      <c r="M2259" s="37"/>
      <c r="N2259" s="37"/>
      <c r="O2259" s="37"/>
      <c r="P2259" s="36"/>
      <c r="Q2259" s="36"/>
      <c r="R2259" s="31"/>
      <c r="S2259" s="31"/>
      <c r="T2259" s="38"/>
      <c r="U2259" s="39">
        <f>IFERROR(_xlfn.XLOOKUP(E2259,[1]EMPREENDIMENTO!C:C,[1]EMPREENDIMENTO!D:D),"")</f>
        <v>0</v>
      </c>
    </row>
    <row r="2260" spans="1:21" hidden="1" x14ac:dyDescent="0.35">
      <c r="A2260" s="36"/>
      <c r="B2260" s="36"/>
      <c r="C2260" s="36"/>
      <c r="D2260" s="36"/>
      <c r="E2260" s="36"/>
      <c r="F2260" s="36"/>
      <c r="G2260" s="36"/>
      <c r="H2260" s="36"/>
      <c r="I2260" s="40"/>
      <c r="J2260" s="31"/>
      <c r="K2260" s="36"/>
      <c r="M2260" s="37"/>
      <c r="N2260" s="37"/>
      <c r="O2260" s="37"/>
      <c r="P2260" s="36"/>
      <c r="Q2260" s="36"/>
      <c r="R2260" s="31"/>
      <c r="S2260" s="31"/>
      <c r="T2260" s="38"/>
      <c r="U2260" s="39">
        <f>IFERROR(_xlfn.XLOOKUP(E2260,[1]EMPREENDIMENTO!C:C,[1]EMPREENDIMENTO!D:D),"")</f>
        <v>0</v>
      </c>
    </row>
    <row r="2261" spans="1:21" hidden="1" x14ac:dyDescent="0.35">
      <c r="A2261" s="36"/>
      <c r="B2261" s="36"/>
      <c r="C2261" s="36"/>
      <c r="D2261" s="36"/>
      <c r="E2261" s="36"/>
      <c r="F2261" s="36"/>
      <c r="G2261" s="36"/>
      <c r="H2261" s="36"/>
      <c r="I2261" s="40"/>
      <c r="J2261" s="31"/>
      <c r="K2261" s="36"/>
      <c r="M2261" s="37"/>
      <c r="N2261" s="37"/>
      <c r="O2261" s="37"/>
      <c r="P2261" s="36"/>
      <c r="Q2261" s="36"/>
      <c r="R2261" s="31"/>
      <c r="S2261" s="31"/>
      <c r="T2261" s="38"/>
      <c r="U2261" s="39">
        <f>IFERROR(_xlfn.XLOOKUP(E2261,[1]EMPREENDIMENTO!C:C,[1]EMPREENDIMENTO!D:D),"")</f>
        <v>0</v>
      </c>
    </row>
    <row r="2262" spans="1:21" hidden="1" x14ac:dyDescent="0.35">
      <c r="A2262" s="36"/>
      <c r="B2262" s="36"/>
      <c r="C2262" s="36"/>
      <c r="D2262" s="36"/>
      <c r="E2262" s="36"/>
      <c r="F2262" s="36"/>
      <c r="G2262" s="36"/>
      <c r="H2262" s="36"/>
      <c r="I2262" s="40"/>
      <c r="J2262" s="31"/>
      <c r="K2262" s="36"/>
      <c r="M2262" s="37"/>
      <c r="N2262" s="37"/>
      <c r="O2262" s="37"/>
      <c r="P2262" s="36"/>
      <c r="Q2262" s="36"/>
      <c r="R2262" s="31"/>
      <c r="S2262" s="31"/>
      <c r="T2262" s="38"/>
      <c r="U2262" s="39">
        <f>IFERROR(_xlfn.XLOOKUP(E2262,[1]EMPREENDIMENTO!C:C,[1]EMPREENDIMENTO!D:D),"")</f>
        <v>0</v>
      </c>
    </row>
    <row r="2263" spans="1:21" hidden="1" x14ac:dyDescent="0.35">
      <c r="A2263" s="36"/>
      <c r="B2263" s="36"/>
      <c r="C2263" s="36"/>
      <c r="D2263" s="36"/>
      <c r="E2263" s="36"/>
      <c r="F2263" s="36"/>
      <c r="G2263" s="36"/>
      <c r="H2263" s="36"/>
      <c r="I2263" s="40"/>
      <c r="J2263" s="31"/>
      <c r="K2263" s="36"/>
      <c r="M2263" s="37"/>
      <c r="N2263" s="37"/>
      <c r="O2263" s="37"/>
      <c r="P2263" s="36"/>
      <c r="Q2263" s="36"/>
      <c r="R2263" s="31"/>
      <c r="S2263" s="31"/>
      <c r="T2263" s="38"/>
      <c r="U2263" s="39">
        <f>IFERROR(_xlfn.XLOOKUP(E2263,[1]EMPREENDIMENTO!C:C,[1]EMPREENDIMENTO!D:D),"")</f>
        <v>0</v>
      </c>
    </row>
    <row r="2264" spans="1:21" hidden="1" x14ac:dyDescent="0.35">
      <c r="A2264" s="36"/>
      <c r="B2264" s="36"/>
      <c r="C2264" s="36"/>
      <c r="D2264" s="36"/>
      <c r="E2264" s="36"/>
      <c r="F2264" s="36"/>
      <c r="G2264" s="36"/>
      <c r="H2264" s="36"/>
      <c r="I2264" s="40"/>
      <c r="J2264" s="31"/>
      <c r="K2264" s="36"/>
      <c r="M2264" s="37"/>
      <c r="N2264" s="37"/>
      <c r="O2264" s="37"/>
      <c r="P2264" s="36"/>
      <c r="Q2264" s="36"/>
      <c r="R2264" s="31"/>
      <c r="S2264" s="31"/>
      <c r="T2264" s="38"/>
      <c r="U2264" s="39">
        <f>IFERROR(_xlfn.XLOOKUP(E2264,[1]EMPREENDIMENTO!C:C,[1]EMPREENDIMENTO!D:D),"")</f>
        <v>0</v>
      </c>
    </row>
    <row r="2265" spans="1:21" hidden="1" x14ac:dyDescent="0.35">
      <c r="A2265" s="36"/>
      <c r="B2265" s="36"/>
      <c r="C2265" s="36"/>
      <c r="D2265" s="36"/>
      <c r="E2265" s="36"/>
      <c r="F2265" s="36"/>
      <c r="G2265" s="36"/>
      <c r="H2265" s="36"/>
      <c r="I2265" s="40"/>
      <c r="J2265" s="31"/>
      <c r="K2265" s="36"/>
      <c r="M2265" s="37"/>
      <c r="N2265" s="37"/>
      <c r="O2265" s="37"/>
      <c r="P2265" s="36"/>
      <c r="Q2265" s="36"/>
      <c r="R2265" s="31"/>
      <c r="S2265" s="31"/>
      <c r="T2265" s="38"/>
      <c r="U2265" s="39">
        <f>IFERROR(_xlfn.XLOOKUP(E2265,[1]EMPREENDIMENTO!C:C,[1]EMPREENDIMENTO!D:D),"")</f>
        <v>0</v>
      </c>
    </row>
    <row r="2266" spans="1:21" hidden="1" x14ac:dyDescent="0.35">
      <c r="A2266" s="36"/>
      <c r="B2266" s="36"/>
      <c r="C2266" s="36"/>
      <c r="D2266" s="36"/>
      <c r="E2266" s="36"/>
      <c r="F2266" s="36"/>
      <c r="G2266" s="36"/>
      <c r="H2266" s="36"/>
      <c r="I2266" s="40"/>
      <c r="J2266" s="31"/>
      <c r="K2266" s="36"/>
      <c r="M2266" s="37"/>
      <c r="N2266" s="37"/>
      <c r="O2266" s="37"/>
      <c r="P2266" s="36"/>
      <c r="Q2266" s="36"/>
      <c r="R2266" s="31"/>
      <c r="S2266" s="31"/>
      <c r="T2266" s="38"/>
      <c r="U2266" s="39">
        <f>IFERROR(_xlfn.XLOOKUP(E2266,[1]EMPREENDIMENTO!C:C,[1]EMPREENDIMENTO!D:D),"")</f>
        <v>0</v>
      </c>
    </row>
    <row r="2267" spans="1:21" hidden="1" x14ac:dyDescent="0.35">
      <c r="A2267" s="36"/>
      <c r="B2267" s="36"/>
      <c r="C2267" s="36"/>
      <c r="D2267" s="36"/>
      <c r="E2267" s="36"/>
      <c r="F2267" s="36"/>
      <c r="G2267" s="36"/>
      <c r="H2267" s="36"/>
      <c r="I2267" s="40"/>
      <c r="J2267" s="31"/>
      <c r="K2267" s="36"/>
      <c r="M2267" s="37"/>
      <c r="N2267" s="37"/>
      <c r="O2267" s="37"/>
      <c r="P2267" s="36"/>
      <c r="Q2267" s="36"/>
      <c r="R2267" s="31"/>
      <c r="S2267" s="31"/>
      <c r="T2267" s="38"/>
      <c r="U2267" s="39">
        <f>IFERROR(_xlfn.XLOOKUP(E2267,[1]EMPREENDIMENTO!C:C,[1]EMPREENDIMENTO!D:D),"")</f>
        <v>0</v>
      </c>
    </row>
    <row r="2268" spans="1:21" hidden="1" x14ac:dyDescent="0.35">
      <c r="A2268" s="36"/>
      <c r="B2268" s="36"/>
      <c r="C2268" s="36"/>
      <c r="D2268" s="36"/>
      <c r="E2268" s="36"/>
      <c r="F2268" s="36"/>
      <c r="G2268" s="36"/>
      <c r="H2268" s="36"/>
      <c r="I2268" s="40"/>
      <c r="J2268" s="31"/>
      <c r="K2268" s="36"/>
      <c r="M2268" s="37"/>
      <c r="N2268" s="37"/>
      <c r="O2268" s="37"/>
      <c r="P2268" s="36"/>
      <c r="Q2268" s="36"/>
      <c r="R2268" s="31"/>
      <c r="S2268" s="31"/>
      <c r="T2268" s="38"/>
      <c r="U2268" s="39">
        <f>IFERROR(_xlfn.XLOOKUP(E2268,[1]EMPREENDIMENTO!C:C,[1]EMPREENDIMENTO!D:D),"")</f>
        <v>0</v>
      </c>
    </row>
    <row r="2269" spans="1:21" hidden="1" x14ac:dyDescent="0.35">
      <c r="A2269" s="36"/>
      <c r="B2269" s="36"/>
      <c r="C2269" s="36"/>
      <c r="D2269" s="36"/>
      <c r="E2269" s="36"/>
      <c r="F2269" s="36"/>
      <c r="G2269" s="36"/>
      <c r="H2269" s="36"/>
      <c r="I2269" s="40"/>
      <c r="J2269" s="31"/>
      <c r="K2269" s="36"/>
      <c r="M2269" s="37"/>
      <c r="N2269" s="37"/>
      <c r="O2269" s="37"/>
      <c r="P2269" s="36"/>
      <c r="Q2269" s="36"/>
      <c r="R2269" s="31"/>
      <c r="S2269" s="31"/>
      <c r="T2269" s="38"/>
      <c r="U2269" s="39">
        <f>IFERROR(_xlfn.XLOOKUP(E2269,[1]EMPREENDIMENTO!C:C,[1]EMPREENDIMENTO!D:D),"")</f>
        <v>0</v>
      </c>
    </row>
    <row r="2270" spans="1:21" hidden="1" x14ac:dyDescent="0.35">
      <c r="A2270" s="36"/>
      <c r="B2270" s="36"/>
      <c r="C2270" s="36"/>
      <c r="D2270" s="36"/>
      <c r="E2270" s="36"/>
      <c r="F2270" s="36"/>
      <c r="G2270" s="36"/>
      <c r="H2270" s="36"/>
      <c r="I2270" s="40"/>
      <c r="J2270" s="31"/>
      <c r="K2270" s="36"/>
      <c r="M2270" s="37"/>
      <c r="N2270" s="37"/>
      <c r="O2270" s="37"/>
      <c r="P2270" s="36"/>
      <c r="Q2270" s="36"/>
      <c r="R2270" s="31"/>
      <c r="S2270" s="31"/>
      <c r="T2270" s="38"/>
      <c r="U2270" s="39">
        <f>IFERROR(_xlfn.XLOOKUP(E2270,[1]EMPREENDIMENTO!C:C,[1]EMPREENDIMENTO!D:D),"")</f>
        <v>0</v>
      </c>
    </row>
    <row r="2271" spans="1:21" hidden="1" x14ac:dyDescent="0.35">
      <c r="A2271" s="36"/>
      <c r="B2271" s="36"/>
      <c r="C2271" s="36"/>
      <c r="D2271" s="36"/>
      <c r="E2271" s="36"/>
      <c r="F2271" s="36"/>
      <c r="G2271" s="36"/>
      <c r="H2271" s="36"/>
      <c r="I2271" s="40"/>
      <c r="J2271" s="31"/>
      <c r="K2271" s="36"/>
      <c r="M2271" s="37"/>
      <c r="N2271" s="37"/>
      <c r="O2271" s="37"/>
      <c r="P2271" s="36"/>
      <c r="Q2271" s="36"/>
      <c r="R2271" s="31"/>
      <c r="S2271" s="31"/>
      <c r="T2271" s="38"/>
      <c r="U2271" s="39">
        <f>IFERROR(_xlfn.XLOOKUP(E2271,[1]EMPREENDIMENTO!C:C,[1]EMPREENDIMENTO!D:D),"")</f>
        <v>0</v>
      </c>
    </row>
    <row r="2272" spans="1:21" hidden="1" x14ac:dyDescent="0.35">
      <c r="A2272" s="36"/>
      <c r="B2272" s="36"/>
      <c r="C2272" s="36"/>
      <c r="D2272" s="36"/>
      <c r="E2272" s="36"/>
      <c r="F2272" s="36"/>
      <c r="G2272" s="36"/>
      <c r="H2272" s="36"/>
      <c r="I2272" s="40"/>
      <c r="J2272" s="31"/>
      <c r="K2272" s="36"/>
      <c r="M2272" s="37"/>
      <c r="N2272" s="37"/>
      <c r="O2272" s="37"/>
      <c r="P2272" s="36"/>
      <c r="Q2272" s="36"/>
      <c r="R2272" s="31"/>
      <c r="S2272" s="31"/>
      <c r="T2272" s="38"/>
      <c r="U2272" s="39">
        <f>IFERROR(_xlfn.XLOOKUP(E2272,[1]EMPREENDIMENTO!C:C,[1]EMPREENDIMENTO!D:D),"")</f>
        <v>0</v>
      </c>
    </row>
    <row r="2273" spans="1:21" hidden="1" x14ac:dyDescent="0.35">
      <c r="A2273" s="36"/>
      <c r="B2273" s="36"/>
      <c r="C2273" s="36"/>
      <c r="D2273" s="36"/>
      <c r="E2273" s="36"/>
      <c r="F2273" s="36"/>
      <c r="G2273" s="36"/>
      <c r="H2273" s="36"/>
      <c r="I2273" s="40"/>
      <c r="J2273" s="31"/>
      <c r="K2273" s="36"/>
      <c r="M2273" s="37"/>
      <c r="N2273" s="37"/>
      <c r="O2273" s="37"/>
      <c r="P2273" s="36"/>
      <c r="Q2273" s="36"/>
      <c r="R2273" s="31"/>
      <c r="S2273" s="31"/>
      <c r="T2273" s="38"/>
      <c r="U2273" s="39">
        <f>IFERROR(_xlfn.XLOOKUP(E2273,[1]EMPREENDIMENTO!C:C,[1]EMPREENDIMENTO!D:D),"")</f>
        <v>0</v>
      </c>
    </row>
    <row r="2274" spans="1:21" hidden="1" x14ac:dyDescent="0.35">
      <c r="A2274" s="36"/>
      <c r="B2274" s="36"/>
      <c r="C2274" s="36"/>
      <c r="D2274" s="36"/>
      <c r="E2274" s="36"/>
      <c r="F2274" s="36"/>
      <c r="G2274" s="36"/>
      <c r="H2274" s="36"/>
      <c r="I2274" s="40"/>
      <c r="J2274" s="31"/>
      <c r="K2274" s="36"/>
      <c r="M2274" s="37"/>
      <c r="N2274" s="37"/>
      <c r="O2274" s="37"/>
      <c r="P2274" s="36"/>
      <c r="Q2274" s="36"/>
      <c r="R2274" s="31"/>
      <c r="S2274" s="31"/>
      <c r="T2274" s="38"/>
      <c r="U2274" s="39">
        <f>IFERROR(_xlfn.XLOOKUP(E2274,[1]EMPREENDIMENTO!C:C,[1]EMPREENDIMENTO!D:D),"")</f>
        <v>0</v>
      </c>
    </row>
    <row r="2275" spans="1:21" hidden="1" x14ac:dyDescent="0.35">
      <c r="A2275" s="36"/>
      <c r="B2275" s="36"/>
      <c r="C2275" s="36"/>
      <c r="D2275" s="36"/>
      <c r="E2275" s="36"/>
      <c r="F2275" s="36"/>
      <c r="G2275" s="36"/>
      <c r="H2275" s="36"/>
      <c r="I2275" s="40"/>
      <c r="J2275" s="31"/>
      <c r="K2275" s="36"/>
      <c r="M2275" s="37"/>
      <c r="N2275" s="37"/>
      <c r="O2275" s="37"/>
      <c r="P2275" s="36"/>
      <c r="Q2275" s="36"/>
      <c r="R2275" s="31"/>
      <c r="S2275" s="31"/>
      <c r="T2275" s="38"/>
      <c r="U2275" s="39">
        <f>IFERROR(_xlfn.XLOOKUP(E2275,[1]EMPREENDIMENTO!C:C,[1]EMPREENDIMENTO!D:D),"")</f>
        <v>0</v>
      </c>
    </row>
    <row r="2276" spans="1:21" hidden="1" x14ac:dyDescent="0.35">
      <c r="A2276" s="36"/>
      <c r="B2276" s="36"/>
      <c r="C2276" s="36"/>
      <c r="D2276" s="36"/>
      <c r="E2276" s="36"/>
      <c r="F2276" s="36"/>
      <c r="G2276" s="36"/>
      <c r="H2276" s="36"/>
      <c r="I2276" s="40"/>
      <c r="J2276" s="31"/>
      <c r="K2276" s="36"/>
      <c r="M2276" s="37"/>
      <c r="N2276" s="37"/>
      <c r="O2276" s="37"/>
      <c r="P2276" s="36"/>
      <c r="Q2276" s="36"/>
      <c r="R2276" s="31"/>
      <c r="S2276" s="31"/>
      <c r="T2276" s="38"/>
      <c r="U2276" s="39">
        <f>IFERROR(_xlfn.XLOOKUP(E2276,[1]EMPREENDIMENTO!C:C,[1]EMPREENDIMENTO!D:D),"")</f>
        <v>0</v>
      </c>
    </row>
    <row r="2277" spans="1:21" hidden="1" x14ac:dyDescent="0.35">
      <c r="A2277" s="36"/>
      <c r="B2277" s="36"/>
      <c r="C2277" s="36"/>
      <c r="D2277" s="36"/>
      <c r="E2277" s="36"/>
      <c r="F2277" s="36"/>
      <c r="G2277" s="36"/>
      <c r="H2277" s="36"/>
      <c r="I2277" s="40"/>
      <c r="J2277" s="31"/>
      <c r="K2277" s="36"/>
      <c r="M2277" s="37"/>
      <c r="N2277" s="37"/>
      <c r="O2277" s="37"/>
      <c r="P2277" s="36"/>
      <c r="Q2277" s="36"/>
      <c r="R2277" s="31"/>
      <c r="S2277" s="31"/>
      <c r="T2277" s="38"/>
      <c r="U2277" s="39">
        <f>IFERROR(_xlfn.XLOOKUP(E2277,[1]EMPREENDIMENTO!C:C,[1]EMPREENDIMENTO!D:D),"")</f>
        <v>0</v>
      </c>
    </row>
    <row r="2278" spans="1:21" hidden="1" x14ac:dyDescent="0.35">
      <c r="A2278" s="36"/>
      <c r="B2278" s="36"/>
      <c r="C2278" s="36"/>
      <c r="D2278" s="36"/>
      <c r="E2278" s="36"/>
      <c r="F2278" s="36"/>
      <c r="G2278" s="36"/>
      <c r="H2278" s="36"/>
      <c r="I2278" s="40"/>
      <c r="J2278" s="31"/>
      <c r="K2278" s="36"/>
      <c r="M2278" s="37"/>
      <c r="N2278" s="37"/>
      <c r="O2278" s="37"/>
      <c r="P2278" s="36"/>
      <c r="Q2278" s="36"/>
      <c r="R2278" s="31"/>
      <c r="S2278" s="31"/>
      <c r="T2278" s="38"/>
      <c r="U2278" s="39">
        <f>IFERROR(_xlfn.XLOOKUP(E2278,[1]EMPREENDIMENTO!C:C,[1]EMPREENDIMENTO!D:D),"")</f>
        <v>0</v>
      </c>
    </row>
    <row r="2279" spans="1:21" hidden="1" x14ac:dyDescent="0.35">
      <c r="A2279" s="36"/>
      <c r="B2279" s="36"/>
      <c r="C2279" s="36"/>
      <c r="D2279" s="36"/>
      <c r="E2279" s="36"/>
      <c r="F2279" s="36"/>
      <c r="G2279" s="36"/>
      <c r="H2279" s="36"/>
      <c r="I2279" s="40"/>
      <c r="J2279" s="31"/>
      <c r="K2279" s="36"/>
      <c r="M2279" s="37"/>
      <c r="N2279" s="37"/>
      <c r="O2279" s="37"/>
      <c r="P2279" s="36"/>
      <c r="Q2279" s="36"/>
      <c r="R2279" s="31"/>
      <c r="S2279" s="31"/>
      <c r="T2279" s="38"/>
      <c r="U2279" s="39">
        <f>IFERROR(_xlfn.XLOOKUP(E2279,[1]EMPREENDIMENTO!C:C,[1]EMPREENDIMENTO!D:D),"")</f>
        <v>0</v>
      </c>
    </row>
    <row r="2280" spans="1:21" hidden="1" x14ac:dyDescent="0.35">
      <c r="A2280" s="36"/>
      <c r="B2280" s="36"/>
      <c r="C2280" s="36"/>
      <c r="D2280" s="36"/>
      <c r="E2280" s="36"/>
      <c r="F2280" s="36"/>
      <c r="G2280" s="36"/>
      <c r="H2280" s="36"/>
      <c r="I2280" s="40"/>
      <c r="J2280" s="31"/>
      <c r="K2280" s="36"/>
      <c r="M2280" s="37"/>
      <c r="N2280" s="37"/>
      <c r="O2280" s="37"/>
      <c r="P2280" s="36"/>
      <c r="Q2280" s="36"/>
      <c r="R2280" s="31"/>
      <c r="S2280" s="31"/>
      <c r="T2280" s="38"/>
      <c r="U2280" s="39">
        <f>IFERROR(_xlfn.XLOOKUP(E2280,[1]EMPREENDIMENTO!C:C,[1]EMPREENDIMENTO!D:D),"")</f>
        <v>0</v>
      </c>
    </row>
    <row r="2281" spans="1:21" hidden="1" x14ac:dyDescent="0.35">
      <c r="A2281" s="36"/>
      <c r="B2281" s="36"/>
      <c r="C2281" s="36"/>
      <c r="D2281" s="36"/>
      <c r="E2281" s="36"/>
      <c r="F2281" s="36"/>
      <c r="G2281" s="36"/>
      <c r="H2281" s="36"/>
      <c r="I2281" s="40"/>
      <c r="J2281" s="31"/>
      <c r="K2281" s="36"/>
      <c r="M2281" s="37"/>
      <c r="N2281" s="37"/>
      <c r="O2281" s="37"/>
      <c r="P2281" s="36"/>
      <c r="Q2281" s="36"/>
      <c r="R2281" s="31"/>
      <c r="S2281" s="31"/>
      <c r="T2281" s="38"/>
      <c r="U2281" s="39">
        <f>IFERROR(_xlfn.XLOOKUP(E2281,[1]EMPREENDIMENTO!C:C,[1]EMPREENDIMENTO!D:D),"")</f>
        <v>0</v>
      </c>
    </row>
    <row r="2282" spans="1:21" hidden="1" x14ac:dyDescent="0.35">
      <c r="A2282" s="36"/>
      <c r="B2282" s="36"/>
      <c r="C2282" s="36"/>
      <c r="D2282" s="36"/>
      <c r="E2282" s="36"/>
      <c r="F2282" s="36"/>
      <c r="G2282" s="36"/>
      <c r="H2282" s="36"/>
      <c r="I2282" s="40"/>
      <c r="J2282" s="31"/>
      <c r="K2282" s="36"/>
      <c r="M2282" s="37"/>
      <c r="N2282" s="37"/>
      <c r="O2282" s="37"/>
      <c r="P2282" s="36"/>
      <c r="Q2282" s="36"/>
      <c r="R2282" s="31"/>
      <c r="S2282" s="31"/>
      <c r="T2282" s="38"/>
      <c r="U2282" s="39">
        <f>IFERROR(_xlfn.XLOOKUP(E2282,[1]EMPREENDIMENTO!C:C,[1]EMPREENDIMENTO!D:D),"")</f>
        <v>0</v>
      </c>
    </row>
    <row r="2283" spans="1:21" hidden="1" x14ac:dyDescent="0.35">
      <c r="A2283" s="36"/>
      <c r="B2283" s="36"/>
      <c r="C2283" s="36"/>
      <c r="D2283" s="36"/>
      <c r="E2283" s="36"/>
      <c r="F2283" s="36"/>
      <c r="G2283" s="36"/>
      <c r="H2283" s="36"/>
      <c r="I2283" s="40"/>
      <c r="J2283" s="31"/>
      <c r="K2283" s="36"/>
      <c r="M2283" s="37"/>
      <c r="N2283" s="37"/>
      <c r="O2283" s="37"/>
      <c r="P2283" s="36"/>
      <c r="Q2283" s="36"/>
      <c r="R2283" s="31"/>
      <c r="S2283" s="31"/>
      <c r="T2283" s="38"/>
      <c r="U2283" s="39">
        <f>IFERROR(_xlfn.XLOOKUP(E2283,[1]EMPREENDIMENTO!C:C,[1]EMPREENDIMENTO!D:D),"")</f>
        <v>0</v>
      </c>
    </row>
    <row r="2284" spans="1:21" hidden="1" x14ac:dyDescent="0.35">
      <c r="A2284" s="36"/>
      <c r="B2284" s="36"/>
      <c r="C2284" s="36"/>
      <c r="D2284" s="36"/>
      <c r="E2284" s="36"/>
      <c r="F2284" s="36"/>
      <c r="G2284" s="36"/>
      <c r="H2284" s="36"/>
      <c r="I2284" s="40"/>
      <c r="J2284" s="31"/>
      <c r="K2284" s="36"/>
      <c r="M2284" s="37"/>
      <c r="N2284" s="37"/>
      <c r="O2284" s="37"/>
      <c r="P2284" s="36"/>
      <c r="Q2284" s="36"/>
      <c r="R2284" s="31"/>
      <c r="S2284" s="31"/>
      <c r="T2284" s="38"/>
      <c r="U2284" s="39">
        <f>IFERROR(_xlfn.XLOOKUP(E2284,[1]EMPREENDIMENTO!C:C,[1]EMPREENDIMENTO!D:D),"")</f>
        <v>0</v>
      </c>
    </row>
    <row r="2285" spans="1:21" hidden="1" x14ac:dyDescent="0.35">
      <c r="A2285" s="36"/>
      <c r="B2285" s="36"/>
      <c r="C2285" s="36"/>
      <c r="D2285" s="36"/>
      <c r="E2285" s="36"/>
      <c r="F2285" s="36"/>
      <c r="G2285" s="36"/>
      <c r="H2285" s="36"/>
      <c r="I2285" s="40"/>
      <c r="J2285" s="31"/>
      <c r="K2285" s="36"/>
      <c r="M2285" s="37"/>
      <c r="N2285" s="37"/>
      <c r="O2285" s="37"/>
      <c r="P2285" s="36"/>
      <c r="Q2285" s="36"/>
      <c r="R2285" s="31"/>
      <c r="S2285" s="31"/>
      <c r="T2285" s="38"/>
      <c r="U2285" s="39">
        <f>IFERROR(_xlfn.XLOOKUP(E2285,[1]EMPREENDIMENTO!C:C,[1]EMPREENDIMENTO!D:D),"")</f>
        <v>0</v>
      </c>
    </row>
    <row r="2286" spans="1:21" hidden="1" x14ac:dyDescent="0.35">
      <c r="A2286" s="36"/>
      <c r="B2286" s="36"/>
      <c r="C2286" s="36"/>
      <c r="D2286" s="36"/>
      <c r="E2286" s="36"/>
      <c r="F2286" s="36"/>
      <c r="G2286" s="36"/>
      <c r="H2286" s="36"/>
      <c r="I2286" s="40"/>
      <c r="J2286" s="31"/>
      <c r="K2286" s="36"/>
      <c r="M2286" s="37"/>
      <c r="N2286" s="37"/>
      <c r="O2286" s="37"/>
      <c r="P2286" s="36"/>
      <c r="Q2286" s="36"/>
      <c r="R2286" s="31"/>
      <c r="S2286" s="31"/>
      <c r="T2286" s="38"/>
      <c r="U2286" s="39">
        <f>IFERROR(_xlfn.XLOOKUP(E2286,[1]EMPREENDIMENTO!C:C,[1]EMPREENDIMENTO!D:D),"")</f>
        <v>0</v>
      </c>
    </row>
    <row r="2287" spans="1:21" hidden="1" x14ac:dyDescent="0.35">
      <c r="A2287" s="36"/>
      <c r="B2287" s="36"/>
      <c r="C2287" s="36"/>
      <c r="D2287" s="36"/>
      <c r="E2287" s="36"/>
      <c r="F2287" s="36"/>
      <c r="G2287" s="36"/>
      <c r="H2287" s="36"/>
      <c r="I2287" s="40"/>
      <c r="J2287" s="31"/>
      <c r="K2287" s="36"/>
      <c r="M2287" s="37"/>
      <c r="N2287" s="37"/>
      <c r="O2287" s="37"/>
      <c r="P2287" s="36"/>
      <c r="Q2287" s="36"/>
      <c r="R2287" s="31"/>
      <c r="S2287" s="31"/>
      <c r="T2287" s="38"/>
      <c r="U2287" s="39">
        <f>IFERROR(_xlfn.XLOOKUP(E2287,[1]EMPREENDIMENTO!C:C,[1]EMPREENDIMENTO!D:D),"")</f>
        <v>0</v>
      </c>
    </row>
    <row r="2288" spans="1:21" hidden="1" x14ac:dyDescent="0.35">
      <c r="A2288" s="36"/>
      <c r="B2288" s="36"/>
      <c r="C2288" s="36"/>
      <c r="D2288" s="36"/>
      <c r="E2288" s="36"/>
      <c r="F2288" s="36"/>
      <c r="G2288" s="36"/>
      <c r="H2288" s="36"/>
      <c r="I2288" s="40"/>
      <c r="J2288" s="31"/>
      <c r="K2288" s="36"/>
      <c r="M2288" s="37"/>
      <c r="N2288" s="37"/>
      <c r="O2288" s="37"/>
      <c r="P2288" s="36"/>
      <c r="Q2288" s="36"/>
      <c r="R2288" s="31"/>
      <c r="S2288" s="31"/>
      <c r="T2288" s="38"/>
      <c r="U2288" s="39">
        <f>IFERROR(_xlfn.XLOOKUP(E2288,[1]EMPREENDIMENTO!C:C,[1]EMPREENDIMENTO!D:D),"")</f>
        <v>0</v>
      </c>
    </row>
    <row r="2289" spans="1:21" hidden="1" x14ac:dyDescent="0.35">
      <c r="A2289" s="36"/>
      <c r="B2289" s="36"/>
      <c r="C2289" s="36"/>
      <c r="D2289" s="36"/>
      <c r="E2289" s="36"/>
      <c r="F2289" s="36"/>
      <c r="G2289" s="36"/>
      <c r="H2289" s="36"/>
      <c r="I2289" s="40"/>
      <c r="J2289" s="31"/>
      <c r="K2289" s="36"/>
      <c r="M2289" s="37"/>
      <c r="N2289" s="37"/>
      <c r="O2289" s="37"/>
      <c r="P2289" s="36"/>
      <c r="Q2289" s="36"/>
      <c r="R2289" s="31"/>
      <c r="S2289" s="31"/>
      <c r="T2289" s="38"/>
      <c r="U2289" s="39">
        <f>IFERROR(_xlfn.XLOOKUP(E2289,[1]EMPREENDIMENTO!C:C,[1]EMPREENDIMENTO!D:D),"")</f>
        <v>0</v>
      </c>
    </row>
    <row r="2290" spans="1:21" hidden="1" x14ac:dyDescent="0.35">
      <c r="A2290" s="36"/>
      <c r="B2290" s="36"/>
      <c r="C2290" s="36"/>
      <c r="D2290" s="36"/>
      <c r="E2290" s="36"/>
      <c r="F2290" s="36"/>
      <c r="G2290" s="36"/>
      <c r="H2290" s="36"/>
      <c r="I2290" s="40"/>
      <c r="J2290" s="31"/>
      <c r="K2290" s="36"/>
      <c r="M2290" s="37"/>
      <c r="N2290" s="37"/>
      <c r="O2290" s="37"/>
      <c r="P2290" s="36"/>
      <c r="Q2290" s="36"/>
      <c r="R2290" s="31"/>
      <c r="S2290" s="31"/>
      <c r="T2290" s="38"/>
      <c r="U2290" s="39">
        <f>IFERROR(_xlfn.XLOOKUP(E2290,[1]EMPREENDIMENTO!C:C,[1]EMPREENDIMENTO!D:D),"")</f>
        <v>0</v>
      </c>
    </row>
    <row r="2291" spans="1:21" hidden="1" x14ac:dyDescent="0.35">
      <c r="A2291" s="36"/>
      <c r="B2291" s="36"/>
      <c r="C2291" s="36"/>
      <c r="D2291" s="36"/>
      <c r="E2291" s="36"/>
      <c r="F2291" s="36"/>
      <c r="G2291" s="36"/>
      <c r="H2291" s="36"/>
      <c r="I2291" s="40"/>
      <c r="J2291" s="31"/>
      <c r="K2291" s="36"/>
      <c r="M2291" s="37"/>
      <c r="N2291" s="37"/>
      <c r="O2291" s="37"/>
      <c r="P2291" s="36"/>
      <c r="Q2291" s="36"/>
      <c r="R2291" s="31"/>
      <c r="S2291" s="31"/>
      <c r="T2291" s="38"/>
      <c r="U2291" s="39">
        <f>IFERROR(_xlfn.XLOOKUP(E2291,[1]EMPREENDIMENTO!C:C,[1]EMPREENDIMENTO!D:D),"")</f>
        <v>0</v>
      </c>
    </row>
    <row r="2292" spans="1:21" hidden="1" x14ac:dyDescent="0.35">
      <c r="A2292" s="36"/>
      <c r="B2292" s="36"/>
      <c r="C2292" s="36"/>
      <c r="D2292" s="36"/>
      <c r="E2292" s="36"/>
      <c r="F2292" s="36"/>
      <c r="G2292" s="36"/>
      <c r="H2292" s="36"/>
      <c r="I2292" s="40"/>
      <c r="J2292" s="31"/>
      <c r="K2292" s="36"/>
      <c r="M2292" s="37"/>
      <c r="N2292" s="37"/>
      <c r="O2292" s="37"/>
      <c r="P2292" s="36"/>
      <c r="Q2292" s="36"/>
      <c r="R2292" s="31"/>
      <c r="S2292" s="31"/>
      <c r="T2292" s="38"/>
      <c r="U2292" s="39">
        <f>IFERROR(_xlfn.XLOOKUP(E2292,[1]EMPREENDIMENTO!C:C,[1]EMPREENDIMENTO!D:D),"")</f>
        <v>0</v>
      </c>
    </row>
    <row r="2293" spans="1:21" hidden="1" x14ac:dyDescent="0.35">
      <c r="A2293" s="36"/>
      <c r="B2293" s="36"/>
      <c r="C2293" s="36"/>
      <c r="D2293" s="36"/>
      <c r="E2293" s="36"/>
      <c r="F2293" s="36"/>
      <c r="G2293" s="36"/>
      <c r="H2293" s="36"/>
      <c r="I2293" s="40"/>
      <c r="J2293" s="31"/>
      <c r="K2293" s="36"/>
      <c r="M2293" s="37"/>
      <c r="N2293" s="37"/>
      <c r="O2293" s="37"/>
      <c r="P2293" s="36"/>
      <c r="Q2293" s="36"/>
      <c r="R2293" s="31"/>
      <c r="S2293" s="31"/>
      <c r="T2293" s="38"/>
      <c r="U2293" s="39">
        <f>IFERROR(_xlfn.XLOOKUP(E2293,[1]EMPREENDIMENTO!C:C,[1]EMPREENDIMENTO!D:D),"")</f>
        <v>0</v>
      </c>
    </row>
    <row r="2294" spans="1:21" hidden="1" x14ac:dyDescent="0.35">
      <c r="A2294" s="36"/>
      <c r="B2294" s="36"/>
      <c r="C2294" s="36"/>
      <c r="D2294" s="36"/>
      <c r="E2294" s="36"/>
      <c r="F2294" s="36"/>
      <c r="G2294" s="36"/>
      <c r="H2294" s="36"/>
      <c r="I2294" s="40"/>
      <c r="J2294" s="31"/>
      <c r="K2294" s="36"/>
      <c r="M2294" s="37"/>
      <c r="N2294" s="37"/>
      <c r="O2294" s="37"/>
      <c r="P2294" s="36"/>
      <c r="Q2294" s="36"/>
      <c r="R2294" s="31"/>
      <c r="S2294" s="31"/>
      <c r="T2294" s="38"/>
      <c r="U2294" s="39">
        <f>IFERROR(_xlfn.XLOOKUP(E2294,[1]EMPREENDIMENTO!C:C,[1]EMPREENDIMENTO!D:D),"")</f>
        <v>0</v>
      </c>
    </row>
    <row r="2295" spans="1:21" hidden="1" x14ac:dyDescent="0.35">
      <c r="A2295" s="36"/>
      <c r="B2295" s="36"/>
      <c r="C2295" s="36"/>
      <c r="D2295" s="36"/>
      <c r="E2295" s="36"/>
      <c r="F2295" s="36"/>
      <c r="G2295" s="36"/>
      <c r="H2295" s="36"/>
      <c r="I2295" s="40"/>
      <c r="J2295" s="31"/>
      <c r="K2295" s="36"/>
      <c r="M2295" s="37"/>
      <c r="N2295" s="37"/>
      <c r="O2295" s="37"/>
      <c r="P2295" s="36"/>
      <c r="Q2295" s="36"/>
      <c r="R2295" s="31"/>
      <c r="S2295" s="31"/>
      <c r="T2295" s="38"/>
      <c r="U2295" s="39">
        <f>IFERROR(_xlfn.XLOOKUP(E2295,[1]EMPREENDIMENTO!C:C,[1]EMPREENDIMENTO!D:D),"")</f>
        <v>0</v>
      </c>
    </row>
    <row r="2296" spans="1:21" hidden="1" x14ac:dyDescent="0.35">
      <c r="A2296" s="36"/>
      <c r="B2296" s="36"/>
      <c r="C2296" s="36"/>
      <c r="D2296" s="36"/>
      <c r="E2296" s="36"/>
      <c r="F2296" s="36"/>
      <c r="G2296" s="36"/>
      <c r="H2296" s="36"/>
      <c r="I2296" s="40"/>
      <c r="J2296" s="31"/>
      <c r="K2296" s="36"/>
      <c r="M2296" s="37"/>
      <c r="N2296" s="37"/>
      <c r="O2296" s="37"/>
      <c r="P2296" s="36"/>
      <c r="Q2296" s="36"/>
      <c r="R2296" s="31"/>
      <c r="S2296" s="31"/>
      <c r="T2296" s="38"/>
      <c r="U2296" s="39">
        <f>IFERROR(_xlfn.XLOOKUP(E2296,[1]EMPREENDIMENTO!C:C,[1]EMPREENDIMENTO!D:D),"")</f>
        <v>0</v>
      </c>
    </row>
    <row r="2297" spans="1:21" hidden="1" x14ac:dyDescent="0.35">
      <c r="A2297" s="36"/>
      <c r="B2297" s="36"/>
      <c r="C2297" s="36"/>
      <c r="D2297" s="36"/>
      <c r="E2297" s="36"/>
      <c r="F2297" s="36"/>
      <c r="G2297" s="36"/>
      <c r="H2297" s="36"/>
      <c r="I2297" s="40"/>
      <c r="J2297" s="31"/>
      <c r="K2297" s="36"/>
      <c r="M2297" s="37"/>
      <c r="N2297" s="37"/>
      <c r="O2297" s="37"/>
      <c r="P2297" s="36"/>
      <c r="Q2297" s="36"/>
      <c r="R2297" s="31"/>
      <c r="S2297" s="31"/>
      <c r="T2297" s="38"/>
      <c r="U2297" s="39">
        <f>IFERROR(_xlfn.XLOOKUP(E2297,[1]EMPREENDIMENTO!C:C,[1]EMPREENDIMENTO!D:D),"")</f>
        <v>0</v>
      </c>
    </row>
    <row r="2298" spans="1:21" hidden="1" x14ac:dyDescent="0.35">
      <c r="A2298" s="36"/>
      <c r="B2298" s="36"/>
      <c r="C2298" s="36"/>
      <c r="D2298" s="36"/>
      <c r="E2298" s="36"/>
      <c r="F2298" s="36"/>
      <c r="G2298" s="36"/>
      <c r="H2298" s="36"/>
      <c r="I2298" s="40"/>
      <c r="J2298" s="31"/>
      <c r="K2298" s="36"/>
      <c r="M2298" s="37"/>
      <c r="N2298" s="37"/>
      <c r="O2298" s="37"/>
      <c r="P2298" s="36"/>
      <c r="Q2298" s="36"/>
      <c r="R2298" s="31"/>
      <c r="S2298" s="31"/>
      <c r="T2298" s="38"/>
      <c r="U2298" s="39">
        <f>IFERROR(_xlfn.XLOOKUP(E2298,[1]EMPREENDIMENTO!C:C,[1]EMPREENDIMENTO!D:D),"")</f>
        <v>0</v>
      </c>
    </row>
    <row r="2299" spans="1:21" hidden="1" x14ac:dyDescent="0.35">
      <c r="A2299" s="36"/>
      <c r="B2299" s="36"/>
      <c r="C2299" s="36"/>
      <c r="D2299" s="36"/>
      <c r="E2299" s="36"/>
      <c r="F2299" s="36"/>
      <c r="G2299" s="36"/>
      <c r="H2299" s="36"/>
      <c r="I2299" s="40"/>
      <c r="J2299" s="31"/>
      <c r="K2299" s="36"/>
      <c r="M2299" s="37"/>
      <c r="N2299" s="37"/>
      <c r="O2299" s="37"/>
      <c r="P2299" s="36"/>
      <c r="Q2299" s="36"/>
      <c r="R2299" s="31"/>
      <c r="S2299" s="31"/>
      <c r="T2299" s="38"/>
      <c r="U2299" s="39">
        <f>IFERROR(_xlfn.XLOOKUP(E2299,[1]EMPREENDIMENTO!C:C,[1]EMPREENDIMENTO!D:D),"")</f>
        <v>0</v>
      </c>
    </row>
    <row r="2300" spans="1:21" hidden="1" x14ac:dyDescent="0.35">
      <c r="A2300" s="36"/>
      <c r="B2300" s="36"/>
      <c r="C2300" s="36"/>
      <c r="D2300" s="36"/>
      <c r="E2300" s="36"/>
      <c r="F2300" s="36"/>
      <c r="G2300" s="36"/>
      <c r="H2300" s="36"/>
      <c r="I2300" s="40"/>
      <c r="J2300" s="31"/>
      <c r="K2300" s="36"/>
      <c r="M2300" s="37"/>
      <c r="N2300" s="37"/>
      <c r="O2300" s="37"/>
      <c r="P2300" s="36"/>
      <c r="Q2300" s="36"/>
      <c r="R2300" s="31"/>
      <c r="S2300" s="31"/>
      <c r="T2300" s="38"/>
      <c r="U2300" s="39">
        <f>IFERROR(_xlfn.XLOOKUP(E2300,[1]EMPREENDIMENTO!C:C,[1]EMPREENDIMENTO!D:D),"")</f>
        <v>0</v>
      </c>
    </row>
    <row r="2301" spans="1:21" hidden="1" x14ac:dyDescent="0.35">
      <c r="A2301" s="36"/>
      <c r="B2301" s="36"/>
      <c r="C2301" s="36"/>
      <c r="D2301" s="36"/>
      <c r="E2301" s="36"/>
      <c r="F2301" s="36"/>
      <c r="G2301" s="36"/>
      <c r="H2301" s="36"/>
      <c r="I2301" s="40"/>
      <c r="J2301" s="31"/>
      <c r="K2301" s="36"/>
      <c r="M2301" s="37"/>
      <c r="N2301" s="37"/>
      <c r="O2301" s="37"/>
      <c r="P2301" s="36"/>
      <c r="Q2301" s="36"/>
      <c r="R2301" s="31"/>
      <c r="S2301" s="31"/>
      <c r="T2301" s="38"/>
      <c r="U2301" s="39">
        <f>IFERROR(_xlfn.XLOOKUP(E2301,[1]EMPREENDIMENTO!C:C,[1]EMPREENDIMENTO!D:D),"")</f>
        <v>0</v>
      </c>
    </row>
    <row r="2302" spans="1:21" hidden="1" x14ac:dyDescent="0.35">
      <c r="A2302" s="36"/>
      <c r="B2302" s="36"/>
      <c r="C2302" s="36"/>
      <c r="D2302" s="36"/>
      <c r="E2302" s="36"/>
      <c r="F2302" s="36"/>
      <c r="G2302" s="36"/>
      <c r="H2302" s="36"/>
      <c r="I2302" s="40"/>
      <c r="J2302" s="31"/>
      <c r="K2302" s="36"/>
      <c r="M2302" s="37"/>
      <c r="N2302" s="37"/>
      <c r="O2302" s="37"/>
      <c r="P2302" s="36"/>
      <c r="Q2302" s="36"/>
      <c r="R2302" s="31"/>
      <c r="S2302" s="31"/>
      <c r="T2302" s="38"/>
      <c r="U2302" s="39">
        <f>IFERROR(_xlfn.XLOOKUP(E2302,[1]EMPREENDIMENTO!C:C,[1]EMPREENDIMENTO!D:D),"")</f>
        <v>0</v>
      </c>
    </row>
    <row r="2303" spans="1:21" hidden="1" x14ac:dyDescent="0.35">
      <c r="U2303" s="46">
        <f>IFERROR(_xlfn.XLOOKUP(E2303,[1]EMPREENDIMENTO!C:C,[1]EMPREENDIMENTO!D:D),"")</f>
        <v>0</v>
      </c>
    </row>
    <row r="2304" spans="1:21" hidden="1" x14ac:dyDescent="0.35">
      <c r="U2304" s="46">
        <f>IFERROR(_xlfn.XLOOKUP(E2304,[1]EMPREENDIMENTO!C:C,[1]EMPREENDIMENTO!D:D),"")</f>
        <v>0</v>
      </c>
    </row>
    <row r="2305" spans="21:21" hidden="1" x14ac:dyDescent="0.35">
      <c r="U2305" s="46">
        <f>IFERROR(_xlfn.XLOOKUP(E2305,[1]EMPREENDIMENTO!C:C,[1]EMPREENDIMENTO!D:D),"")</f>
        <v>0</v>
      </c>
    </row>
    <row r="2306" spans="21:21" hidden="1" x14ac:dyDescent="0.35">
      <c r="U2306" s="46">
        <f>IFERROR(_xlfn.XLOOKUP(E2306,[1]EMPREENDIMENTO!C:C,[1]EMPREENDIMENTO!D:D),"")</f>
        <v>0</v>
      </c>
    </row>
    <row r="2307" spans="21:21" hidden="1" x14ac:dyDescent="0.35">
      <c r="U2307" s="46">
        <f>IFERROR(_xlfn.XLOOKUP(E2307,[1]EMPREENDIMENTO!C:C,[1]EMPREENDIMENTO!D:D),"")</f>
        <v>0</v>
      </c>
    </row>
    <row r="2308" spans="21:21" hidden="1" x14ac:dyDescent="0.35">
      <c r="U2308" s="46">
        <f>IFERROR(_xlfn.XLOOKUP(E2308,[1]EMPREENDIMENTO!C:C,[1]EMPREENDIMENTO!D:D),"")</f>
        <v>0</v>
      </c>
    </row>
    <row r="2309" spans="21:21" hidden="1" x14ac:dyDescent="0.35">
      <c r="U2309" s="46">
        <f>IFERROR(_xlfn.XLOOKUP(E2309,[1]EMPREENDIMENTO!C:C,[1]EMPREENDIMENTO!D:D),"")</f>
        <v>0</v>
      </c>
    </row>
    <row r="2310" spans="21:21" hidden="1" x14ac:dyDescent="0.35">
      <c r="U2310" s="46">
        <f>IFERROR(_xlfn.XLOOKUP(E2310,[1]EMPREENDIMENTO!C:C,[1]EMPREENDIMENTO!D:D),"")</f>
        <v>0</v>
      </c>
    </row>
    <row r="2311" spans="21:21" hidden="1" x14ac:dyDescent="0.35">
      <c r="U2311" s="46">
        <f>IFERROR(_xlfn.XLOOKUP(E2311,[1]EMPREENDIMENTO!C:C,[1]EMPREENDIMENTO!D:D),"")</f>
        <v>0</v>
      </c>
    </row>
    <row r="2312" spans="21:21" hidden="1" x14ac:dyDescent="0.35">
      <c r="U2312" s="46">
        <f>IFERROR(_xlfn.XLOOKUP(E2312,[1]EMPREENDIMENTO!C:C,[1]EMPREENDIMENTO!D:D),"")</f>
        <v>0</v>
      </c>
    </row>
    <row r="2313" spans="21:21" hidden="1" x14ac:dyDescent="0.35">
      <c r="U2313" s="46">
        <f>IFERROR(_xlfn.XLOOKUP(E2313,[1]EMPREENDIMENTO!C:C,[1]EMPREENDIMENTO!D:D),"")</f>
        <v>0</v>
      </c>
    </row>
    <row r="2314" spans="21:21" hidden="1" x14ac:dyDescent="0.35">
      <c r="U2314" s="46">
        <f>IFERROR(_xlfn.XLOOKUP(E2314,[1]EMPREENDIMENTO!C:C,[1]EMPREENDIMENTO!D:D),"")</f>
        <v>0</v>
      </c>
    </row>
    <row r="2315" spans="21:21" hidden="1" x14ac:dyDescent="0.35">
      <c r="U2315" s="46">
        <f>IFERROR(_xlfn.XLOOKUP(E2315,[1]EMPREENDIMENTO!C:C,[1]EMPREENDIMENTO!D:D),"")</f>
        <v>0</v>
      </c>
    </row>
    <row r="2316" spans="21:21" hidden="1" x14ac:dyDescent="0.35">
      <c r="U2316" s="46">
        <f>IFERROR(_xlfn.XLOOKUP(E2316,[1]EMPREENDIMENTO!C:C,[1]EMPREENDIMENTO!D:D),"")</f>
        <v>0</v>
      </c>
    </row>
    <row r="2317" spans="21:21" hidden="1" x14ac:dyDescent="0.35">
      <c r="U2317" s="46">
        <f>IFERROR(_xlfn.XLOOKUP(E2317,[1]EMPREENDIMENTO!C:C,[1]EMPREENDIMENTO!D:D),"")</f>
        <v>0</v>
      </c>
    </row>
    <row r="2318" spans="21:21" hidden="1" x14ac:dyDescent="0.35">
      <c r="U2318" s="46">
        <f>IFERROR(_xlfn.XLOOKUP(E2318,[1]EMPREENDIMENTO!C:C,[1]EMPREENDIMENTO!D:D),"")</f>
        <v>0</v>
      </c>
    </row>
    <row r="2319" spans="21:21" hidden="1" x14ac:dyDescent="0.35">
      <c r="U2319" s="46">
        <f>IFERROR(_xlfn.XLOOKUP(E2319,[1]EMPREENDIMENTO!C:C,[1]EMPREENDIMENTO!D:D),"")</f>
        <v>0</v>
      </c>
    </row>
    <row r="2320" spans="21:21" hidden="1" x14ac:dyDescent="0.35">
      <c r="U2320" s="46">
        <f>IFERROR(_xlfn.XLOOKUP(E2320,[1]EMPREENDIMENTO!C:C,[1]EMPREENDIMENTO!D:D),"")</f>
        <v>0</v>
      </c>
    </row>
    <row r="2321" spans="21:21" hidden="1" x14ac:dyDescent="0.35">
      <c r="U2321" s="46">
        <f>IFERROR(_xlfn.XLOOKUP(E2321,[1]EMPREENDIMENTO!C:C,[1]EMPREENDIMENTO!D:D),"")</f>
        <v>0</v>
      </c>
    </row>
    <row r="2322" spans="21:21" hidden="1" x14ac:dyDescent="0.35">
      <c r="U2322" s="46">
        <f>IFERROR(_xlfn.XLOOKUP(E2322,[1]EMPREENDIMENTO!C:C,[1]EMPREENDIMENTO!D:D),"")</f>
        <v>0</v>
      </c>
    </row>
    <row r="2323" spans="21:21" hidden="1" x14ac:dyDescent="0.35">
      <c r="U2323" s="46">
        <f>IFERROR(_xlfn.XLOOKUP(E2323,[1]EMPREENDIMENTO!C:C,[1]EMPREENDIMENTO!D:D),"")</f>
        <v>0</v>
      </c>
    </row>
    <row r="2324" spans="21:21" hidden="1" x14ac:dyDescent="0.35">
      <c r="U2324" s="46">
        <f>IFERROR(_xlfn.XLOOKUP(E2324,[1]EMPREENDIMENTO!C:C,[1]EMPREENDIMENTO!D:D),"")</f>
        <v>0</v>
      </c>
    </row>
    <row r="2325" spans="21:21" hidden="1" x14ac:dyDescent="0.35">
      <c r="U2325" s="46">
        <f>IFERROR(_xlfn.XLOOKUP(E2325,[1]EMPREENDIMENTO!C:C,[1]EMPREENDIMENTO!D:D),"")</f>
        <v>0</v>
      </c>
    </row>
    <row r="2326" spans="21:21" hidden="1" x14ac:dyDescent="0.35">
      <c r="U2326" s="46">
        <f>IFERROR(_xlfn.XLOOKUP(E2326,[1]EMPREENDIMENTO!C:C,[1]EMPREENDIMENTO!D:D),"")</f>
        <v>0</v>
      </c>
    </row>
    <row r="2327" spans="21:21" hidden="1" x14ac:dyDescent="0.35">
      <c r="U2327" s="46">
        <f>IFERROR(_xlfn.XLOOKUP(E2327,[1]EMPREENDIMENTO!C:C,[1]EMPREENDIMENTO!D:D),"")</f>
        <v>0</v>
      </c>
    </row>
    <row r="2328" spans="21:21" hidden="1" x14ac:dyDescent="0.35">
      <c r="U2328" s="46">
        <f>IFERROR(_xlfn.XLOOKUP(E2328,[1]EMPREENDIMENTO!C:C,[1]EMPREENDIMENTO!D:D),"")</f>
        <v>0</v>
      </c>
    </row>
    <row r="2329" spans="21:21" hidden="1" x14ac:dyDescent="0.35">
      <c r="U2329" s="46">
        <f>IFERROR(_xlfn.XLOOKUP(E2329,[1]EMPREENDIMENTO!C:C,[1]EMPREENDIMENTO!D:D),"")</f>
        <v>0</v>
      </c>
    </row>
    <row r="2330" spans="21:21" hidden="1" x14ac:dyDescent="0.35">
      <c r="U2330" s="46">
        <f>IFERROR(_xlfn.XLOOKUP(E2330,[1]EMPREENDIMENTO!C:C,[1]EMPREENDIMENTO!D:D),"")</f>
        <v>0</v>
      </c>
    </row>
    <row r="2331" spans="21:21" hidden="1" x14ac:dyDescent="0.35">
      <c r="U2331" s="46">
        <f>IFERROR(_xlfn.XLOOKUP(E2331,[1]EMPREENDIMENTO!C:C,[1]EMPREENDIMENTO!D:D),"")</f>
        <v>0</v>
      </c>
    </row>
    <row r="2332" spans="21:21" hidden="1" x14ac:dyDescent="0.35">
      <c r="U2332" s="46">
        <f>IFERROR(_xlfn.XLOOKUP(E2332,[1]EMPREENDIMENTO!C:C,[1]EMPREENDIMENTO!D:D),"")</f>
        <v>0</v>
      </c>
    </row>
    <row r="2333" spans="21:21" hidden="1" x14ac:dyDescent="0.35">
      <c r="U2333" s="46">
        <f>IFERROR(_xlfn.XLOOKUP(E2333,[1]EMPREENDIMENTO!C:C,[1]EMPREENDIMENTO!D:D),"")</f>
        <v>0</v>
      </c>
    </row>
    <row r="2334" spans="21:21" hidden="1" x14ac:dyDescent="0.35">
      <c r="U2334" s="46">
        <f>IFERROR(_xlfn.XLOOKUP(E2334,[1]EMPREENDIMENTO!C:C,[1]EMPREENDIMENTO!D:D),"")</f>
        <v>0</v>
      </c>
    </row>
    <row r="2335" spans="21:21" hidden="1" x14ac:dyDescent="0.35">
      <c r="U2335" s="46">
        <f>IFERROR(_xlfn.XLOOKUP(E2335,[1]EMPREENDIMENTO!C:C,[1]EMPREENDIMENTO!D:D),"")</f>
        <v>0</v>
      </c>
    </row>
    <row r="2336" spans="21:21" hidden="1" x14ac:dyDescent="0.35">
      <c r="U2336" s="46">
        <f>IFERROR(_xlfn.XLOOKUP(E2336,[1]EMPREENDIMENTO!C:C,[1]EMPREENDIMENTO!D:D),"")</f>
        <v>0</v>
      </c>
    </row>
    <row r="2337" spans="21:21" hidden="1" x14ac:dyDescent="0.35">
      <c r="U2337" s="46">
        <f>IFERROR(_xlfn.XLOOKUP(E2337,[1]EMPREENDIMENTO!C:C,[1]EMPREENDIMENTO!D:D),"")</f>
        <v>0</v>
      </c>
    </row>
    <row r="2338" spans="21:21" hidden="1" x14ac:dyDescent="0.35">
      <c r="U2338" s="46">
        <f>IFERROR(_xlfn.XLOOKUP(E2338,[1]EMPREENDIMENTO!C:C,[1]EMPREENDIMENTO!D:D),"")</f>
        <v>0</v>
      </c>
    </row>
    <row r="2339" spans="21:21" hidden="1" x14ac:dyDescent="0.35">
      <c r="U2339" s="46">
        <f>IFERROR(_xlfn.XLOOKUP(E2339,[1]EMPREENDIMENTO!C:C,[1]EMPREENDIMENTO!D:D),"")</f>
        <v>0</v>
      </c>
    </row>
    <row r="2340" spans="21:21" hidden="1" x14ac:dyDescent="0.35">
      <c r="U2340" s="46">
        <f>IFERROR(_xlfn.XLOOKUP(E2340,[1]EMPREENDIMENTO!C:C,[1]EMPREENDIMENTO!D:D),"")</f>
        <v>0</v>
      </c>
    </row>
    <row r="2341" spans="21:21" hidden="1" x14ac:dyDescent="0.35">
      <c r="U2341" s="46">
        <f>IFERROR(_xlfn.XLOOKUP(E2341,[1]EMPREENDIMENTO!C:C,[1]EMPREENDIMENTO!D:D),"")</f>
        <v>0</v>
      </c>
    </row>
    <row r="2342" spans="21:21" hidden="1" x14ac:dyDescent="0.35">
      <c r="U2342" s="46">
        <f>IFERROR(_xlfn.XLOOKUP(E2342,[1]EMPREENDIMENTO!C:C,[1]EMPREENDIMENTO!D:D),"")</f>
        <v>0</v>
      </c>
    </row>
    <row r="2343" spans="21:21" hidden="1" x14ac:dyDescent="0.35">
      <c r="U2343" s="46">
        <f>IFERROR(_xlfn.XLOOKUP(E2343,[1]EMPREENDIMENTO!C:C,[1]EMPREENDIMENTO!D:D),"")</f>
        <v>0</v>
      </c>
    </row>
    <row r="2344" spans="21:21" hidden="1" x14ac:dyDescent="0.35">
      <c r="U2344" s="46">
        <f>IFERROR(_xlfn.XLOOKUP(E2344,[1]EMPREENDIMENTO!C:C,[1]EMPREENDIMENTO!D:D),"")</f>
        <v>0</v>
      </c>
    </row>
    <row r="2345" spans="21:21" hidden="1" x14ac:dyDescent="0.35">
      <c r="U2345" s="46">
        <f>IFERROR(_xlfn.XLOOKUP(E2345,[1]EMPREENDIMENTO!C:C,[1]EMPREENDIMENTO!D:D),"")</f>
        <v>0</v>
      </c>
    </row>
    <row r="2346" spans="21:21" hidden="1" x14ac:dyDescent="0.35">
      <c r="U2346" s="46">
        <f>IFERROR(_xlfn.XLOOKUP(E2346,[1]EMPREENDIMENTO!C:C,[1]EMPREENDIMENTO!D:D),"")</f>
        <v>0</v>
      </c>
    </row>
    <row r="2347" spans="21:21" hidden="1" x14ac:dyDescent="0.35">
      <c r="U2347" s="46">
        <f>IFERROR(_xlfn.XLOOKUP(E2347,[1]EMPREENDIMENTO!C:C,[1]EMPREENDIMENTO!D:D),"")</f>
        <v>0</v>
      </c>
    </row>
    <row r="2348" spans="21:21" hidden="1" x14ac:dyDescent="0.35">
      <c r="U2348" s="46">
        <f>IFERROR(_xlfn.XLOOKUP(E2348,[1]EMPREENDIMENTO!C:C,[1]EMPREENDIMENTO!D:D),"")</f>
        <v>0</v>
      </c>
    </row>
    <row r="2349" spans="21:21" hidden="1" x14ac:dyDescent="0.35">
      <c r="U2349" s="46">
        <f>IFERROR(_xlfn.XLOOKUP(E2349,[1]EMPREENDIMENTO!C:C,[1]EMPREENDIMENTO!D:D),"")</f>
        <v>0</v>
      </c>
    </row>
    <row r="2350" spans="21:21" hidden="1" x14ac:dyDescent="0.35">
      <c r="U2350" s="46">
        <f>IFERROR(_xlfn.XLOOKUP(E2350,[1]EMPREENDIMENTO!C:C,[1]EMPREENDIMENTO!D:D),"")</f>
        <v>0</v>
      </c>
    </row>
    <row r="2351" spans="21:21" hidden="1" x14ac:dyDescent="0.35">
      <c r="U2351" s="46">
        <f>IFERROR(_xlfn.XLOOKUP(E2351,[1]EMPREENDIMENTO!C:C,[1]EMPREENDIMENTO!D:D),"")</f>
        <v>0</v>
      </c>
    </row>
    <row r="2352" spans="21:21" hidden="1" x14ac:dyDescent="0.35">
      <c r="U2352" s="46">
        <f>IFERROR(_xlfn.XLOOKUP(E2352,[1]EMPREENDIMENTO!C:C,[1]EMPREENDIMENTO!D:D),"")</f>
        <v>0</v>
      </c>
    </row>
    <row r="2353" spans="21:21" hidden="1" x14ac:dyDescent="0.35">
      <c r="U2353" s="46">
        <f>IFERROR(_xlfn.XLOOKUP(E2353,[1]EMPREENDIMENTO!C:C,[1]EMPREENDIMENTO!D:D),"")</f>
        <v>0</v>
      </c>
    </row>
    <row r="2354" spans="21:21" hidden="1" x14ac:dyDescent="0.35">
      <c r="U2354" s="46">
        <f>IFERROR(_xlfn.XLOOKUP(E2354,[1]EMPREENDIMENTO!C:C,[1]EMPREENDIMENTO!D:D),"")</f>
        <v>0</v>
      </c>
    </row>
    <row r="2355" spans="21:21" hidden="1" x14ac:dyDescent="0.35">
      <c r="U2355" s="46">
        <f>IFERROR(_xlfn.XLOOKUP(E2355,[1]EMPREENDIMENTO!C:C,[1]EMPREENDIMENTO!D:D),"")</f>
        <v>0</v>
      </c>
    </row>
    <row r="2356" spans="21:21" hidden="1" x14ac:dyDescent="0.35">
      <c r="U2356" s="46">
        <f>IFERROR(_xlfn.XLOOKUP(E2356,[1]EMPREENDIMENTO!C:C,[1]EMPREENDIMENTO!D:D),"")</f>
        <v>0</v>
      </c>
    </row>
    <row r="2357" spans="21:21" hidden="1" x14ac:dyDescent="0.35">
      <c r="U2357" s="46">
        <f>IFERROR(_xlfn.XLOOKUP(E2357,[1]EMPREENDIMENTO!C:C,[1]EMPREENDIMENTO!D:D),"")</f>
        <v>0</v>
      </c>
    </row>
    <row r="2358" spans="21:21" hidden="1" x14ac:dyDescent="0.35">
      <c r="U2358" s="46">
        <f>IFERROR(_xlfn.XLOOKUP(E2358,[1]EMPREENDIMENTO!C:C,[1]EMPREENDIMENTO!D:D),"")</f>
        <v>0</v>
      </c>
    </row>
    <row r="2359" spans="21:21" hidden="1" x14ac:dyDescent="0.35">
      <c r="U2359" s="46">
        <f>IFERROR(_xlfn.XLOOKUP(E2359,[1]EMPREENDIMENTO!C:C,[1]EMPREENDIMENTO!D:D),"")</f>
        <v>0</v>
      </c>
    </row>
    <row r="2360" spans="21:21" hidden="1" x14ac:dyDescent="0.35">
      <c r="U2360" s="46">
        <f>IFERROR(_xlfn.XLOOKUP(E2360,[1]EMPREENDIMENTO!C:C,[1]EMPREENDIMENTO!D:D),"")</f>
        <v>0</v>
      </c>
    </row>
    <row r="2361" spans="21:21" hidden="1" x14ac:dyDescent="0.35">
      <c r="U2361" s="46">
        <f>IFERROR(_xlfn.XLOOKUP(E2361,[1]EMPREENDIMENTO!C:C,[1]EMPREENDIMENTO!D:D),"")</f>
        <v>0</v>
      </c>
    </row>
    <row r="2362" spans="21:21" hidden="1" x14ac:dyDescent="0.35">
      <c r="U2362" s="46">
        <f>IFERROR(_xlfn.XLOOKUP(E2362,[1]EMPREENDIMENTO!C:C,[1]EMPREENDIMENTO!D:D),"")</f>
        <v>0</v>
      </c>
    </row>
    <row r="2363" spans="21:21" hidden="1" x14ac:dyDescent="0.35">
      <c r="U2363" s="46">
        <f>IFERROR(_xlfn.XLOOKUP(E2363,[1]EMPREENDIMENTO!C:C,[1]EMPREENDIMENTO!D:D),"")</f>
        <v>0</v>
      </c>
    </row>
    <row r="2364" spans="21:21" hidden="1" x14ac:dyDescent="0.35">
      <c r="U2364" s="46">
        <f>IFERROR(_xlfn.XLOOKUP(E2364,[1]EMPREENDIMENTO!C:C,[1]EMPREENDIMENTO!D:D),"")</f>
        <v>0</v>
      </c>
    </row>
    <row r="2365" spans="21:21" hidden="1" x14ac:dyDescent="0.35">
      <c r="U2365" s="46">
        <f>IFERROR(_xlfn.XLOOKUP(E2365,[1]EMPREENDIMENTO!C:C,[1]EMPREENDIMENTO!D:D),"")</f>
        <v>0</v>
      </c>
    </row>
    <row r="2366" spans="21:21" hidden="1" x14ac:dyDescent="0.35">
      <c r="U2366" s="46">
        <f>IFERROR(_xlfn.XLOOKUP(E2366,[1]EMPREENDIMENTO!C:C,[1]EMPREENDIMENTO!D:D),"")</f>
        <v>0</v>
      </c>
    </row>
    <row r="2367" spans="21:21" hidden="1" x14ac:dyDescent="0.35">
      <c r="U2367" s="46">
        <f>IFERROR(_xlfn.XLOOKUP(E2367,[1]EMPREENDIMENTO!C:C,[1]EMPREENDIMENTO!D:D),"")</f>
        <v>0</v>
      </c>
    </row>
    <row r="2368" spans="21:21" hidden="1" x14ac:dyDescent="0.35">
      <c r="U2368" s="46">
        <f>IFERROR(_xlfn.XLOOKUP(E2368,[1]EMPREENDIMENTO!C:C,[1]EMPREENDIMENTO!D:D),"")</f>
        <v>0</v>
      </c>
    </row>
    <row r="2369" spans="21:21" hidden="1" x14ac:dyDescent="0.35">
      <c r="U2369" s="46">
        <f>IFERROR(_xlfn.XLOOKUP(E2369,[1]EMPREENDIMENTO!C:C,[1]EMPREENDIMENTO!D:D),"")</f>
        <v>0</v>
      </c>
    </row>
    <row r="2370" spans="21:21" hidden="1" x14ac:dyDescent="0.35">
      <c r="U2370" s="46">
        <f>IFERROR(_xlfn.XLOOKUP(E2370,[1]EMPREENDIMENTO!C:C,[1]EMPREENDIMENTO!D:D),"")</f>
        <v>0</v>
      </c>
    </row>
    <row r="2371" spans="21:21" hidden="1" x14ac:dyDescent="0.35">
      <c r="U2371" s="46">
        <f>IFERROR(_xlfn.XLOOKUP(E2371,[1]EMPREENDIMENTO!C:C,[1]EMPREENDIMENTO!D:D),"")</f>
        <v>0</v>
      </c>
    </row>
    <row r="2372" spans="21:21" hidden="1" x14ac:dyDescent="0.35">
      <c r="U2372" s="46">
        <f>IFERROR(_xlfn.XLOOKUP(E2372,[1]EMPREENDIMENTO!C:C,[1]EMPREENDIMENTO!D:D),"")</f>
        <v>0</v>
      </c>
    </row>
    <row r="2373" spans="21:21" hidden="1" x14ac:dyDescent="0.35">
      <c r="U2373" s="46">
        <f>IFERROR(_xlfn.XLOOKUP(E2373,[1]EMPREENDIMENTO!C:C,[1]EMPREENDIMENTO!D:D),"")</f>
        <v>0</v>
      </c>
    </row>
    <row r="2374" spans="21:21" hidden="1" x14ac:dyDescent="0.35">
      <c r="U2374" s="46">
        <f>IFERROR(_xlfn.XLOOKUP(E2374,[1]EMPREENDIMENTO!C:C,[1]EMPREENDIMENTO!D:D),"")</f>
        <v>0</v>
      </c>
    </row>
    <row r="2375" spans="21:21" hidden="1" x14ac:dyDescent="0.35">
      <c r="U2375" s="46">
        <f>IFERROR(_xlfn.XLOOKUP(E2375,[1]EMPREENDIMENTO!C:C,[1]EMPREENDIMENTO!D:D),"")</f>
        <v>0</v>
      </c>
    </row>
    <row r="2376" spans="21:21" hidden="1" x14ac:dyDescent="0.35">
      <c r="U2376" s="46">
        <f>IFERROR(_xlfn.XLOOKUP(E2376,[1]EMPREENDIMENTO!C:C,[1]EMPREENDIMENTO!D:D),"")</f>
        <v>0</v>
      </c>
    </row>
    <row r="2377" spans="21:21" hidden="1" x14ac:dyDescent="0.35">
      <c r="U2377" s="46">
        <f>IFERROR(_xlfn.XLOOKUP(E2377,[1]EMPREENDIMENTO!C:C,[1]EMPREENDIMENTO!D:D),"")</f>
        <v>0</v>
      </c>
    </row>
    <row r="2378" spans="21:21" hidden="1" x14ac:dyDescent="0.35">
      <c r="U2378" s="46">
        <f>IFERROR(_xlfn.XLOOKUP(E2378,[1]EMPREENDIMENTO!C:C,[1]EMPREENDIMENTO!D:D),"")</f>
        <v>0</v>
      </c>
    </row>
    <row r="2379" spans="21:21" hidden="1" x14ac:dyDescent="0.35">
      <c r="U2379" s="46">
        <f>IFERROR(_xlfn.XLOOKUP(E2379,[1]EMPREENDIMENTO!C:C,[1]EMPREENDIMENTO!D:D),"")</f>
        <v>0</v>
      </c>
    </row>
    <row r="2380" spans="21:21" hidden="1" x14ac:dyDescent="0.35">
      <c r="U2380" s="46">
        <f>IFERROR(_xlfn.XLOOKUP(E2380,[1]EMPREENDIMENTO!C:C,[1]EMPREENDIMENTO!D:D),"")</f>
        <v>0</v>
      </c>
    </row>
    <row r="2381" spans="21:21" hidden="1" x14ac:dyDescent="0.35">
      <c r="U2381" s="46">
        <f>IFERROR(_xlfn.XLOOKUP(E2381,[1]EMPREENDIMENTO!C:C,[1]EMPREENDIMENTO!D:D),"")</f>
        <v>0</v>
      </c>
    </row>
    <row r="2382" spans="21:21" hidden="1" x14ac:dyDescent="0.35">
      <c r="U2382" s="46">
        <f>IFERROR(_xlfn.XLOOKUP(E2382,[1]EMPREENDIMENTO!C:C,[1]EMPREENDIMENTO!D:D),"")</f>
        <v>0</v>
      </c>
    </row>
    <row r="2383" spans="21:21" hidden="1" x14ac:dyDescent="0.35">
      <c r="U2383" s="46">
        <f>IFERROR(_xlfn.XLOOKUP(E2383,[1]EMPREENDIMENTO!C:C,[1]EMPREENDIMENTO!D:D),"")</f>
        <v>0</v>
      </c>
    </row>
    <row r="2384" spans="21:21" hidden="1" x14ac:dyDescent="0.35">
      <c r="U2384" s="46">
        <f>IFERROR(_xlfn.XLOOKUP(E2384,[1]EMPREENDIMENTO!C:C,[1]EMPREENDIMENTO!D:D),"")</f>
        <v>0</v>
      </c>
    </row>
    <row r="2385" spans="21:21" hidden="1" x14ac:dyDescent="0.35">
      <c r="U2385" s="46">
        <f>IFERROR(_xlfn.XLOOKUP(E2385,[1]EMPREENDIMENTO!C:C,[1]EMPREENDIMENTO!D:D),"")</f>
        <v>0</v>
      </c>
    </row>
    <row r="2386" spans="21:21" hidden="1" x14ac:dyDescent="0.35">
      <c r="U2386" s="46">
        <f>IFERROR(_xlfn.XLOOKUP(E2386,[1]EMPREENDIMENTO!C:C,[1]EMPREENDIMENTO!D:D),"")</f>
        <v>0</v>
      </c>
    </row>
    <row r="2387" spans="21:21" hidden="1" x14ac:dyDescent="0.35">
      <c r="U2387" s="46">
        <f>IFERROR(_xlfn.XLOOKUP(E2387,[1]EMPREENDIMENTO!C:C,[1]EMPREENDIMENTO!D:D),"")</f>
        <v>0</v>
      </c>
    </row>
    <row r="2388" spans="21:21" hidden="1" x14ac:dyDescent="0.35">
      <c r="U2388" s="46">
        <f>IFERROR(_xlfn.XLOOKUP(E2388,[1]EMPREENDIMENTO!C:C,[1]EMPREENDIMENTO!D:D),"")</f>
        <v>0</v>
      </c>
    </row>
    <row r="2389" spans="21:21" hidden="1" x14ac:dyDescent="0.35">
      <c r="U2389" s="46">
        <f>IFERROR(_xlfn.XLOOKUP(E2389,[1]EMPREENDIMENTO!C:C,[1]EMPREENDIMENTO!D:D),"")</f>
        <v>0</v>
      </c>
    </row>
    <row r="2390" spans="21:21" hidden="1" x14ac:dyDescent="0.35">
      <c r="U2390" s="46">
        <f>IFERROR(_xlfn.XLOOKUP(E2390,[1]EMPREENDIMENTO!C:C,[1]EMPREENDIMENTO!D:D),"")</f>
        <v>0</v>
      </c>
    </row>
    <row r="2391" spans="21:21" hidden="1" x14ac:dyDescent="0.35">
      <c r="U2391" s="46">
        <f>IFERROR(_xlfn.XLOOKUP(E2391,[1]EMPREENDIMENTO!C:C,[1]EMPREENDIMENTO!D:D),"")</f>
        <v>0</v>
      </c>
    </row>
    <row r="2392" spans="21:21" hidden="1" x14ac:dyDescent="0.35">
      <c r="U2392" s="46">
        <f>IFERROR(_xlfn.XLOOKUP(E2392,[1]EMPREENDIMENTO!C:C,[1]EMPREENDIMENTO!D:D),"")</f>
        <v>0</v>
      </c>
    </row>
    <row r="2393" spans="21:21" hidden="1" x14ac:dyDescent="0.35">
      <c r="U2393" s="46">
        <f>IFERROR(_xlfn.XLOOKUP(E2393,[1]EMPREENDIMENTO!C:C,[1]EMPREENDIMENTO!D:D),"")</f>
        <v>0</v>
      </c>
    </row>
    <row r="2394" spans="21:21" hidden="1" x14ac:dyDescent="0.35">
      <c r="U2394" s="46">
        <f>IFERROR(_xlfn.XLOOKUP(E2394,[1]EMPREENDIMENTO!C:C,[1]EMPREENDIMENTO!D:D),"")</f>
        <v>0</v>
      </c>
    </row>
    <row r="2395" spans="21:21" hidden="1" x14ac:dyDescent="0.35">
      <c r="U2395" s="46">
        <f>IFERROR(_xlfn.XLOOKUP(E2395,[1]EMPREENDIMENTO!C:C,[1]EMPREENDIMENTO!D:D),"")</f>
        <v>0</v>
      </c>
    </row>
    <row r="2396" spans="21:21" hidden="1" x14ac:dyDescent="0.35">
      <c r="U2396" s="46">
        <f>IFERROR(_xlfn.XLOOKUP(E2396,[1]EMPREENDIMENTO!C:C,[1]EMPREENDIMENTO!D:D),"")</f>
        <v>0</v>
      </c>
    </row>
    <row r="2397" spans="21:21" hidden="1" x14ac:dyDescent="0.35">
      <c r="U2397" s="46">
        <f>IFERROR(_xlfn.XLOOKUP(E2397,[1]EMPREENDIMENTO!C:C,[1]EMPREENDIMENTO!D:D),"")</f>
        <v>0</v>
      </c>
    </row>
    <row r="2398" spans="21:21" hidden="1" x14ac:dyDescent="0.35">
      <c r="U2398" s="46">
        <f>IFERROR(_xlfn.XLOOKUP(E2398,[1]EMPREENDIMENTO!C:C,[1]EMPREENDIMENTO!D:D),"")</f>
        <v>0</v>
      </c>
    </row>
    <row r="2399" spans="21:21" hidden="1" x14ac:dyDescent="0.35">
      <c r="U2399" s="46">
        <f>IFERROR(_xlfn.XLOOKUP(E2399,[1]EMPREENDIMENTO!C:C,[1]EMPREENDIMENTO!D:D),"")</f>
        <v>0</v>
      </c>
    </row>
    <row r="2400" spans="21:21" hidden="1" x14ac:dyDescent="0.35">
      <c r="U2400" s="46">
        <f>IFERROR(_xlfn.XLOOKUP(E2400,[1]EMPREENDIMENTO!C:C,[1]EMPREENDIMENTO!D:D),"")</f>
        <v>0</v>
      </c>
    </row>
    <row r="2401" spans="21:21" hidden="1" x14ac:dyDescent="0.35">
      <c r="U2401" s="46">
        <f>IFERROR(_xlfn.XLOOKUP(E2401,[1]EMPREENDIMENTO!C:C,[1]EMPREENDIMENTO!D:D),"")</f>
        <v>0</v>
      </c>
    </row>
    <row r="2402" spans="21:21" hidden="1" x14ac:dyDescent="0.35">
      <c r="U2402" s="46">
        <f>IFERROR(_xlfn.XLOOKUP(E2402,[1]EMPREENDIMENTO!C:C,[1]EMPREENDIMENTO!D:D),"")</f>
        <v>0</v>
      </c>
    </row>
    <row r="2403" spans="21:21" hidden="1" x14ac:dyDescent="0.35">
      <c r="U2403" s="46">
        <f>IFERROR(_xlfn.XLOOKUP(E2403,[1]EMPREENDIMENTO!C:C,[1]EMPREENDIMENTO!D:D),"")</f>
        <v>0</v>
      </c>
    </row>
    <row r="2404" spans="21:21" hidden="1" x14ac:dyDescent="0.35">
      <c r="U2404" s="46">
        <f>IFERROR(_xlfn.XLOOKUP(E2404,[1]EMPREENDIMENTO!C:C,[1]EMPREENDIMENTO!D:D),"")</f>
        <v>0</v>
      </c>
    </row>
    <row r="2405" spans="21:21" hidden="1" x14ac:dyDescent="0.35">
      <c r="U2405" s="46">
        <f>IFERROR(_xlfn.XLOOKUP(E2405,[1]EMPREENDIMENTO!C:C,[1]EMPREENDIMENTO!D:D),"")</f>
        <v>0</v>
      </c>
    </row>
    <row r="2406" spans="21:21" hidden="1" x14ac:dyDescent="0.35">
      <c r="U2406" s="46">
        <f>IFERROR(_xlfn.XLOOKUP(E2406,[1]EMPREENDIMENTO!C:C,[1]EMPREENDIMENTO!D:D),"")</f>
        <v>0</v>
      </c>
    </row>
    <row r="2407" spans="21:21" hidden="1" x14ac:dyDescent="0.35">
      <c r="U2407" s="46">
        <f>IFERROR(_xlfn.XLOOKUP(E2407,[1]EMPREENDIMENTO!C:C,[1]EMPREENDIMENTO!D:D),"")</f>
        <v>0</v>
      </c>
    </row>
    <row r="2408" spans="21:21" hidden="1" x14ac:dyDescent="0.35">
      <c r="U2408" s="46">
        <f>IFERROR(_xlfn.XLOOKUP(E2408,[1]EMPREENDIMENTO!C:C,[1]EMPREENDIMENTO!D:D),"")</f>
        <v>0</v>
      </c>
    </row>
    <row r="2409" spans="21:21" hidden="1" x14ac:dyDescent="0.35">
      <c r="U2409" s="46">
        <f>IFERROR(_xlfn.XLOOKUP(E2409,[1]EMPREENDIMENTO!C:C,[1]EMPREENDIMENTO!D:D),"")</f>
        <v>0</v>
      </c>
    </row>
    <row r="2410" spans="21:21" hidden="1" x14ac:dyDescent="0.35">
      <c r="U2410" s="46">
        <f>IFERROR(_xlfn.XLOOKUP(E2410,[1]EMPREENDIMENTO!C:C,[1]EMPREENDIMENTO!D:D),"")</f>
        <v>0</v>
      </c>
    </row>
    <row r="2411" spans="21:21" hidden="1" x14ac:dyDescent="0.35">
      <c r="U2411" s="46">
        <f>IFERROR(_xlfn.XLOOKUP(E2411,[1]EMPREENDIMENTO!C:C,[1]EMPREENDIMENTO!D:D),"")</f>
        <v>0</v>
      </c>
    </row>
    <row r="2412" spans="21:21" hidden="1" x14ac:dyDescent="0.35">
      <c r="U2412" s="46">
        <f>IFERROR(_xlfn.XLOOKUP(E2412,[1]EMPREENDIMENTO!C:C,[1]EMPREENDIMENTO!D:D),"")</f>
        <v>0</v>
      </c>
    </row>
    <row r="2413" spans="21:21" hidden="1" x14ac:dyDescent="0.35">
      <c r="U2413" s="46">
        <f>IFERROR(_xlfn.XLOOKUP(E2413,[1]EMPREENDIMENTO!C:C,[1]EMPREENDIMENTO!D:D),"")</f>
        <v>0</v>
      </c>
    </row>
    <row r="2414" spans="21:21" hidden="1" x14ac:dyDescent="0.35">
      <c r="U2414" s="46">
        <f>IFERROR(_xlfn.XLOOKUP(E2414,[1]EMPREENDIMENTO!C:C,[1]EMPREENDIMENTO!D:D),"")</f>
        <v>0</v>
      </c>
    </row>
    <row r="2415" spans="21:21" hidden="1" x14ac:dyDescent="0.35">
      <c r="U2415" s="46">
        <f>IFERROR(_xlfn.XLOOKUP(E2415,[1]EMPREENDIMENTO!C:C,[1]EMPREENDIMENTO!D:D),"")</f>
        <v>0</v>
      </c>
    </row>
    <row r="2416" spans="21:21" hidden="1" x14ac:dyDescent="0.35">
      <c r="U2416" s="46">
        <f>IFERROR(_xlfn.XLOOKUP(E2416,[1]EMPREENDIMENTO!C:C,[1]EMPREENDIMENTO!D:D),"")</f>
        <v>0</v>
      </c>
    </row>
    <row r="2417" spans="21:21" hidden="1" x14ac:dyDescent="0.35">
      <c r="U2417" s="46">
        <f>IFERROR(_xlfn.XLOOKUP(E2417,[1]EMPREENDIMENTO!C:C,[1]EMPREENDIMENTO!D:D),"")</f>
        <v>0</v>
      </c>
    </row>
    <row r="2418" spans="21:21" hidden="1" x14ac:dyDescent="0.35">
      <c r="U2418" s="46">
        <f>IFERROR(_xlfn.XLOOKUP(E2418,[1]EMPREENDIMENTO!C:C,[1]EMPREENDIMENTO!D:D),"")</f>
        <v>0</v>
      </c>
    </row>
    <row r="2419" spans="21:21" hidden="1" x14ac:dyDescent="0.35">
      <c r="U2419" s="46">
        <f>IFERROR(_xlfn.XLOOKUP(E2419,[1]EMPREENDIMENTO!C:C,[1]EMPREENDIMENTO!D:D),"")</f>
        <v>0</v>
      </c>
    </row>
    <row r="2420" spans="21:21" hidden="1" x14ac:dyDescent="0.35">
      <c r="U2420" s="46">
        <f>IFERROR(_xlfn.XLOOKUP(E2420,[1]EMPREENDIMENTO!C:C,[1]EMPREENDIMENTO!D:D),"")</f>
        <v>0</v>
      </c>
    </row>
    <row r="2421" spans="21:21" hidden="1" x14ac:dyDescent="0.35">
      <c r="U2421" s="46">
        <f>IFERROR(_xlfn.XLOOKUP(E2421,[1]EMPREENDIMENTO!C:C,[1]EMPREENDIMENTO!D:D),"")</f>
        <v>0</v>
      </c>
    </row>
    <row r="2422" spans="21:21" hidden="1" x14ac:dyDescent="0.35">
      <c r="U2422" s="46">
        <f>IFERROR(_xlfn.XLOOKUP(E2422,[1]EMPREENDIMENTO!C:C,[1]EMPREENDIMENTO!D:D),"")</f>
        <v>0</v>
      </c>
    </row>
    <row r="2423" spans="21:21" hidden="1" x14ac:dyDescent="0.35">
      <c r="U2423" s="46">
        <f>IFERROR(_xlfn.XLOOKUP(E2423,[1]EMPREENDIMENTO!C:C,[1]EMPREENDIMENTO!D:D),"")</f>
        <v>0</v>
      </c>
    </row>
    <row r="2424" spans="21:21" hidden="1" x14ac:dyDescent="0.35">
      <c r="U2424" s="46">
        <f>IFERROR(_xlfn.XLOOKUP(E2424,[1]EMPREENDIMENTO!C:C,[1]EMPREENDIMENTO!D:D),"")</f>
        <v>0</v>
      </c>
    </row>
    <row r="2425" spans="21:21" hidden="1" x14ac:dyDescent="0.35">
      <c r="U2425" s="46">
        <f>IFERROR(_xlfn.XLOOKUP(E2425,[1]EMPREENDIMENTO!C:C,[1]EMPREENDIMENTO!D:D),"")</f>
        <v>0</v>
      </c>
    </row>
    <row r="2426" spans="21:21" hidden="1" x14ac:dyDescent="0.35">
      <c r="U2426" s="46">
        <f>IFERROR(_xlfn.XLOOKUP(E2426,[1]EMPREENDIMENTO!C:C,[1]EMPREENDIMENTO!D:D),"")</f>
        <v>0</v>
      </c>
    </row>
    <row r="2427" spans="21:21" hidden="1" x14ac:dyDescent="0.35">
      <c r="U2427" s="46">
        <f>IFERROR(_xlfn.XLOOKUP(E2427,[1]EMPREENDIMENTO!C:C,[1]EMPREENDIMENTO!D:D),"")</f>
        <v>0</v>
      </c>
    </row>
    <row r="2428" spans="21:21" hidden="1" x14ac:dyDescent="0.35">
      <c r="U2428" s="46">
        <f>IFERROR(_xlfn.XLOOKUP(E2428,[1]EMPREENDIMENTO!C:C,[1]EMPREENDIMENTO!D:D),"")</f>
        <v>0</v>
      </c>
    </row>
    <row r="2429" spans="21:21" hidden="1" x14ac:dyDescent="0.35">
      <c r="U2429" s="46">
        <f>IFERROR(_xlfn.XLOOKUP(E2429,[1]EMPREENDIMENTO!C:C,[1]EMPREENDIMENTO!D:D),"")</f>
        <v>0</v>
      </c>
    </row>
    <row r="2430" spans="21:21" hidden="1" x14ac:dyDescent="0.35">
      <c r="U2430" s="46">
        <f>IFERROR(_xlfn.XLOOKUP(E2430,[1]EMPREENDIMENTO!C:C,[1]EMPREENDIMENTO!D:D),"")</f>
        <v>0</v>
      </c>
    </row>
    <row r="2431" spans="21:21" hidden="1" x14ac:dyDescent="0.35">
      <c r="U2431" s="46">
        <f>IFERROR(_xlfn.XLOOKUP(E2431,[1]EMPREENDIMENTO!C:C,[1]EMPREENDIMENTO!D:D),"")</f>
        <v>0</v>
      </c>
    </row>
    <row r="2432" spans="21:21" hidden="1" x14ac:dyDescent="0.35">
      <c r="U2432" s="46">
        <f>IFERROR(_xlfn.XLOOKUP(E2432,[1]EMPREENDIMENTO!C:C,[1]EMPREENDIMENTO!D:D),"")</f>
        <v>0</v>
      </c>
    </row>
    <row r="2433" spans="21:21" hidden="1" x14ac:dyDescent="0.35">
      <c r="U2433" s="46">
        <f>IFERROR(_xlfn.XLOOKUP(E2433,[1]EMPREENDIMENTO!C:C,[1]EMPREENDIMENTO!D:D),"")</f>
        <v>0</v>
      </c>
    </row>
    <row r="2434" spans="21:21" hidden="1" x14ac:dyDescent="0.35">
      <c r="U2434" s="46">
        <f>IFERROR(_xlfn.XLOOKUP(E2434,[1]EMPREENDIMENTO!C:C,[1]EMPREENDIMENTO!D:D),"")</f>
        <v>0</v>
      </c>
    </row>
    <row r="2435" spans="21:21" hidden="1" x14ac:dyDescent="0.35">
      <c r="U2435" s="46">
        <f>IFERROR(_xlfn.XLOOKUP(E2435,[1]EMPREENDIMENTO!C:C,[1]EMPREENDIMENTO!D:D),"")</f>
        <v>0</v>
      </c>
    </row>
    <row r="2436" spans="21:21" hidden="1" x14ac:dyDescent="0.35">
      <c r="U2436" s="46">
        <f>IFERROR(_xlfn.XLOOKUP(E2436,[1]EMPREENDIMENTO!C:C,[1]EMPREENDIMENTO!D:D),"")</f>
        <v>0</v>
      </c>
    </row>
    <row r="2437" spans="21:21" hidden="1" x14ac:dyDescent="0.35">
      <c r="U2437" s="46">
        <f>IFERROR(_xlfn.XLOOKUP(E2437,[1]EMPREENDIMENTO!C:C,[1]EMPREENDIMENTO!D:D),"")</f>
        <v>0</v>
      </c>
    </row>
    <row r="2438" spans="21:21" hidden="1" x14ac:dyDescent="0.35">
      <c r="U2438" s="46">
        <f>IFERROR(_xlfn.XLOOKUP(E2438,[1]EMPREENDIMENTO!C:C,[1]EMPREENDIMENTO!D:D),"")</f>
        <v>0</v>
      </c>
    </row>
    <row r="2439" spans="21:21" hidden="1" x14ac:dyDescent="0.35">
      <c r="U2439" s="46">
        <f>IFERROR(_xlfn.XLOOKUP(E2439,[1]EMPREENDIMENTO!C:C,[1]EMPREENDIMENTO!D:D),"")</f>
        <v>0</v>
      </c>
    </row>
    <row r="2440" spans="21:21" hidden="1" x14ac:dyDescent="0.35">
      <c r="U2440" s="46">
        <f>IFERROR(_xlfn.XLOOKUP(E2440,[1]EMPREENDIMENTO!C:C,[1]EMPREENDIMENTO!D:D),"")</f>
        <v>0</v>
      </c>
    </row>
    <row r="2441" spans="21:21" hidden="1" x14ac:dyDescent="0.35">
      <c r="U2441" s="46">
        <f>IFERROR(_xlfn.XLOOKUP(E2441,[1]EMPREENDIMENTO!C:C,[1]EMPREENDIMENTO!D:D),"")</f>
        <v>0</v>
      </c>
    </row>
    <row r="2442" spans="21:21" hidden="1" x14ac:dyDescent="0.35">
      <c r="U2442" s="46">
        <f>IFERROR(_xlfn.XLOOKUP(E2442,[1]EMPREENDIMENTO!C:C,[1]EMPREENDIMENTO!D:D),"")</f>
        <v>0</v>
      </c>
    </row>
    <row r="2443" spans="21:21" hidden="1" x14ac:dyDescent="0.35">
      <c r="U2443" s="46">
        <f>IFERROR(_xlfn.XLOOKUP(E2443,[1]EMPREENDIMENTO!C:C,[1]EMPREENDIMENTO!D:D),"")</f>
        <v>0</v>
      </c>
    </row>
    <row r="2444" spans="21:21" hidden="1" x14ac:dyDescent="0.35">
      <c r="U2444" s="46">
        <f>IFERROR(_xlfn.XLOOKUP(E2444,[1]EMPREENDIMENTO!C:C,[1]EMPREENDIMENTO!D:D),"")</f>
        <v>0</v>
      </c>
    </row>
    <row r="2445" spans="21:21" hidden="1" x14ac:dyDescent="0.35">
      <c r="U2445" s="46">
        <f>IFERROR(_xlfn.XLOOKUP(E2445,[1]EMPREENDIMENTO!C:C,[1]EMPREENDIMENTO!D:D),"")</f>
        <v>0</v>
      </c>
    </row>
    <row r="2446" spans="21:21" hidden="1" x14ac:dyDescent="0.35">
      <c r="U2446" s="46">
        <f>IFERROR(_xlfn.XLOOKUP(E2446,[1]EMPREENDIMENTO!C:C,[1]EMPREENDIMENTO!D:D),"")</f>
        <v>0</v>
      </c>
    </row>
    <row r="2447" spans="21:21" hidden="1" x14ac:dyDescent="0.35">
      <c r="U2447" s="46">
        <f>IFERROR(_xlfn.XLOOKUP(E2447,[1]EMPREENDIMENTO!C:C,[1]EMPREENDIMENTO!D:D),"")</f>
        <v>0</v>
      </c>
    </row>
    <row r="2448" spans="21:21" hidden="1" x14ac:dyDescent="0.35">
      <c r="U2448" s="46">
        <f>IFERROR(_xlfn.XLOOKUP(E2448,[1]EMPREENDIMENTO!C:C,[1]EMPREENDIMENTO!D:D),"")</f>
        <v>0</v>
      </c>
    </row>
    <row r="2449" spans="21:21" hidden="1" x14ac:dyDescent="0.35">
      <c r="U2449" s="46">
        <f>IFERROR(_xlfn.XLOOKUP(E2449,[1]EMPREENDIMENTO!C:C,[1]EMPREENDIMENTO!D:D),"")</f>
        <v>0</v>
      </c>
    </row>
    <row r="2450" spans="21:21" hidden="1" x14ac:dyDescent="0.35">
      <c r="U2450" s="46">
        <f>IFERROR(_xlfn.XLOOKUP(E2450,[1]EMPREENDIMENTO!C:C,[1]EMPREENDIMENTO!D:D),"")</f>
        <v>0</v>
      </c>
    </row>
    <row r="2451" spans="21:21" hidden="1" x14ac:dyDescent="0.35">
      <c r="U2451" s="46">
        <f>IFERROR(_xlfn.XLOOKUP(E2451,[1]EMPREENDIMENTO!C:C,[1]EMPREENDIMENTO!D:D),"")</f>
        <v>0</v>
      </c>
    </row>
    <row r="2452" spans="21:21" hidden="1" x14ac:dyDescent="0.35">
      <c r="U2452" s="46">
        <f>IFERROR(_xlfn.XLOOKUP(E2452,[1]EMPREENDIMENTO!C:C,[1]EMPREENDIMENTO!D:D),"")</f>
        <v>0</v>
      </c>
    </row>
    <row r="2453" spans="21:21" hidden="1" x14ac:dyDescent="0.35">
      <c r="U2453" s="46">
        <f>IFERROR(_xlfn.XLOOKUP(E2453,[1]EMPREENDIMENTO!C:C,[1]EMPREENDIMENTO!D:D),"")</f>
        <v>0</v>
      </c>
    </row>
    <row r="2454" spans="21:21" hidden="1" x14ac:dyDescent="0.35">
      <c r="U2454" s="46">
        <f>IFERROR(_xlfn.XLOOKUP(E2454,[1]EMPREENDIMENTO!C:C,[1]EMPREENDIMENTO!D:D),"")</f>
        <v>0</v>
      </c>
    </row>
    <row r="2455" spans="21:21" hidden="1" x14ac:dyDescent="0.35">
      <c r="U2455" s="46">
        <f>IFERROR(_xlfn.XLOOKUP(E2455,[1]EMPREENDIMENTO!C:C,[1]EMPREENDIMENTO!D:D),"")</f>
        <v>0</v>
      </c>
    </row>
    <row r="2456" spans="21:21" hidden="1" x14ac:dyDescent="0.35">
      <c r="U2456" s="46">
        <f>IFERROR(_xlfn.XLOOKUP(E2456,[1]EMPREENDIMENTO!C:C,[1]EMPREENDIMENTO!D:D),"")</f>
        <v>0</v>
      </c>
    </row>
    <row r="2457" spans="21:21" hidden="1" x14ac:dyDescent="0.35">
      <c r="U2457" s="46">
        <f>IFERROR(_xlfn.XLOOKUP(E2457,[1]EMPREENDIMENTO!C:C,[1]EMPREENDIMENTO!D:D),"")</f>
        <v>0</v>
      </c>
    </row>
    <row r="2458" spans="21:21" hidden="1" x14ac:dyDescent="0.35">
      <c r="U2458" s="46">
        <f>IFERROR(_xlfn.XLOOKUP(E2458,[1]EMPREENDIMENTO!C:C,[1]EMPREENDIMENTO!D:D),"")</f>
        <v>0</v>
      </c>
    </row>
    <row r="2459" spans="21:21" hidden="1" x14ac:dyDescent="0.35">
      <c r="U2459" s="46">
        <f>IFERROR(_xlfn.XLOOKUP(E2459,[1]EMPREENDIMENTO!C:C,[1]EMPREENDIMENTO!D:D),"")</f>
        <v>0</v>
      </c>
    </row>
    <row r="2460" spans="21:21" hidden="1" x14ac:dyDescent="0.35">
      <c r="U2460" s="46">
        <f>IFERROR(_xlfn.XLOOKUP(E2460,[1]EMPREENDIMENTO!C:C,[1]EMPREENDIMENTO!D:D),"")</f>
        <v>0</v>
      </c>
    </row>
    <row r="2461" spans="21:21" hidden="1" x14ac:dyDescent="0.35">
      <c r="U2461" s="46">
        <f>IFERROR(_xlfn.XLOOKUP(E2461,[1]EMPREENDIMENTO!C:C,[1]EMPREENDIMENTO!D:D),"")</f>
        <v>0</v>
      </c>
    </row>
    <row r="2462" spans="21:21" hidden="1" x14ac:dyDescent="0.35">
      <c r="U2462" s="46">
        <f>IFERROR(_xlfn.XLOOKUP(E2462,[1]EMPREENDIMENTO!C:C,[1]EMPREENDIMENTO!D:D),"")</f>
        <v>0</v>
      </c>
    </row>
    <row r="2463" spans="21:21" hidden="1" x14ac:dyDescent="0.35">
      <c r="U2463" s="46">
        <f>IFERROR(_xlfn.XLOOKUP(E2463,[1]EMPREENDIMENTO!C:C,[1]EMPREENDIMENTO!D:D),"")</f>
        <v>0</v>
      </c>
    </row>
    <row r="2464" spans="21:21" hidden="1" x14ac:dyDescent="0.35">
      <c r="U2464" s="46">
        <f>IFERROR(_xlfn.XLOOKUP(E2464,[1]EMPREENDIMENTO!C:C,[1]EMPREENDIMENTO!D:D),"")</f>
        <v>0</v>
      </c>
    </row>
    <row r="2465" spans="21:21" hidden="1" x14ac:dyDescent="0.35">
      <c r="U2465" s="46">
        <f>IFERROR(_xlfn.XLOOKUP(E2465,[1]EMPREENDIMENTO!C:C,[1]EMPREENDIMENTO!D:D),"")</f>
        <v>0</v>
      </c>
    </row>
    <row r="2466" spans="21:21" hidden="1" x14ac:dyDescent="0.35">
      <c r="U2466" s="46">
        <f>IFERROR(_xlfn.XLOOKUP(E2466,[1]EMPREENDIMENTO!C:C,[1]EMPREENDIMENTO!D:D),"")</f>
        <v>0</v>
      </c>
    </row>
    <row r="2467" spans="21:21" hidden="1" x14ac:dyDescent="0.35">
      <c r="U2467" s="46">
        <f>IFERROR(_xlfn.XLOOKUP(E2467,[1]EMPREENDIMENTO!C:C,[1]EMPREENDIMENTO!D:D),"")</f>
        <v>0</v>
      </c>
    </row>
    <row r="2468" spans="21:21" hidden="1" x14ac:dyDescent="0.35">
      <c r="U2468" s="46">
        <f>IFERROR(_xlfn.XLOOKUP(E2468,[1]EMPREENDIMENTO!C:C,[1]EMPREENDIMENTO!D:D),"")</f>
        <v>0</v>
      </c>
    </row>
    <row r="2469" spans="21:21" hidden="1" x14ac:dyDescent="0.35">
      <c r="U2469" s="46">
        <f>IFERROR(_xlfn.XLOOKUP(E2469,[1]EMPREENDIMENTO!C:C,[1]EMPREENDIMENTO!D:D),"")</f>
        <v>0</v>
      </c>
    </row>
    <row r="2470" spans="21:21" hidden="1" x14ac:dyDescent="0.35">
      <c r="U2470" s="46">
        <f>IFERROR(_xlfn.XLOOKUP(E2470,[1]EMPREENDIMENTO!C:C,[1]EMPREENDIMENTO!D:D),"")</f>
        <v>0</v>
      </c>
    </row>
    <row r="2471" spans="21:21" hidden="1" x14ac:dyDescent="0.35">
      <c r="U2471" s="46">
        <f>IFERROR(_xlfn.XLOOKUP(E2471,[1]EMPREENDIMENTO!C:C,[1]EMPREENDIMENTO!D:D),"")</f>
        <v>0</v>
      </c>
    </row>
    <row r="2472" spans="21:21" hidden="1" x14ac:dyDescent="0.35">
      <c r="U2472" s="46">
        <f>IFERROR(_xlfn.XLOOKUP(E2472,[1]EMPREENDIMENTO!C:C,[1]EMPREENDIMENTO!D:D),"")</f>
        <v>0</v>
      </c>
    </row>
    <row r="2473" spans="21:21" hidden="1" x14ac:dyDescent="0.35">
      <c r="U2473" s="46">
        <f>IFERROR(_xlfn.XLOOKUP(E2473,[1]EMPREENDIMENTO!C:C,[1]EMPREENDIMENTO!D:D),"")</f>
        <v>0</v>
      </c>
    </row>
    <row r="2474" spans="21:21" hidden="1" x14ac:dyDescent="0.35">
      <c r="U2474" s="46">
        <f>IFERROR(_xlfn.XLOOKUP(E2474,[1]EMPREENDIMENTO!C:C,[1]EMPREENDIMENTO!D:D),"")</f>
        <v>0</v>
      </c>
    </row>
    <row r="2475" spans="21:21" hidden="1" x14ac:dyDescent="0.35">
      <c r="U2475" s="46">
        <f>IFERROR(_xlfn.XLOOKUP(E2475,[1]EMPREENDIMENTO!C:C,[1]EMPREENDIMENTO!D:D),"")</f>
        <v>0</v>
      </c>
    </row>
    <row r="2476" spans="21:21" hidden="1" x14ac:dyDescent="0.35">
      <c r="U2476" s="46">
        <f>IFERROR(_xlfn.XLOOKUP(E2476,[1]EMPREENDIMENTO!C:C,[1]EMPREENDIMENTO!D:D),"")</f>
        <v>0</v>
      </c>
    </row>
    <row r="2477" spans="21:21" hidden="1" x14ac:dyDescent="0.35">
      <c r="U2477" s="46">
        <f>IFERROR(_xlfn.XLOOKUP(E2477,[1]EMPREENDIMENTO!C:C,[1]EMPREENDIMENTO!D:D),"")</f>
        <v>0</v>
      </c>
    </row>
    <row r="2478" spans="21:21" hidden="1" x14ac:dyDescent="0.35">
      <c r="U2478" s="46">
        <f>IFERROR(_xlfn.XLOOKUP(E2478,[1]EMPREENDIMENTO!C:C,[1]EMPREENDIMENTO!D:D),"")</f>
        <v>0</v>
      </c>
    </row>
    <row r="2479" spans="21:21" hidden="1" x14ac:dyDescent="0.35">
      <c r="U2479" s="46">
        <f>IFERROR(_xlfn.XLOOKUP(E2479,[1]EMPREENDIMENTO!C:C,[1]EMPREENDIMENTO!D:D),"")</f>
        <v>0</v>
      </c>
    </row>
    <row r="2480" spans="21:21" hidden="1" x14ac:dyDescent="0.35">
      <c r="U2480" s="46">
        <f>IFERROR(_xlfn.XLOOKUP(E2480,[1]EMPREENDIMENTO!C:C,[1]EMPREENDIMENTO!D:D),"")</f>
        <v>0</v>
      </c>
    </row>
    <row r="2481" spans="21:21" hidden="1" x14ac:dyDescent="0.35">
      <c r="U2481" s="46">
        <f>IFERROR(_xlfn.XLOOKUP(E2481,[1]EMPREENDIMENTO!C:C,[1]EMPREENDIMENTO!D:D),"")</f>
        <v>0</v>
      </c>
    </row>
    <row r="2482" spans="21:21" hidden="1" x14ac:dyDescent="0.35">
      <c r="U2482" s="46">
        <f>IFERROR(_xlfn.XLOOKUP(E2482,[1]EMPREENDIMENTO!C:C,[1]EMPREENDIMENTO!D:D),"")</f>
        <v>0</v>
      </c>
    </row>
    <row r="2483" spans="21:21" hidden="1" x14ac:dyDescent="0.35">
      <c r="U2483" s="46">
        <f>IFERROR(_xlfn.XLOOKUP(E2483,[1]EMPREENDIMENTO!C:C,[1]EMPREENDIMENTO!D:D),"")</f>
        <v>0</v>
      </c>
    </row>
    <row r="2484" spans="21:21" hidden="1" x14ac:dyDescent="0.35">
      <c r="U2484" s="46">
        <f>IFERROR(_xlfn.XLOOKUP(E2484,[1]EMPREENDIMENTO!C:C,[1]EMPREENDIMENTO!D:D),"")</f>
        <v>0</v>
      </c>
    </row>
    <row r="2485" spans="21:21" hidden="1" x14ac:dyDescent="0.35">
      <c r="U2485" s="46">
        <f>IFERROR(_xlfn.XLOOKUP(E2485,[1]EMPREENDIMENTO!C:C,[1]EMPREENDIMENTO!D:D),"")</f>
        <v>0</v>
      </c>
    </row>
    <row r="2486" spans="21:21" hidden="1" x14ac:dyDescent="0.35">
      <c r="U2486" s="46">
        <f>IFERROR(_xlfn.XLOOKUP(E2486,[1]EMPREENDIMENTO!C:C,[1]EMPREENDIMENTO!D:D),"")</f>
        <v>0</v>
      </c>
    </row>
    <row r="2487" spans="21:21" hidden="1" x14ac:dyDescent="0.35">
      <c r="U2487" s="46">
        <f>IFERROR(_xlfn.XLOOKUP(E2487,[1]EMPREENDIMENTO!C:C,[1]EMPREENDIMENTO!D:D),"")</f>
        <v>0</v>
      </c>
    </row>
    <row r="2488" spans="21:21" hidden="1" x14ac:dyDescent="0.35">
      <c r="U2488" s="46">
        <f>IFERROR(_xlfn.XLOOKUP(E2488,[1]EMPREENDIMENTO!C:C,[1]EMPREENDIMENTO!D:D),"")</f>
        <v>0</v>
      </c>
    </row>
    <row r="2489" spans="21:21" hidden="1" x14ac:dyDescent="0.35">
      <c r="U2489" s="46">
        <f>IFERROR(_xlfn.XLOOKUP(E2489,[1]EMPREENDIMENTO!C:C,[1]EMPREENDIMENTO!D:D),"")</f>
        <v>0</v>
      </c>
    </row>
    <row r="2490" spans="21:21" hidden="1" x14ac:dyDescent="0.35">
      <c r="U2490" s="46">
        <f>IFERROR(_xlfn.XLOOKUP(E2490,[1]EMPREENDIMENTO!C:C,[1]EMPREENDIMENTO!D:D),"")</f>
        <v>0</v>
      </c>
    </row>
    <row r="2491" spans="21:21" hidden="1" x14ac:dyDescent="0.35">
      <c r="U2491" s="46">
        <f>IFERROR(_xlfn.XLOOKUP(E2491,[1]EMPREENDIMENTO!C:C,[1]EMPREENDIMENTO!D:D),"")</f>
        <v>0</v>
      </c>
    </row>
    <row r="2492" spans="21:21" hidden="1" x14ac:dyDescent="0.35">
      <c r="U2492" s="46">
        <f>IFERROR(_xlfn.XLOOKUP(E2492,[1]EMPREENDIMENTO!C:C,[1]EMPREENDIMENTO!D:D),"")</f>
        <v>0</v>
      </c>
    </row>
    <row r="2493" spans="21:21" hidden="1" x14ac:dyDescent="0.35">
      <c r="U2493" s="46">
        <f>IFERROR(_xlfn.XLOOKUP(E2493,[1]EMPREENDIMENTO!C:C,[1]EMPREENDIMENTO!D:D),"")</f>
        <v>0</v>
      </c>
    </row>
    <row r="2494" spans="21:21" hidden="1" x14ac:dyDescent="0.35">
      <c r="U2494" s="46">
        <f>IFERROR(_xlfn.XLOOKUP(E2494,[1]EMPREENDIMENTO!C:C,[1]EMPREENDIMENTO!D:D),"")</f>
        <v>0</v>
      </c>
    </row>
    <row r="2495" spans="21:21" hidden="1" x14ac:dyDescent="0.35">
      <c r="U2495" s="46">
        <f>IFERROR(_xlfn.XLOOKUP(E2495,[1]EMPREENDIMENTO!C:C,[1]EMPREENDIMENTO!D:D),"")</f>
        <v>0</v>
      </c>
    </row>
    <row r="2496" spans="21:21" hidden="1" x14ac:dyDescent="0.35">
      <c r="U2496" s="46">
        <f>IFERROR(_xlfn.XLOOKUP(E2496,[1]EMPREENDIMENTO!C:C,[1]EMPREENDIMENTO!D:D),"")</f>
        <v>0</v>
      </c>
    </row>
    <row r="2497" spans="21:21" hidden="1" x14ac:dyDescent="0.35">
      <c r="U2497" s="46">
        <f>IFERROR(_xlfn.XLOOKUP(E2497,[1]EMPREENDIMENTO!C:C,[1]EMPREENDIMENTO!D:D),"")</f>
        <v>0</v>
      </c>
    </row>
    <row r="2498" spans="21:21" hidden="1" x14ac:dyDescent="0.35">
      <c r="U2498" s="46">
        <f>IFERROR(_xlfn.XLOOKUP(E2498,[1]EMPREENDIMENTO!C:C,[1]EMPREENDIMENTO!D:D),"")</f>
        <v>0</v>
      </c>
    </row>
    <row r="2499" spans="21:21" hidden="1" x14ac:dyDescent="0.35">
      <c r="U2499" s="46">
        <f>IFERROR(_xlfn.XLOOKUP(E2499,[1]EMPREENDIMENTO!C:C,[1]EMPREENDIMENTO!D:D),"")</f>
        <v>0</v>
      </c>
    </row>
    <row r="2500" spans="21:21" hidden="1" x14ac:dyDescent="0.35">
      <c r="U2500" s="46">
        <f>IFERROR(_xlfn.XLOOKUP(E2500,[1]EMPREENDIMENTO!C:C,[1]EMPREENDIMENTO!D:D),"")</f>
        <v>0</v>
      </c>
    </row>
    <row r="2501" spans="21:21" hidden="1" x14ac:dyDescent="0.35">
      <c r="U2501" s="46">
        <f>IFERROR(_xlfn.XLOOKUP(E2501,[1]EMPREENDIMENTO!C:C,[1]EMPREENDIMENTO!D:D),"")</f>
        <v>0</v>
      </c>
    </row>
    <row r="2502" spans="21:21" hidden="1" x14ac:dyDescent="0.35">
      <c r="U2502" s="46">
        <f>IFERROR(_xlfn.XLOOKUP(E2502,[1]EMPREENDIMENTO!C:C,[1]EMPREENDIMENTO!D:D),"")</f>
        <v>0</v>
      </c>
    </row>
    <row r="2503" spans="21:21" hidden="1" x14ac:dyDescent="0.35">
      <c r="U2503" s="46">
        <f>IFERROR(_xlfn.XLOOKUP(E2503,[1]EMPREENDIMENTO!C:C,[1]EMPREENDIMENTO!D:D),"")</f>
        <v>0</v>
      </c>
    </row>
    <row r="2504" spans="21:21" hidden="1" x14ac:dyDescent="0.35">
      <c r="U2504" s="46">
        <f>IFERROR(_xlfn.XLOOKUP(E2504,[1]EMPREENDIMENTO!C:C,[1]EMPREENDIMENTO!D:D),"")</f>
        <v>0</v>
      </c>
    </row>
    <row r="2505" spans="21:21" hidden="1" x14ac:dyDescent="0.35">
      <c r="U2505" s="46">
        <f>IFERROR(_xlfn.XLOOKUP(E2505,[1]EMPREENDIMENTO!C:C,[1]EMPREENDIMENTO!D:D),"")</f>
        <v>0</v>
      </c>
    </row>
    <row r="2506" spans="21:21" hidden="1" x14ac:dyDescent="0.35">
      <c r="U2506" s="46">
        <f>IFERROR(_xlfn.XLOOKUP(E2506,[1]EMPREENDIMENTO!C:C,[1]EMPREENDIMENTO!D:D),"")</f>
        <v>0</v>
      </c>
    </row>
    <row r="2507" spans="21:21" hidden="1" x14ac:dyDescent="0.35">
      <c r="U2507" s="46">
        <f>IFERROR(_xlfn.XLOOKUP(E2507,[1]EMPREENDIMENTO!C:C,[1]EMPREENDIMENTO!D:D),"")</f>
        <v>0</v>
      </c>
    </row>
    <row r="2508" spans="21:21" hidden="1" x14ac:dyDescent="0.35">
      <c r="U2508" s="46">
        <f>IFERROR(_xlfn.XLOOKUP(E2508,[1]EMPREENDIMENTO!C:C,[1]EMPREENDIMENTO!D:D),"")</f>
        <v>0</v>
      </c>
    </row>
    <row r="2509" spans="21:21" hidden="1" x14ac:dyDescent="0.35">
      <c r="U2509" s="46">
        <f>IFERROR(_xlfn.XLOOKUP(E2509,[1]EMPREENDIMENTO!C:C,[1]EMPREENDIMENTO!D:D),"")</f>
        <v>0</v>
      </c>
    </row>
    <row r="2510" spans="21:21" hidden="1" x14ac:dyDescent="0.35">
      <c r="U2510" s="46">
        <f>IFERROR(_xlfn.XLOOKUP(E2510,[1]EMPREENDIMENTO!C:C,[1]EMPREENDIMENTO!D:D),"")</f>
        <v>0</v>
      </c>
    </row>
    <row r="2511" spans="21:21" hidden="1" x14ac:dyDescent="0.35">
      <c r="U2511" s="46">
        <f>IFERROR(_xlfn.XLOOKUP(E2511,[1]EMPREENDIMENTO!C:C,[1]EMPREENDIMENTO!D:D),"")</f>
        <v>0</v>
      </c>
    </row>
    <row r="2512" spans="21:21" hidden="1" x14ac:dyDescent="0.35">
      <c r="U2512" s="46">
        <f>IFERROR(_xlfn.XLOOKUP(E2512,[1]EMPREENDIMENTO!C:C,[1]EMPREENDIMENTO!D:D),"")</f>
        <v>0</v>
      </c>
    </row>
    <row r="2513" spans="21:21" hidden="1" x14ac:dyDescent="0.35">
      <c r="U2513" s="46">
        <f>IFERROR(_xlfn.XLOOKUP(E2513,[1]EMPREENDIMENTO!C:C,[1]EMPREENDIMENTO!D:D),"")</f>
        <v>0</v>
      </c>
    </row>
    <row r="2514" spans="21:21" hidden="1" x14ac:dyDescent="0.35">
      <c r="U2514" s="46">
        <f>IFERROR(_xlfn.XLOOKUP(E2514,[1]EMPREENDIMENTO!C:C,[1]EMPREENDIMENTO!D:D),"")</f>
        <v>0</v>
      </c>
    </row>
    <row r="2515" spans="21:21" hidden="1" x14ac:dyDescent="0.35">
      <c r="U2515" s="46">
        <f>IFERROR(_xlfn.XLOOKUP(E2515,[1]EMPREENDIMENTO!C:C,[1]EMPREENDIMENTO!D:D),"")</f>
        <v>0</v>
      </c>
    </row>
    <row r="2516" spans="21:21" hidden="1" x14ac:dyDescent="0.35">
      <c r="U2516" s="46">
        <f>IFERROR(_xlfn.XLOOKUP(E2516,[1]EMPREENDIMENTO!C:C,[1]EMPREENDIMENTO!D:D),"")</f>
        <v>0</v>
      </c>
    </row>
    <row r="2517" spans="21:21" hidden="1" x14ac:dyDescent="0.35">
      <c r="U2517" s="46">
        <f>IFERROR(_xlfn.XLOOKUP(E2517,[1]EMPREENDIMENTO!C:C,[1]EMPREENDIMENTO!D:D),"")</f>
        <v>0</v>
      </c>
    </row>
    <row r="2518" spans="21:21" hidden="1" x14ac:dyDescent="0.35">
      <c r="U2518" s="46">
        <f>IFERROR(_xlfn.XLOOKUP(E2518,[1]EMPREENDIMENTO!C:C,[1]EMPREENDIMENTO!D:D),"")</f>
        <v>0</v>
      </c>
    </row>
    <row r="2519" spans="21:21" hidden="1" x14ac:dyDescent="0.35">
      <c r="U2519" s="46">
        <f>IFERROR(_xlfn.XLOOKUP(E2519,[1]EMPREENDIMENTO!C:C,[1]EMPREENDIMENTO!D:D),"")</f>
        <v>0</v>
      </c>
    </row>
    <row r="2520" spans="21:21" hidden="1" x14ac:dyDescent="0.35">
      <c r="U2520" s="46">
        <f>IFERROR(_xlfn.XLOOKUP(E2520,[1]EMPREENDIMENTO!C:C,[1]EMPREENDIMENTO!D:D),"")</f>
        <v>0</v>
      </c>
    </row>
    <row r="2521" spans="21:21" hidden="1" x14ac:dyDescent="0.35">
      <c r="U2521" s="46">
        <f>IFERROR(_xlfn.XLOOKUP(E2521,[1]EMPREENDIMENTO!C:C,[1]EMPREENDIMENTO!D:D),"")</f>
        <v>0</v>
      </c>
    </row>
    <row r="2522" spans="21:21" hidden="1" x14ac:dyDescent="0.35">
      <c r="U2522" s="46">
        <f>IFERROR(_xlfn.XLOOKUP(E2522,[1]EMPREENDIMENTO!C:C,[1]EMPREENDIMENTO!D:D),"")</f>
        <v>0</v>
      </c>
    </row>
    <row r="2523" spans="21:21" hidden="1" x14ac:dyDescent="0.35">
      <c r="U2523" s="46">
        <f>IFERROR(_xlfn.XLOOKUP(E2523,[1]EMPREENDIMENTO!C:C,[1]EMPREENDIMENTO!D:D),"")</f>
        <v>0</v>
      </c>
    </row>
    <row r="2524" spans="21:21" hidden="1" x14ac:dyDescent="0.35">
      <c r="U2524" s="46">
        <f>IFERROR(_xlfn.XLOOKUP(E2524,[1]EMPREENDIMENTO!C:C,[1]EMPREENDIMENTO!D:D),"")</f>
        <v>0</v>
      </c>
    </row>
    <row r="2525" spans="21:21" hidden="1" x14ac:dyDescent="0.35">
      <c r="U2525" s="46">
        <f>IFERROR(_xlfn.XLOOKUP(E2525,[1]EMPREENDIMENTO!C:C,[1]EMPREENDIMENTO!D:D),"")</f>
        <v>0</v>
      </c>
    </row>
    <row r="2526" spans="21:21" hidden="1" x14ac:dyDescent="0.35">
      <c r="U2526" s="46">
        <f>IFERROR(_xlfn.XLOOKUP(E2526,[1]EMPREENDIMENTO!C:C,[1]EMPREENDIMENTO!D:D),"")</f>
        <v>0</v>
      </c>
    </row>
    <row r="2527" spans="21:21" hidden="1" x14ac:dyDescent="0.35">
      <c r="U2527" s="46">
        <f>IFERROR(_xlfn.XLOOKUP(E2527,[1]EMPREENDIMENTO!C:C,[1]EMPREENDIMENTO!D:D),"")</f>
        <v>0</v>
      </c>
    </row>
    <row r="2528" spans="21:21" hidden="1" x14ac:dyDescent="0.35">
      <c r="U2528" s="46">
        <f>IFERROR(_xlfn.XLOOKUP(E2528,[1]EMPREENDIMENTO!C:C,[1]EMPREENDIMENTO!D:D),"")</f>
        <v>0</v>
      </c>
    </row>
    <row r="2529" spans="21:21" hidden="1" x14ac:dyDescent="0.35">
      <c r="U2529" s="46">
        <f>IFERROR(_xlfn.XLOOKUP(E2529,[1]EMPREENDIMENTO!C:C,[1]EMPREENDIMENTO!D:D),"")</f>
        <v>0</v>
      </c>
    </row>
    <row r="2530" spans="21:21" hidden="1" x14ac:dyDescent="0.35">
      <c r="U2530" s="46">
        <f>IFERROR(_xlfn.XLOOKUP(E2530,[1]EMPREENDIMENTO!C:C,[1]EMPREENDIMENTO!D:D),"")</f>
        <v>0</v>
      </c>
    </row>
    <row r="2531" spans="21:21" hidden="1" x14ac:dyDescent="0.35">
      <c r="U2531" s="46">
        <f>IFERROR(_xlfn.XLOOKUP(E2531,[1]EMPREENDIMENTO!C:C,[1]EMPREENDIMENTO!D:D),"")</f>
        <v>0</v>
      </c>
    </row>
    <row r="2532" spans="21:21" hidden="1" x14ac:dyDescent="0.35">
      <c r="U2532" s="46">
        <f>IFERROR(_xlfn.XLOOKUP(E2532,[1]EMPREENDIMENTO!C:C,[1]EMPREENDIMENTO!D:D),"")</f>
        <v>0</v>
      </c>
    </row>
    <row r="2533" spans="21:21" hidden="1" x14ac:dyDescent="0.35">
      <c r="U2533" s="46">
        <f>IFERROR(_xlfn.XLOOKUP(E2533,[1]EMPREENDIMENTO!C:C,[1]EMPREENDIMENTO!D:D),"")</f>
        <v>0</v>
      </c>
    </row>
    <row r="2534" spans="21:21" hidden="1" x14ac:dyDescent="0.35">
      <c r="U2534" s="46">
        <f>IFERROR(_xlfn.XLOOKUP(E2534,[1]EMPREENDIMENTO!C:C,[1]EMPREENDIMENTO!D:D),"")</f>
        <v>0</v>
      </c>
    </row>
    <row r="2535" spans="21:21" hidden="1" x14ac:dyDescent="0.35">
      <c r="U2535" s="46">
        <f>IFERROR(_xlfn.XLOOKUP(E2535,[1]EMPREENDIMENTO!C:C,[1]EMPREENDIMENTO!D:D),"")</f>
        <v>0</v>
      </c>
    </row>
    <row r="2536" spans="21:21" hidden="1" x14ac:dyDescent="0.35">
      <c r="U2536" s="46">
        <f>IFERROR(_xlfn.XLOOKUP(E2536,[1]EMPREENDIMENTO!C:C,[1]EMPREENDIMENTO!D:D),"")</f>
        <v>0</v>
      </c>
    </row>
    <row r="2537" spans="21:21" hidden="1" x14ac:dyDescent="0.35">
      <c r="U2537" s="46">
        <f>IFERROR(_xlfn.XLOOKUP(E2537,[1]EMPREENDIMENTO!C:C,[1]EMPREENDIMENTO!D:D),"")</f>
        <v>0</v>
      </c>
    </row>
    <row r="2538" spans="21:21" hidden="1" x14ac:dyDescent="0.35">
      <c r="U2538" s="46">
        <f>IFERROR(_xlfn.XLOOKUP(E2538,[1]EMPREENDIMENTO!C:C,[1]EMPREENDIMENTO!D:D),"")</f>
        <v>0</v>
      </c>
    </row>
    <row r="2539" spans="21:21" hidden="1" x14ac:dyDescent="0.35">
      <c r="U2539" s="46">
        <f>IFERROR(_xlfn.XLOOKUP(E2539,[1]EMPREENDIMENTO!C:C,[1]EMPREENDIMENTO!D:D),"")</f>
        <v>0</v>
      </c>
    </row>
    <row r="2540" spans="21:21" hidden="1" x14ac:dyDescent="0.35">
      <c r="U2540" s="46">
        <f>IFERROR(_xlfn.XLOOKUP(E2540,[1]EMPREENDIMENTO!C:C,[1]EMPREENDIMENTO!D:D),"")</f>
        <v>0</v>
      </c>
    </row>
    <row r="2541" spans="21:21" hidden="1" x14ac:dyDescent="0.35">
      <c r="U2541" s="46">
        <f>IFERROR(_xlfn.XLOOKUP(E2541,[1]EMPREENDIMENTO!C:C,[1]EMPREENDIMENTO!D:D),"")</f>
        <v>0</v>
      </c>
    </row>
    <row r="2542" spans="21:21" hidden="1" x14ac:dyDescent="0.35">
      <c r="U2542" s="46">
        <f>IFERROR(_xlfn.XLOOKUP(E2542,[1]EMPREENDIMENTO!C:C,[1]EMPREENDIMENTO!D:D),"")</f>
        <v>0</v>
      </c>
    </row>
    <row r="2543" spans="21:21" hidden="1" x14ac:dyDescent="0.35">
      <c r="U2543" s="46">
        <f>IFERROR(_xlfn.XLOOKUP(E2543,[1]EMPREENDIMENTO!C:C,[1]EMPREENDIMENTO!D:D),"")</f>
        <v>0</v>
      </c>
    </row>
    <row r="2544" spans="21:21" hidden="1" x14ac:dyDescent="0.35">
      <c r="U2544" s="46">
        <f>IFERROR(_xlfn.XLOOKUP(E2544,[1]EMPREENDIMENTO!C:C,[1]EMPREENDIMENTO!D:D),"")</f>
        <v>0</v>
      </c>
    </row>
    <row r="2545" spans="21:21" hidden="1" x14ac:dyDescent="0.35">
      <c r="U2545" s="46">
        <f>IFERROR(_xlfn.XLOOKUP(E2545,[1]EMPREENDIMENTO!C:C,[1]EMPREENDIMENTO!D:D),"")</f>
        <v>0</v>
      </c>
    </row>
    <row r="2546" spans="21:21" hidden="1" x14ac:dyDescent="0.35">
      <c r="U2546" s="46">
        <f>IFERROR(_xlfn.XLOOKUP(E2546,[1]EMPREENDIMENTO!C:C,[1]EMPREENDIMENTO!D:D),"")</f>
        <v>0</v>
      </c>
    </row>
    <row r="2547" spans="21:21" hidden="1" x14ac:dyDescent="0.35">
      <c r="U2547" s="46">
        <f>IFERROR(_xlfn.XLOOKUP(E2547,[1]EMPREENDIMENTO!C:C,[1]EMPREENDIMENTO!D:D),"")</f>
        <v>0</v>
      </c>
    </row>
    <row r="2548" spans="21:21" hidden="1" x14ac:dyDescent="0.35">
      <c r="U2548" s="46">
        <f>IFERROR(_xlfn.XLOOKUP(E2548,[1]EMPREENDIMENTO!C:C,[1]EMPREENDIMENTO!D:D),"")</f>
        <v>0</v>
      </c>
    </row>
    <row r="2549" spans="21:21" hidden="1" x14ac:dyDescent="0.35">
      <c r="U2549" s="46">
        <f>IFERROR(_xlfn.XLOOKUP(E2549,[1]EMPREENDIMENTO!C:C,[1]EMPREENDIMENTO!D:D),"")</f>
        <v>0</v>
      </c>
    </row>
    <row r="2550" spans="21:21" hidden="1" x14ac:dyDescent="0.35">
      <c r="U2550" s="46">
        <f>IFERROR(_xlfn.XLOOKUP(E2550,[1]EMPREENDIMENTO!C:C,[1]EMPREENDIMENTO!D:D),"")</f>
        <v>0</v>
      </c>
    </row>
    <row r="2551" spans="21:21" hidden="1" x14ac:dyDescent="0.35">
      <c r="U2551" s="46">
        <f>IFERROR(_xlfn.XLOOKUP(E2551,[1]EMPREENDIMENTO!C:C,[1]EMPREENDIMENTO!D:D),"")</f>
        <v>0</v>
      </c>
    </row>
    <row r="2552" spans="21:21" hidden="1" x14ac:dyDescent="0.35">
      <c r="U2552" s="46">
        <f>IFERROR(_xlfn.XLOOKUP(E2552,[1]EMPREENDIMENTO!C:C,[1]EMPREENDIMENTO!D:D),"")</f>
        <v>0</v>
      </c>
    </row>
    <row r="2553" spans="21:21" hidden="1" x14ac:dyDescent="0.35">
      <c r="U2553" s="46">
        <f>IFERROR(_xlfn.XLOOKUP(E2553,[1]EMPREENDIMENTO!C:C,[1]EMPREENDIMENTO!D:D),"")</f>
        <v>0</v>
      </c>
    </row>
    <row r="2554" spans="21:21" hidden="1" x14ac:dyDescent="0.35">
      <c r="U2554" s="46">
        <f>IFERROR(_xlfn.XLOOKUP(E2554,[1]EMPREENDIMENTO!C:C,[1]EMPREENDIMENTO!D:D),"")</f>
        <v>0</v>
      </c>
    </row>
    <row r="2555" spans="21:21" hidden="1" x14ac:dyDescent="0.35">
      <c r="U2555" s="46">
        <f>IFERROR(_xlfn.XLOOKUP(E2555,[1]EMPREENDIMENTO!C:C,[1]EMPREENDIMENTO!D:D),"")</f>
        <v>0</v>
      </c>
    </row>
    <row r="2556" spans="21:21" hidden="1" x14ac:dyDescent="0.35">
      <c r="U2556" s="46">
        <f>IFERROR(_xlfn.XLOOKUP(E2556,[1]EMPREENDIMENTO!C:C,[1]EMPREENDIMENTO!D:D),"")</f>
        <v>0</v>
      </c>
    </row>
    <row r="2557" spans="21:21" hidden="1" x14ac:dyDescent="0.35">
      <c r="U2557" s="46">
        <f>IFERROR(_xlfn.XLOOKUP(E2557,[1]EMPREENDIMENTO!C:C,[1]EMPREENDIMENTO!D:D),"")</f>
        <v>0</v>
      </c>
    </row>
    <row r="2558" spans="21:21" hidden="1" x14ac:dyDescent="0.35">
      <c r="U2558" s="46">
        <f>IFERROR(_xlfn.XLOOKUP(E2558,[1]EMPREENDIMENTO!C:C,[1]EMPREENDIMENTO!D:D),"")</f>
        <v>0</v>
      </c>
    </row>
    <row r="2559" spans="21:21" hidden="1" x14ac:dyDescent="0.35">
      <c r="U2559" s="46">
        <f>IFERROR(_xlfn.XLOOKUP(E2559,[1]EMPREENDIMENTO!C:C,[1]EMPREENDIMENTO!D:D),"")</f>
        <v>0</v>
      </c>
    </row>
    <row r="2560" spans="21:21" hidden="1" x14ac:dyDescent="0.35">
      <c r="U2560" s="46">
        <f>IFERROR(_xlfn.XLOOKUP(E2560,[1]EMPREENDIMENTO!C:C,[1]EMPREENDIMENTO!D:D),"")</f>
        <v>0</v>
      </c>
    </row>
    <row r="2561" spans="21:21" hidden="1" x14ac:dyDescent="0.35">
      <c r="U2561" s="46">
        <f>IFERROR(_xlfn.XLOOKUP(E2561,[1]EMPREENDIMENTO!C:C,[1]EMPREENDIMENTO!D:D),"")</f>
        <v>0</v>
      </c>
    </row>
    <row r="2562" spans="21:21" hidden="1" x14ac:dyDescent="0.35">
      <c r="U2562" s="46">
        <f>IFERROR(_xlfn.XLOOKUP(E2562,[1]EMPREENDIMENTO!C:C,[1]EMPREENDIMENTO!D:D),"")</f>
        <v>0</v>
      </c>
    </row>
    <row r="2563" spans="21:21" hidden="1" x14ac:dyDescent="0.35">
      <c r="U2563" s="46">
        <f>IFERROR(_xlfn.XLOOKUP(E2563,[1]EMPREENDIMENTO!C:C,[1]EMPREENDIMENTO!D:D),"")</f>
        <v>0</v>
      </c>
    </row>
    <row r="2564" spans="21:21" hidden="1" x14ac:dyDescent="0.35">
      <c r="U2564" s="46">
        <f>IFERROR(_xlfn.XLOOKUP(E2564,[1]EMPREENDIMENTO!C:C,[1]EMPREENDIMENTO!D:D),"")</f>
        <v>0</v>
      </c>
    </row>
    <row r="2565" spans="21:21" hidden="1" x14ac:dyDescent="0.35">
      <c r="U2565" s="46">
        <f>IFERROR(_xlfn.XLOOKUP(E2565,[1]EMPREENDIMENTO!C:C,[1]EMPREENDIMENTO!D:D),"")</f>
        <v>0</v>
      </c>
    </row>
    <row r="2566" spans="21:21" hidden="1" x14ac:dyDescent="0.35">
      <c r="U2566" s="46">
        <f>IFERROR(_xlfn.XLOOKUP(E2566,[1]EMPREENDIMENTO!C:C,[1]EMPREENDIMENTO!D:D),"")</f>
        <v>0</v>
      </c>
    </row>
    <row r="2567" spans="21:21" hidden="1" x14ac:dyDescent="0.35">
      <c r="U2567" s="46">
        <f>IFERROR(_xlfn.XLOOKUP(E2567,[1]EMPREENDIMENTO!C:C,[1]EMPREENDIMENTO!D:D),"")</f>
        <v>0</v>
      </c>
    </row>
    <row r="2568" spans="21:21" hidden="1" x14ac:dyDescent="0.35">
      <c r="U2568" s="46">
        <f>IFERROR(_xlfn.XLOOKUP(E2568,[1]EMPREENDIMENTO!C:C,[1]EMPREENDIMENTO!D:D),"")</f>
        <v>0</v>
      </c>
    </row>
    <row r="2569" spans="21:21" hidden="1" x14ac:dyDescent="0.35">
      <c r="U2569" s="46">
        <f>IFERROR(_xlfn.XLOOKUP(E2569,[1]EMPREENDIMENTO!C:C,[1]EMPREENDIMENTO!D:D),"")</f>
        <v>0</v>
      </c>
    </row>
    <row r="2570" spans="21:21" hidden="1" x14ac:dyDescent="0.35">
      <c r="U2570" s="46">
        <f>IFERROR(_xlfn.XLOOKUP(E2570,[1]EMPREENDIMENTO!C:C,[1]EMPREENDIMENTO!D:D),"")</f>
        <v>0</v>
      </c>
    </row>
    <row r="2571" spans="21:21" hidden="1" x14ac:dyDescent="0.35">
      <c r="U2571" s="46">
        <f>IFERROR(_xlfn.XLOOKUP(E2571,[1]EMPREENDIMENTO!C:C,[1]EMPREENDIMENTO!D:D),"")</f>
        <v>0</v>
      </c>
    </row>
    <row r="2572" spans="21:21" hidden="1" x14ac:dyDescent="0.35">
      <c r="U2572" s="46">
        <f>IFERROR(_xlfn.XLOOKUP(E2572,[1]EMPREENDIMENTO!C:C,[1]EMPREENDIMENTO!D:D),"")</f>
        <v>0</v>
      </c>
    </row>
    <row r="2573" spans="21:21" hidden="1" x14ac:dyDescent="0.35">
      <c r="U2573" s="46">
        <f>IFERROR(_xlfn.XLOOKUP(E2573,[1]EMPREENDIMENTO!C:C,[1]EMPREENDIMENTO!D:D),"")</f>
        <v>0</v>
      </c>
    </row>
    <row r="2574" spans="21:21" hidden="1" x14ac:dyDescent="0.35">
      <c r="U2574" s="46">
        <f>IFERROR(_xlfn.XLOOKUP(E2574,[1]EMPREENDIMENTO!C:C,[1]EMPREENDIMENTO!D:D),"")</f>
        <v>0</v>
      </c>
    </row>
    <row r="2575" spans="21:21" hidden="1" x14ac:dyDescent="0.35">
      <c r="U2575" s="46">
        <f>IFERROR(_xlfn.XLOOKUP(E2575,[1]EMPREENDIMENTO!C:C,[1]EMPREENDIMENTO!D:D),"")</f>
        <v>0</v>
      </c>
    </row>
    <row r="2576" spans="21:21" hidden="1" x14ac:dyDescent="0.35">
      <c r="U2576" s="46">
        <f>IFERROR(_xlfn.XLOOKUP(E2576,[1]EMPREENDIMENTO!C:C,[1]EMPREENDIMENTO!D:D),"")</f>
        <v>0</v>
      </c>
    </row>
    <row r="2577" spans="16:21" hidden="1" x14ac:dyDescent="0.35">
      <c r="U2577" s="46">
        <f>IFERROR(_xlfn.XLOOKUP(E2577,[1]EMPREENDIMENTO!C:C,[1]EMPREENDIMENTO!D:D),"")</f>
        <v>0</v>
      </c>
    </row>
    <row r="2578" spans="16:21" hidden="1" x14ac:dyDescent="0.35">
      <c r="U2578" s="46">
        <f>IFERROR(_xlfn.XLOOKUP(E2578,[1]EMPREENDIMENTO!C:C,[1]EMPREENDIMENTO!D:D),"")</f>
        <v>0</v>
      </c>
    </row>
    <row r="2579" spans="16:21" hidden="1" x14ac:dyDescent="0.35">
      <c r="U2579" s="46">
        <f>IFERROR(_xlfn.XLOOKUP(E2579,[1]EMPREENDIMENTO!C:C,[1]EMPREENDIMENTO!D:D),"")</f>
        <v>0</v>
      </c>
    </row>
    <row r="2580" spans="16:21" hidden="1" x14ac:dyDescent="0.35">
      <c r="U2580" s="46">
        <f>IFERROR(_xlfn.XLOOKUP(E2580,[1]EMPREENDIMENTO!C:C,[1]EMPREENDIMENTO!D:D),"")</f>
        <v>0</v>
      </c>
    </row>
    <row r="2581" spans="16:21" hidden="1" x14ac:dyDescent="0.35">
      <c r="U2581" s="46">
        <f>IFERROR(_xlfn.XLOOKUP(E2581,[1]EMPREENDIMENTO!C:C,[1]EMPREENDIMENTO!D:D),"")</f>
        <v>0</v>
      </c>
    </row>
    <row r="2582" spans="16:21" hidden="1" x14ac:dyDescent="0.35">
      <c r="U2582" s="46">
        <f>IFERROR(_xlfn.XLOOKUP(E2582,[1]EMPREENDIMENTO!C:C,[1]EMPREENDIMENTO!D:D),"")</f>
        <v>0</v>
      </c>
    </row>
    <row r="2583" spans="16:21" hidden="1" x14ac:dyDescent="0.35">
      <c r="U2583" s="46">
        <f>IFERROR(_xlfn.XLOOKUP(E2583,[1]EMPREENDIMENTO!C:C,[1]EMPREENDIMENTO!D:D),"")</f>
        <v>0</v>
      </c>
    </row>
    <row r="2584" spans="16:21" hidden="1" x14ac:dyDescent="0.35">
      <c r="U2584" s="46">
        <f>IFERROR(_xlfn.XLOOKUP(E2584,[1]EMPREENDIMENTO!C:C,[1]EMPREENDIMENTO!D:D),"")</f>
        <v>0</v>
      </c>
    </row>
    <row r="2585" spans="16:21" hidden="1" x14ac:dyDescent="0.35">
      <c r="U2585" s="46">
        <f>IFERROR(_xlfn.XLOOKUP(E2585,[1]EMPREENDIMENTO!C:C,[1]EMPREENDIMENTO!D:D),"")</f>
        <v>0</v>
      </c>
    </row>
    <row r="2586" spans="16:21" hidden="1" x14ac:dyDescent="0.35">
      <c r="U2586" s="46">
        <f>IFERROR(_xlfn.XLOOKUP(E2586,[1]EMPREENDIMENTO!C:C,[1]EMPREENDIMENTO!D:D),"")</f>
        <v>0</v>
      </c>
    </row>
    <row r="2587" spans="16:21" hidden="1" x14ac:dyDescent="0.35">
      <c r="U2587" s="46">
        <f>IFERROR(_xlfn.XLOOKUP(E2587,[1]EMPREENDIMENTO!C:C,[1]EMPREENDIMENTO!D:D),"")</f>
        <v>0</v>
      </c>
    </row>
    <row r="2588" spans="16:21" hidden="1" x14ac:dyDescent="0.35">
      <c r="U2588" s="46">
        <f>IFERROR(_xlfn.XLOOKUP(E2588,[1]EMPREENDIMENTO!C:C,[1]EMPREENDIMENTO!D:D),"")</f>
        <v>0</v>
      </c>
    </row>
    <row r="2589" spans="16:21" x14ac:dyDescent="0.35">
      <c r="P2589" s="28"/>
    </row>
  </sheetData>
  <autoFilter ref="A6:U2588" xr:uid="{C5DB940C-41E1-4BDD-9894-0061DEEAAB23}">
    <filterColumn colId="0">
      <filters>
        <filter val="DIR. COM E CRED SPI"/>
        <filter val="DIR. COM E CRED SPI CP"/>
      </filters>
    </filterColumn>
  </autoFilter>
  <conditionalFormatting sqref="A7:O2302 Q7:U2302">
    <cfRule type="expression" dxfId="24" priority="8">
      <formula>AND($E7&lt;&gt;"",$E7&lt;&gt;$E6)</formula>
    </cfRule>
    <cfRule type="expression" dxfId="23" priority="9">
      <formula>ISODD(SUMPRODUCT(--($E$7:$E7&lt;&gt;$E$6:$E6)))</formula>
    </cfRule>
  </conditionalFormatting>
  <conditionalFormatting sqref="G6:G1048576">
    <cfRule type="duplicateValues" dxfId="22" priority="19"/>
  </conditionalFormatting>
  <conditionalFormatting sqref="G7:G1420">
    <cfRule type="duplicateValues" dxfId="21" priority="24"/>
  </conditionalFormatting>
  <conditionalFormatting sqref="G1421:G4796">
    <cfRule type="duplicateValues" dxfId="20" priority="23"/>
  </conditionalFormatting>
  <conditionalFormatting sqref="G4532:G4796">
    <cfRule type="duplicateValues" dxfId="19" priority="20"/>
    <cfRule type="duplicateValues" dxfId="18" priority="21"/>
    <cfRule type="duplicateValues" dxfId="17" priority="22"/>
  </conditionalFormatting>
  <conditionalFormatting sqref="H6:H1048576">
    <cfRule type="duplicateValues" dxfId="16" priority="18"/>
  </conditionalFormatting>
  <conditionalFormatting sqref="H7:H2302">
    <cfRule type="duplicateValues" dxfId="15" priority="25"/>
  </conditionalFormatting>
  <conditionalFormatting sqref="J7:J1048576">
    <cfRule type="expression" dxfId="14" priority="17">
      <formula>TODAY()-J7&gt;=730</formula>
    </cfRule>
  </conditionalFormatting>
  <conditionalFormatting sqref="L7:L4796">
    <cfRule type="expression" dxfId="13" priority="10">
      <formula>TODAY()-L7&gt;=181</formula>
    </cfRule>
  </conditionalFormatting>
  <conditionalFormatting sqref="O1:O3">
    <cfRule type="containsText" dxfId="12" priority="11" operator="containsText" text="FINALIZADO">
      <formula>NOT(ISERROR(SEARCH("FINALIZADO",O1)))</formula>
    </cfRule>
    <cfRule type="containsText" dxfId="11" priority="12" operator="containsText" text="AGUARDANDO COMPROVANTE">
      <formula>NOT(ISERROR(SEARCH("AGUARDANDO COMPROVANTE",O1)))</formula>
    </cfRule>
    <cfRule type="containsText" dxfId="10" priority="13" operator="containsText" text="AGUARDANDO DOCUMENTAÇÃO">
      <formula>NOT(ISERROR(SEARCH("AGUARDANDO DOCUMENTAÇÃO",O1)))</formula>
    </cfRule>
    <cfRule type="containsText" dxfId="9" priority="14" operator="containsText" text="AGUARDANDO INF./CONTRATAÇÃO PJ">
      <formula>NOT(ISERROR(SEARCH("AGUARDANDO INF./CONTRATAÇÃO PJ",O1)))</formula>
    </cfRule>
    <cfRule type="containsText" dxfId="8" priority="15" operator="containsText" text="ALOCAÇÃO DE RECURSOS - CONTRATAÇÃO">
      <formula>NOT(ISERROR(SEARCH("ALOCAÇÃO DE RECURSOS - CONTRATAÇÃO",O1)))</formula>
    </cfRule>
    <cfRule type="containsText" dxfId="7" priority="16" operator="containsText" text="ALOCAÇÃO DE RECURSOS ABERTA">
      <formula>NOT(ISERROR(SEARCH("ALOCAÇÃO DE RECURSOS ABERTA",O1)))</formula>
    </cfRule>
  </conditionalFormatting>
  <conditionalFormatting sqref="P1:P3 P5 P7:P1048576">
    <cfRule type="containsText" dxfId="6" priority="1" operator="containsText" text="AGUARDANDO INF./CONTRATAÇÃO PJ">
      <formula>NOT(ISERROR(SEARCH("AGUARDANDO INF./CONTRATAÇÃO PJ",P1)))</formula>
    </cfRule>
    <cfRule type="containsText" dxfId="5" priority="2" operator="containsText" text="AGUARDANDO COMPROVANTE">
      <formula>NOT(ISERROR(SEARCH("AGUARDANDO COMPROVANTE",P1)))</formula>
    </cfRule>
    <cfRule type="containsText" dxfId="4" priority="3" operator="containsText" text="AGUARDANDO ACEITE">
      <formula>NOT(ISERROR(SEARCH("AGUARDANDO ACEITE",P1)))</formula>
    </cfRule>
    <cfRule type="containsText" dxfId="3" priority="4" operator="containsText" text="CONTESTAÇÃO">
      <formula>NOT(ISERROR(SEARCH("CONTESTAÇÃO",P1)))</formula>
    </cfRule>
    <cfRule type="containsText" dxfId="2" priority="5" operator="containsText" text="REAVALIAÇÃO">
      <formula>NOT(ISERROR(SEARCH("REAVALIAÇÃO",P1)))</formula>
    </cfRule>
    <cfRule type="containsText" dxfId="1" priority="6" operator="containsText" text="AGUARDANDO DOCUMENTAÇÃO">
      <formula>NOT(ISERROR(SEARCH("AGUARDANDO DOCUMENTAÇÃO",P1)))</formula>
    </cfRule>
    <cfRule type="containsText" dxfId="0" priority="7" operator="containsText" text="FINALIZADO">
      <formula>NOT(ISERROR(SEARCH("FINALIZADO",P1)))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Storari Da Costa</dc:creator>
  <cp:lastModifiedBy>Laura Storari Da Costa</cp:lastModifiedBy>
  <dcterms:created xsi:type="dcterms:W3CDTF">2026-09-01T12:04:03Z</dcterms:created>
  <dcterms:modified xsi:type="dcterms:W3CDTF">2026-09-01T13:34:24Z</dcterms:modified>
</cp:coreProperties>
</file>